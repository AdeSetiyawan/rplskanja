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4. Rekayasa Perangkat Lunak (Ade)\_01. Administrasi\_01. Ujian Sekolah\_01. 2021\"/>
    </mc:Choice>
  </mc:AlternateContent>
  <bookViews>
    <workbookView xWindow="0" yWindow="0" windowWidth="12735" windowHeight="5595" tabRatio="704" firstSheet="4" activeTab="10"/>
  </bookViews>
  <sheets>
    <sheet name="Menu" sheetId="12" r:id="rId1"/>
    <sheet name="Petunjuk" sheetId="11" r:id="rId2"/>
    <sheet name="Biodata" sheetId="5" r:id="rId3"/>
    <sheet name="Telaah_PG" sheetId="1" r:id="rId4"/>
    <sheet name="Telaah_UR" sheetId="7" r:id="rId5"/>
    <sheet name="Ins_PG" sheetId="2" r:id="rId6"/>
    <sheet name="Ins_UR" sheetId="9" r:id="rId7"/>
    <sheet name="Hasil_PG" sheetId="3" r:id="rId8"/>
    <sheet name="Hasil_UR" sheetId="10" r:id="rId9"/>
    <sheet name="Rekap" sheetId="4" r:id="rId10"/>
    <sheet name="BA" sheetId="6" r:id="rId11"/>
  </sheets>
  <externalReferences>
    <externalReference r:id="rId12"/>
    <externalReference r:id="rId13"/>
  </externalReferences>
  <definedNames>
    <definedName name="DataKet3">Hasil_PG!$T$11:$BQ$29</definedName>
    <definedName name="DataRek1">[1]Instrumen!$O$11:$BL$94</definedName>
    <definedName name="_xlnm.Print_Area" localSheetId="10">BA!$A$1:$K$40</definedName>
    <definedName name="_xlnm.Print_Area" localSheetId="7">Hasil_PG!$A$1:$H$67</definedName>
    <definedName name="_xlnm.Print_Area" localSheetId="8">Hasil_UR!$A$1:$H$42</definedName>
    <definedName name="_xlnm.Print_Area" localSheetId="5">Ins_PG!$A$1:$AW$55</definedName>
    <definedName name="_xlnm.Print_Area" localSheetId="6">Ins_UR!$A$1:$X$51</definedName>
    <definedName name="_xlnm.Print_Area" localSheetId="9">Rekap!$A$1:$M$38</definedName>
    <definedName name="_xlnm.Print_Titles" localSheetId="7">Hasil_PG!$11:$11</definedName>
    <definedName name="_xlnm.Print_Titles" localSheetId="5">Ins_PG!$13:$14</definedName>
    <definedName name="_xlnm.Print_Titles" localSheetId="6">Ins_UR!$13:$14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I57" i="1" l="1"/>
  <c r="EJ57" i="1"/>
  <c r="HV57" i="1" s="1"/>
  <c r="EK57" i="1"/>
  <c r="C13" i="5" l="1"/>
  <c r="C12" i="5"/>
  <c r="B13" i="6" l="1"/>
  <c r="G16" i="6"/>
  <c r="A3" i="4"/>
  <c r="A3" i="10"/>
  <c r="A3" i="3"/>
  <c r="A3" i="9"/>
  <c r="A3" i="2"/>
  <c r="C7" i="4" l="1"/>
  <c r="F7" i="10"/>
  <c r="F7" i="3"/>
  <c r="G28" i="6"/>
  <c r="J32" i="10"/>
  <c r="J31" i="10"/>
  <c r="J30" i="10"/>
  <c r="J29" i="10"/>
  <c r="D32" i="9"/>
  <c r="B25" i="9"/>
  <c r="B21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B17" i="9"/>
  <c r="D16" i="9"/>
  <c r="D15" i="9"/>
  <c r="B15" i="9"/>
  <c r="BQ30" i="10"/>
  <c r="BP30" i="10"/>
  <c r="BO30" i="10"/>
  <c r="BN30" i="10"/>
  <c r="BM30" i="10"/>
  <c r="BL30" i="10"/>
  <c r="BK30" i="10"/>
  <c r="BJ30" i="10"/>
  <c r="BI30" i="10"/>
  <c r="BH30" i="10"/>
  <c r="BG30" i="10"/>
  <c r="BF30" i="10"/>
  <c r="BE30" i="10"/>
  <c r="BD30" i="10"/>
  <c r="BC30" i="10"/>
  <c r="BB30" i="10"/>
  <c r="BA30" i="10"/>
  <c r="AZ30" i="10"/>
  <c r="AY30" i="10"/>
  <c r="AX30" i="10"/>
  <c r="AW30" i="10"/>
  <c r="AV30" i="10"/>
  <c r="AU30" i="10"/>
  <c r="AT30" i="10"/>
  <c r="AS30" i="10"/>
  <c r="AR30" i="10"/>
  <c r="AQ30" i="10"/>
  <c r="AP30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BQ29" i="10"/>
  <c r="BP29" i="10"/>
  <c r="BO29" i="10"/>
  <c r="BN29" i="10"/>
  <c r="BM29" i="10"/>
  <c r="BL29" i="10"/>
  <c r="BK29" i="10"/>
  <c r="BJ29" i="10"/>
  <c r="BI29" i="10"/>
  <c r="BH29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BQ28" i="10"/>
  <c r="BP28" i="10"/>
  <c r="BO28" i="10"/>
  <c r="BN28" i="10"/>
  <c r="BM28" i="10"/>
  <c r="BL28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BQ27" i="10"/>
  <c r="BP27" i="10"/>
  <c r="BO27" i="10"/>
  <c r="BN27" i="10"/>
  <c r="BM27" i="10"/>
  <c r="BL27" i="10"/>
  <c r="BK27" i="10"/>
  <c r="BJ27" i="10"/>
  <c r="BI27" i="10"/>
  <c r="BH27" i="10"/>
  <c r="BG27" i="10"/>
  <c r="BF27" i="10"/>
  <c r="BE27" i="10"/>
  <c r="BD27" i="10"/>
  <c r="BC27" i="10"/>
  <c r="BB27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BQ26" i="10"/>
  <c r="BP26" i="10"/>
  <c r="BO26" i="10"/>
  <c r="BN26" i="10"/>
  <c r="BM26" i="10"/>
  <c r="BL26" i="10"/>
  <c r="BK26" i="10"/>
  <c r="BJ26" i="10"/>
  <c r="BI26" i="10"/>
  <c r="BH26" i="10"/>
  <c r="BG26" i="10"/>
  <c r="BF26" i="10"/>
  <c r="BE26" i="10"/>
  <c r="BD26" i="10"/>
  <c r="BC26" i="10"/>
  <c r="BB26" i="10"/>
  <c r="BA26" i="10"/>
  <c r="AZ26" i="10"/>
  <c r="AY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BQ25" i="10"/>
  <c r="BP25" i="10"/>
  <c r="BO25" i="10"/>
  <c r="BN25" i="10"/>
  <c r="BM25" i="10"/>
  <c r="BL25" i="10"/>
  <c r="BK25" i="10"/>
  <c r="BJ25" i="10"/>
  <c r="BI25" i="10"/>
  <c r="BH25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BQ24" i="10"/>
  <c r="BP24" i="10"/>
  <c r="BO24" i="10"/>
  <c r="BN24" i="10"/>
  <c r="BM24" i="10"/>
  <c r="BL24" i="10"/>
  <c r="BK24" i="10"/>
  <c r="BJ24" i="10"/>
  <c r="BI24" i="10"/>
  <c r="BH24" i="10"/>
  <c r="BG24" i="10"/>
  <c r="BF24" i="10"/>
  <c r="BE24" i="10"/>
  <c r="BD24" i="10"/>
  <c r="BC24" i="10"/>
  <c r="BB24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BQ23" i="10"/>
  <c r="BP23" i="10"/>
  <c r="BO23" i="10"/>
  <c r="BN23" i="10"/>
  <c r="BM23" i="10"/>
  <c r="BL23" i="10"/>
  <c r="BK23" i="10"/>
  <c r="BJ23" i="10"/>
  <c r="BI23" i="10"/>
  <c r="BH23" i="10"/>
  <c r="BG23" i="10"/>
  <c r="BF23" i="10"/>
  <c r="BE23" i="10"/>
  <c r="BD23" i="10"/>
  <c r="BC23" i="10"/>
  <c r="BB23" i="10"/>
  <c r="BA23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BQ22" i="10"/>
  <c r="BP22" i="10"/>
  <c r="BO22" i="10"/>
  <c r="BN22" i="10"/>
  <c r="BM22" i="10"/>
  <c r="BL22" i="10"/>
  <c r="BK22" i="10"/>
  <c r="BJ22" i="10"/>
  <c r="BI22" i="10"/>
  <c r="BH22" i="10"/>
  <c r="BG22" i="10"/>
  <c r="BF22" i="10"/>
  <c r="BE22" i="10"/>
  <c r="BD22" i="10"/>
  <c r="BC22" i="10"/>
  <c r="BB22" i="10"/>
  <c r="BA22" i="10"/>
  <c r="AZ22" i="10"/>
  <c r="AY22" i="10"/>
  <c r="AX22" i="10"/>
  <c r="AW22" i="10"/>
  <c r="AV22" i="10"/>
  <c r="AU22" i="10"/>
  <c r="AT22" i="10"/>
  <c r="AS22" i="10"/>
  <c r="AR22" i="10"/>
  <c r="AQ22" i="10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BQ21" i="10"/>
  <c r="BP21" i="10"/>
  <c r="BO21" i="10"/>
  <c r="BN21" i="10"/>
  <c r="BM21" i="10"/>
  <c r="BL21" i="10"/>
  <c r="BK21" i="10"/>
  <c r="BJ21" i="10"/>
  <c r="BI21" i="10"/>
  <c r="BH21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BQ19" i="10"/>
  <c r="BP19" i="10"/>
  <c r="BO19" i="10"/>
  <c r="BN19" i="10"/>
  <c r="BM19" i="10"/>
  <c r="BL19" i="10"/>
  <c r="BK19" i="10"/>
  <c r="BJ19" i="10"/>
  <c r="BI19" i="10"/>
  <c r="BH19" i="10"/>
  <c r="BG19" i="10"/>
  <c r="BF19" i="10"/>
  <c r="BE19" i="10"/>
  <c r="BD19" i="10"/>
  <c r="BC19" i="10"/>
  <c r="BB19" i="10"/>
  <c r="BA19" i="10"/>
  <c r="AZ19" i="10"/>
  <c r="AY19" i="10"/>
  <c r="AX19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BQ18" i="10"/>
  <c r="BP18" i="10"/>
  <c r="BO18" i="10"/>
  <c r="BN18" i="10"/>
  <c r="BM18" i="10"/>
  <c r="BL18" i="10"/>
  <c r="BK18" i="10"/>
  <c r="BJ18" i="10"/>
  <c r="BI18" i="10"/>
  <c r="BH18" i="10"/>
  <c r="BG18" i="10"/>
  <c r="BF18" i="10"/>
  <c r="BE18" i="10"/>
  <c r="BD18" i="10"/>
  <c r="BC18" i="10"/>
  <c r="BB18" i="10"/>
  <c r="BA18" i="10"/>
  <c r="AZ18" i="10"/>
  <c r="AY18" i="10"/>
  <c r="AX18" i="10"/>
  <c r="AW18" i="10"/>
  <c r="AV18" i="10"/>
  <c r="AU18" i="10"/>
  <c r="AT18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BQ17" i="10"/>
  <c r="BP17" i="10"/>
  <c r="BO17" i="10"/>
  <c r="BN17" i="10"/>
  <c r="BM17" i="10"/>
  <c r="BL17" i="10"/>
  <c r="BK17" i="10"/>
  <c r="BJ17" i="10"/>
  <c r="BI17" i="10"/>
  <c r="BH17" i="10"/>
  <c r="BG17" i="10"/>
  <c r="BF17" i="10"/>
  <c r="BE17" i="10"/>
  <c r="BD17" i="10"/>
  <c r="BC17" i="10"/>
  <c r="BB17" i="10"/>
  <c r="BA17" i="10"/>
  <c r="AZ17" i="10"/>
  <c r="AY17" i="10"/>
  <c r="AX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BQ16" i="10"/>
  <c r="BP16" i="10"/>
  <c r="BO16" i="10"/>
  <c r="BN16" i="10"/>
  <c r="BM16" i="10"/>
  <c r="BL16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BQ15" i="10"/>
  <c r="BP15" i="10"/>
  <c r="BO15" i="10"/>
  <c r="BN15" i="10"/>
  <c r="BM15" i="10"/>
  <c r="BL15" i="10"/>
  <c r="BK15" i="10"/>
  <c r="BJ15" i="10"/>
  <c r="BI15" i="10"/>
  <c r="BH15" i="10"/>
  <c r="BG15" i="10"/>
  <c r="BF15" i="10"/>
  <c r="BE15" i="10"/>
  <c r="BD15" i="10"/>
  <c r="BC15" i="10"/>
  <c r="BB15" i="10"/>
  <c r="BA15" i="10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BQ14" i="10"/>
  <c r="BP14" i="10"/>
  <c r="BO14" i="10"/>
  <c r="BN14" i="10"/>
  <c r="BM14" i="10"/>
  <c r="BL14" i="10"/>
  <c r="BK14" i="10"/>
  <c r="BJ14" i="10"/>
  <c r="BI14" i="10"/>
  <c r="BH14" i="10"/>
  <c r="BG14" i="10"/>
  <c r="BF14" i="10"/>
  <c r="BE14" i="10"/>
  <c r="BD14" i="10"/>
  <c r="BC14" i="10"/>
  <c r="BB14" i="10"/>
  <c r="BA14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BQ13" i="10"/>
  <c r="BP13" i="10"/>
  <c r="BO13" i="10"/>
  <c r="BN13" i="10"/>
  <c r="BM13" i="10"/>
  <c r="BL13" i="10"/>
  <c r="BK13" i="10"/>
  <c r="BJ13" i="10"/>
  <c r="BI13" i="10"/>
  <c r="BH13" i="10"/>
  <c r="BG13" i="10"/>
  <c r="BF13" i="10"/>
  <c r="BE13" i="10"/>
  <c r="BD13" i="10"/>
  <c r="BC13" i="10"/>
  <c r="BB13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F9" i="10"/>
  <c r="F8" i="10"/>
  <c r="F6" i="10"/>
  <c r="F5" i="10"/>
  <c r="F11" i="9"/>
  <c r="S46" i="9"/>
  <c r="L46" i="9"/>
  <c r="E46" i="9"/>
  <c r="B46" i="9"/>
  <c r="S45" i="9"/>
  <c r="L45" i="9"/>
  <c r="E45" i="9"/>
  <c r="B45" i="9"/>
  <c r="L39" i="9"/>
  <c r="F10" i="9"/>
  <c r="F9" i="9"/>
  <c r="F8" i="9"/>
  <c r="F7" i="9"/>
  <c r="F6" i="9"/>
  <c r="F5" i="9"/>
  <c r="AD39" i="7"/>
  <c r="F29" i="9" s="1"/>
  <c r="AE39" i="7"/>
  <c r="G29" i="9" s="1"/>
  <c r="AF39" i="7"/>
  <c r="H29" i="9" s="1"/>
  <c r="AG39" i="7"/>
  <c r="I29" i="9" s="1"/>
  <c r="AH39" i="7"/>
  <c r="J29" i="9" s="1"/>
  <c r="AI39" i="7"/>
  <c r="K29" i="9" s="1"/>
  <c r="AJ39" i="7"/>
  <c r="L29" i="9" s="1"/>
  <c r="AK39" i="7"/>
  <c r="M29" i="9" s="1"/>
  <c r="AL39" i="7"/>
  <c r="N29" i="9" s="1"/>
  <c r="AM39" i="7"/>
  <c r="O29" i="9" s="1"/>
  <c r="AN39" i="7"/>
  <c r="P29" i="9" s="1"/>
  <c r="AO39" i="7"/>
  <c r="Q29" i="9" s="1"/>
  <c r="AP39" i="7"/>
  <c r="R29" i="9" s="1"/>
  <c r="AQ39" i="7"/>
  <c r="S29" i="9" s="1"/>
  <c r="AR39" i="7"/>
  <c r="T29" i="9" s="1"/>
  <c r="AS39" i="7"/>
  <c r="U29" i="9" s="1"/>
  <c r="AT39" i="7"/>
  <c r="V29" i="9" s="1"/>
  <c r="AU39" i="7"/>
  <c r="W29" i="9" s="1"/>
  <c r="AV39" i="7"/>
  <c r="X29" i="9" s="1"/>
  <c r="AD41" i="7"/>
  <c r="F30" i="9" s="1"/>
  <c r="AE41" i="7"/>
  <c r="G30" i="9" s="1"/>
  <c r="AF41" i="7"/>
  <c r="H30" i="9" s="1"/>
  <c r="AG41" i="7"/>
  <c r="I30" i="9" s="1"/>
  <c r="AH41" i="7"/>
  <c r="J30" i="9" s="1"/>
  <c r="AI41" i="7"/>
  <c r="K30" i="9" s="1"/>
  <c r="AJ41" i="7"/>
  <c r="L30" i="9" s="1"/>
  <c r="AK41" i="7"/>
  <c r="M30" i="9" s="1"/>
  <c r="AL41" i="7"/>
  <c r="N30" i="9" s="1"/>
  <c r="AM41" i="7"/>
  <c r="O30" i="9" s="1"/>
  <c r="AN41" i="7"/>
  <c r="P30" i="9" s="1"/>
  <c r="AO41" i="7"/>
  <c r="Q30" i="9" s="1"/>
  <c r="AP41" i="7"/>
  <c r="R30" i="9" s="1"/>
  <c r="AQ41" i="7"/>
  <c r="S30" i="9" s="1"/>
  <c r="AR41" i="7"/>
  <c r="T30" i="9" s="1"/>
  <c r="AS41" i="7"/>
  <c r="U30" i="9" s="1"/>
  <c r="AT41" i="7"/>
  <c r="V30" i="9" s="1"/>
  <c r="AU41" i="7"/>
  <c r="BO41" i="7" s="1"/>
  <c r="AV41" i="7"/>
  <c r="AC41" i="7"/>
  <c r="AW41" i="7" s="1"/>
  <c r="AC39" i="7"/>
  <c r="AD21" i="7"/>
  <c r="AE21" i="7"/>
  <c r="AY21" i="7" s="1"/>
  <c r="AF21" i="7"/>
  <c r="AG21" i="7"/>
  <c r="AH21" i="7"/>
  <c r="AI21" i="7"/>
  <c r="BC21" i="7" s="1"/>
  <c r="AJ21" i="7"/>
  <c r="AK21" i="7"/>
  <c r="AL21" i="7"/>
  <c r="AM21" i="7"/>
  <c r="BG21" i="7" s="1"/>
  <c r="AN21" i="7"/>
  <c r="AO21" i="7"/>
  <c r="AP21" i="7"/>
  <c r="AQ21" i="7"/>
  <c r="BK21" i="7" s="1"/>
  <c r="AR21" i="7"/>
  <c r="AS21" i="7"/>
  <c r="AT21" i="7"/>
  <c r="AU21" i="7"/>
  <c r="BO21" i="7" s="1"/>
  <c r="AV21" i="7"/>
  <c r="BP21" i="7" s="1"/>
  <c r="AC21" i="7"/>
  <c r="AW21" i="7" s="1"/>
  <c r="AV69" i="7"/>
  <c r="BP69" i="7" s="1"/>
  <c r="CJ69" i="7" s="1"/>
  <c r="AU69" i="7"/>
  <c r="BO69" i="7" s="1"/>
  <c r="CI69" i="7" s="1"/>
  <c r="AT69" i="7"/>
  <c r="BN69" i="7" s="1"/>
  <c r="CH69" i="7" s="1"/>
  <c r="AS69" i="7"/>
  <c r="BM69" i="7" s="1"/>
  <c r="CG69" i="7" s="1"/>
  <c r="AR69" i="7"/>
  <c r="BL69" i="7" s="1"/>
  <c r="CF69" i="7" s="1"/>
  <c r="AQ69" i="7"/>
  <c r="BK69" i="7" s="1"/>
  <c r="CE69" i="7" s="1"/>
  <c r="AP69" i="7"/>
  <c r="BJ69" i="7" s="1"/>
  <c r="CD69" i="7" s="1"/>
  <c r="AO69" i="7"/>
  <c r="BI69" i="7" s="1"/>
  <c r="CC69" i="7" s="1"/>
  <c r="AN69" i="7"/>
  <c r="BH69" i="7" s="1"/>
  <c r="CB69" i="7" s="1"/>
  <c r="AM69" i="7"/>
  <c r="BG69" i="7" s="1"/>
  <c r="CA69" i="7" s="1"/>
  <c r="AL69" i="7"/>
  <c r="BF69" i="7" s="1"/>
  <c r="BZ69" i="7" s="1"/>
  <c r="AK69" i="7"/>
  <c r="BE69" i="7" s="1"/>
  <c r="BY69" i="7" s="1"/>
  <c r="AJ69" i="7"/>
  <c r="BD69" i="7" s="1"/>
  <c r="BX69" i="7" s="1"/>
  <c r="AI69" i="7"/>
  <c r="BC69" i="7" s="1"/>
  <c r="BW69" i="7" s="1"/>
  <c r="AH69" i="7"/>
  <c r="BB69" i="7" s="1"/>
  <c r="BV69" i="7" s="1"/>
  <c r="AG69" i="7"/>
  <c r="BA69" i="7" s="1"/>
  <c r="BU69" i="7" s="1"/>
  <c r="AF69" i="7"/>
  <c r="AZ69" i="7" s="1"/>
  <c r="BT69" i="7" s="1"/>
  <c r="AE69" i="7"/>
  <c r="AY69" i="7" s="1"/>
  <c r="BS69" i="7" s="1"/>
  <c r="AD69" i="7"/>
  <c r="AX69" i="7" s="1"/>
  <c r="BR69" i="7" s="1"/>
  <c r="AC69" i="7"/>
  <c r="AW69" i="7" s="1"/>
  <c r="BQ69" i="7" s="1"/>
  <c r="AV67" i="7"/>
  <c r="BP67" i="7" s="1"/>
  <c r="CJ67" i="7" s="1"/>
  <c r="AU67" i="7"/>
  <c r="BO67" i="7" s="1"/>
  <c r="CI67" i="7" s="1"/>
  <c r="AT67" i="7"/>
  <c r="BN67" i="7" s="1"/>
  <c r="CH67" i="7" s="1"/>
  <c r="AS67" i="7"/>
  <c r="BM67" i="7" s="1"/>
  <c r="CG67" i="7" s="1"/>
  <c r="AR67" i="7"/>
  <c r="BL67" i="7" s="1"/>
  <c r="CF67" i="7" s="1"/>
  <c r="AQ67" i="7"/>
  <c r="BK67" i="7" s="1"/>
  <c r="CE67" i="7" s="1"/>
  <c r="AP67" i="7"/>
  <c r="BJ67" i="7" s="1"/>
  <c r="CD67" i="7" s="1"/>
  <c r="AO67" i="7"/>
  <c r="BI67" i="7" s="1"/>
  <c r="CC67" i="7" s="1"/>
  <c r="AN67" i="7"/>
  <c r="BH67" i="7" s="1"/>
  <c r="CB67" i="7" s="1"/>
  <c r="AM67" i="7"/>
  <c r="BG67" i="7" s="1"/>
  <c r="CA67" i="7" s="1"/>
  <c r="AL67" i="7"/>
  <c r="BF67" i="7" s="1"/>
  <c r="BZ67" i="7" s="1"/>
  <c r="AK67" i="7"/>
  <c r="BE67" i="7" s="1"/>
  <c r="BY67" i="7" s="1"/>
  <c r="AJ67" i="7"/>
  <c r="BD67" i="7" s="1"/>
  <c r="BX67" i="7" s="1"/>
  <c r="AI67" i="7"/>
  <c r="BC67" i="7" s="1"/>
  <c r="BW67" i="7" s="1"/>
  <c r="AH67" i="7"/>
  <c r="BB67" i="7" s="1"/>
  <c r="BV67" i="7" s="1"/>
  <c r="AG67" i="7"/>
  <c r="BA67" i="7" s="1"/>
  <c r="BU67" i="7" s="1"/>
  <c r="AF67" i="7"/>
  <c r="AZ67" i="7" s="1"/>
  <c r="BT67" i="7" s="1"/>
  <c r="AE67" i="7"/>
  <c r="AY67" i="7" s="1"/>
  <c r="BS67" i="7" s="1"/>
  <c r="AD67" i="7"/>
  <c r="AX67" i="7" s="1"/>
  <c r="BR67" i="7" s="1"/>
  <c r="AC67" i="7"/>
  <c r="AW67" i="7" s="1"/>
  <c r="BQ67" i="7" s="1"/>
  <c r="AV64" i="7"/>
  <c r="BP64" i="7" s="1"/>
  <c r="CJ64" i="7" s="1"/>
  <c r="AU64" i="7"/>
  <c r="BO64" i="7" s="1"/>
  <c r="CI64" i="7" s="1"/>
  <c r="AT64" i="7"/>
  <c r="BN64" i="7" s="1"/>
  <c r="CH64" i="7" s="1"/>
  <c r="AS64" i="7"/>
  <c r="BM64" i="7" s="1"/>
  <c r="CG64" i="7" s="1"/>
  <c r="AR64" i="7"/>
  <c r="BL64" i="7" s="1"/>
  <c r="CF64" i="7" s="1"/>
  <c r="AQ64" i="7"/>
  <c r="BK64" i="7" s="1"/>
  <c r="CE64" i="7" s="1"/>
  <c r="AP64" i="7"/>
  <c r="BJ64" i="7" s="1"/>
  <c r="CD64" i="7" s="1"/>
  <c r="AO64" i="7"/>
  <c r="BI64" i="7" s="1"/>
  <c r="CC64" i="7" s="1"/>
  <c r="AN64" i="7"/>
  <c r="BH64" i="7" s="1"/>
  <c r="CB64" i="7" s="1"/>
  <c r="AM64" i="7"/>
  <c r="BG64" i="7" s="1"/>
  <c r="CA64" i="7" s="1"/>
  <c r="AL64" i="7"/>
  <c r="BF64" i="7" s="1"/>
  <c r="BZ64" i="7" s="1"/>
  <c r="AK64" i="7"/>
  <c r="BE64" i="7" s="1"/>
  <c r="BY64" i="7" s="1"/>
  <c r="AJ64" i="7"/>
  <c r="BD64" i="7" s="1"/>
  <c r="BX64" i="7" s="1"/>
  <c r="AI64" i="7"/>
  <c r="BC64" i="7" s="1"/>
  <c r="BW64" i="7" s="1"/>
  <c r="AH64" i="7"/>
  <c r="BB64" i="7" s="1"/>
  <c r="BV64" i="7" s="1"/>
  <c r="AG64" i="7"/>
  <c r="BA64" i="7" s="1"/>
  <c r="BU64" i="7" s="1"/>
  <c r="AF64" i="7"/>
  <c r="AZ64" i="7" s="1"/>
  <c r="BT64" i="7" s="1"/>
  <c r="AE64" i="7"/>
  <c r="AY64" i="7" s="1"/>
  <c r="BS64" i="7" s="1"/>
  <c r="AD64" i="7"/>
  <c r="AX64" i="7" s="1"/>
  <c r="BR64" i="7" s="1"/>
  <c r="AC64" i="7"/>
  <c r="AW64" i="7" s="1"/>
  <c r="BQ64" i="7" s="1"/>
  <c r="AV62" i="7"/>
  <c r="BP62" i="7" s="1"/>
  <c r="CJ62" i="7" s="1"/>
  <c r="AU62" i="7"/>
  <c r="BO62" i="7" s="1"/>
  <c r="CI62" i="7" s="1"/>
  <c r="AT62" i="7"/>
  <c r="BN62" i="7" s="1"/>
  <c r="CH62" i="7" s="1"/>
  <c r="AS62" i="7"/>
  <c r="BM62" i="7" s="1"/>
  <c r="CG62" i="7" s="1"/>
  <c r="AR62" i="7"/>
  <c r="BL62" i="7" s="1"/>
  <c r="CF62" i="7" s="1"/>
  <c r="AQ62" i="7"/>
  <c r="BK62" i="7" s="1"/>
  <c r="CE62" i="7" s="1"/>
  <c r="AP62" i="7"/>
  <c r="BJ62" i="7" s="1"/>
  <c r="CD62" i="7" s="1"/>
  <c r="AO62" i="7"/>
  <c r="BI62" i="7" s="1"/>
  <c r="CC62" i="7" s="1"/>
  <c r="AN62" i="7"/>
  <c r="BH62" i="7" s="1"/>
  <c r="CB62" i="7" s="1"/>
  <c r="AM62" i="7"/>
  <c r="BG62" i="7" s="1"/>
  <c r="CA62" i="7" s="1"/>
  <c r="AL62" i="7"/>
  <c r="BF62" i="7" s="1"/>
  <c r="BZ62" i="7" s="1"/>
  <c r="AK62" i="7"/>
  <c r="BE62" i="7" s="1"/>
  <c r="BY62" i="7" s="1"/>
  <c r="AJ62" i="7"/>
  <c r="BD62" i="7" s="1"/>
  <c r="BX62" i="7" s="1"/>
  <c r="AI62" i="7"/>
  <c r="BC62" i="7" s="1"/>
  <c r="BW62" i="7" s="1"/>
  <c r="AH62" i="7"/>
  <c r="BB62" i="7" s="1"/>
  <c r="BV62" i="7" s="1"/>
  <c r="AG62" i="7"/>
  <c r="BA62" i="7" s="1"/>
  <c r="BU62" i="7" s="1"/>
  <c r="AF62" i="7"/>
  <c r="AZ62" i="7" s="1"/>
  <c r="BT62" i="7" s="1"/>
  <c r="AE62" i="7"/>
  <c r="AY62" i="7" s="1"/>
  <c r="BS62" i="7" s="1"/>
  <c r="AD62" i="7"/>
  <c r="AX62" i="7" s="1"/>
  <c r="BR62" i="7" s="1"/>
  <c r="AC62" i="7"/>
  <c r="AW62" i="7" s="1"/>
  <c r="BQ62" i="7" s="1"/>
  <c r="AV55" i="7"/>
  <c r="BP55" i="7" s="1"/>
  <c r="CJ55" i="7" s="1"/>
  <c r="AU55" i="7"/>
  <c r="BO55" i="7" s="1"/>
  <c r="CI55" i="7" s="1"/>
  <c r="AT55" i="7"/>
  <c r="BN55" i="7" s="1"/>
  <c r="CH55" i="7" s="1"/>
  <c r="AS55" i="7"/>
  <c r="BM55" i="7" s="1"/>
  <c r="CG55" i="7" s="1"/>
  <c r="AR55" i="7"/>
  <c r="BL55" i="7" s="1"/>
  <c r="CF55" i="7" s="1"/>
  <c r="AQ55" i="7"/>
  <c r="BK55" i="7" s="1"/>
  <c r="CE55" i="7" s="1"/>
  <c r="AP55" i="7"/>
  <c r="BJ55" i="7" s="1"/>
  <c r="CD55" i="7" s="1"/>
  <c r="AO55" i="7"/>
  <c r="BI55" i="7" s="1"/>
  <c r="CC55" i="7" s="1"/>
  <c r="AN55" i="7"/>
  <c r="BH55" i="7" s="1"/>
  <c r="CB55" i="7" s="1"/>
  <c r="AM55" i="7"/>
  <c r="BG55" i="7" s="1"/>
  <c r="CA55" i="7" s="1"/>
  <c r="AL55" i="7"/>
  <c r="BF55" i="7" s="1"/>
  <c r="BZ55" i="7" s="1"/>
  <c r="AK55" i="7"/>
  <c r="BE55" i="7" s="1"/>
  <c r="BY55" i="7" s="1"/>
  <c r="AJ55" i="7"/>
  <c r="BD55" i="7" s="1"/>
  <c r="BX55" i="7" s="1"/>
  <c r="AI55" i="7"/>
  <c r="BC55" i="7" s="1"/>
  <c r="BW55" i="7" s="1"/>
  <c r="AH55" i="7"/>
  <c r="BB55" i="7" s="1"/>
  <c r="BV55" i="7" s="1"/>
  <c r="AG55" i="7"/>
  <c r="BA55" i="7" s="1"/>
  <c r="BU55" i="7" s="1"/>
  <c r="AF55" i="7"/>
  <c r="AZ55" i="7" s="1"/>
  <c r="BT55" i="7" s="1"/>
  <c r="AE55" i="7"/>
  <c r="AY55" i="7" s="1"/>
  <c r="BS55" i="7" s="1"/>
  <c r="AD55" i="7"/>
  <c r="AX55" i="7" s="1"/>
  <c r="BR55" i="7" s="1"/>
  <c r="AC55" i="7"/>
  <c r="AW55" i="7" s="1"/>
  <c r="BQ55" i="7" s="1"/>
  <c r="AV53" i="7"/>
  <c r="BP53" i="7" s="1"/>
  <c r="AU53" i="7"/>
  <c r="BO53" i="7" s="1"/>
  <c r="CI53" i="7" s="1"/>
  <c r="AT53" i="7"/>
  <c r="BN53" i="7" s="1"/>
  <c r="CH53" i="7" s="1"/>
  <c r="AS53" i="7"/>
  <c r="BM53" i="7" s="1"/>
  <c r="AR53" i="7"/>
  <c r="BL53" i="7" s="1"/>
  <c r="AQ53" i="7"/>
  <c r="BK53" i="7" s="1"/>
  <c r="CE53" i="7" s="1"/>
  <c r="AP53" i="7"/>
  <c r="BJ53" i="7" s="1"/>
  <c r="AO53" i="7"/>
  <c r="BI53" i="7" s="1"/>
  <c r="AN53" i="7"/>
  <c r="BH53" i="7" s="1"/>
  <c r="AM53" i="7"/>
  <c r="BG53" i="7" s="1"/>
  <c r="CA53" i="7" s="1"/>
  <c r="AL53" i="7"/>
  <c r="BF53" i="7" s="1"/>
  <c r="AK53" i="7"/>
  <c r="BE53" i="7" s="1"/>
  <c r="AJ53" i="7"/>
  <c r="BD53" i="7" s="1"/>
  <c r="AI53" i="7"/>
  <c r="BC53" i="7" s="1"/>
  <c r="BW53" i="7" s="1"/>
  <c r="AH53" i="7"/>
  <c r="BB53" i="7" s="1"/>
  <c r="AG53" i="7"/>
  <c r="BA53" i="7" s="1"/>
  <c r="BU53" i="7" s="1"/>
  <c r="AF53" i="7"/>
  <c r="AZ53" i="7" s="1"/>
  <c r="AE53" i="7"/>
  <c r="AY53" i="7" s="1"/>
  <c r="BS53" i="7" s="1"/>
  <c r="AD53" i="7"/>
  <c r="AX53" i="7" s="1"/>
  <c r="AC53" i="7"/>
  <c r="AW53" i="7" s="1"/>
  <c r="AV48" i="7"/>
  <c r="AU48" i="7"/>
  <c r="BO48" i="7" s="1"/>
  <c r="AT48" i="7"/>
  <c r="AS48" i="7"/>
  <c r="BM48" i="7" s="1"/>
  <c r="AR48" i="7"/>
  <c r="AQ48" i="7"/>
  <c r="BK48" i="7" s="1"/>
  <c r="AP48" i="7"/>
  <c r="AO48" i="7"/>
  <c r="BI48" i="7" s="1"/>
  <c r="AN48" i="7"/>
  <c r="AM48" i="7"/>
  <c r="BG48" i="7" s="1"/>
  <c r="AL48" i="7"/>
  <c r="AK48" i="7"/>
  <c r="BE48" i="7" s="1"/>
  <c r="AJ48" i="7"/>
  <c r="AI48" i="7"/>
  <c r="BC48" i="7" s="1"/>
  <c r="AH48" i="7"/>
  <c r="AG48" i="7"/>
  <c r="BA48" i="7" s="1"/>
  <c r="AF48" i="7"/>
  <c r="AE48" i="7"/>
  <c r="AY48" i="7" s="1"/>
  <c r="AD48" i="7"/>
  <c r="AC48" i="7"/>
  <c r="AW48" i="7" s="1"/>
  <c r="AV43" i="7"/>
  <c r="BP43" i="7" s="1"/>
  <c r="AU43" i="7"/>
  <c r="AT43" i="7"/>
  <c r="BN43" i="7" s="1"/>
  <c r="AS43" i="7"/>
  <c r="AR43" i="7"/>
  <c r="BL43" i="7" s="1"/>
  <c r="AQ43" i="7"/>
  <c r="AP43" i="7"/>
  <c r="BJ43" i="7" s="1"/>
  <c r="AO43" i="7"/>
  <c r="AN43" i="7"/>
  <c r="BH43" i="7" s="1"/>
  <c r="AM43" i="7"/>
  <c r="AL43" i="7"/>
  <c r="BF43" i="7" s="1"/>
  <c r="AK43" i="7"/>
  <c r="AJ43" i="7"/>
  <c r="BD43" i="7" s="1"/>
  <c r="AI43" i="7"/>
  <c r="AH43" i="7"/>
  <c r="BB43" i="7" s="1"/>
  <c r="AG43" i="7"/>
  <c r="AF43" i="7"/>
  <c r="AZ43" i="7" s="1"/>
  <c r="AE43" i="7"/>
  <c r="AD43" i="7"/>
  <c r="AX43" i="7" s="1"/>
  <c r="AC43" i="7"/>
  <c r="AV37" i="7"/>
  <c r="AU37" i="7"/>
  <c r="BO37" i="7" s="1"/>
  <c r="AT37" i="7"/>
  <c r="AS37" i="7"/>
  <c r="BM37" i="7" s="1"/>
  <c r="AR37" i="7"/>
  <c r="AQ37" i="7"/>
  <c r="BK37" i="7" s="1"/>
  <c r="AP37" i="7"/>
  <c r="AO37" i="7"/>
  <c r="BI37" i="7" s="1"/>
  <c r="AN37" i="7"/>
  <c r="AM37" i="7"/>
  <c r="BG37" i="7" s="1"/>
  <c r="AL37" i="7"/>
  <c r="AK37" i="7"/>
  <c r="BE37" i="7" s="1"/>
  <c r="AJ37" i="7"/>
  <c r="AI37" i="7"/>
  <c r="BC37" i="7" s="1"/>
  <c r="AH37" i="7"/>
  <c r="AG37" i="7"/>
  <c r="BA37" i="7" s="1"/>
  <c r="AF37" i="7"/>
  <c r="AE37" i="7"/>
  <c r="AY37" i="7" s="1"/>
  <c r="AD37" i="7"/>
  <c r="AC37" i="7"/>
  <c r="AW37" i="7" s="1"/>
  <c r="AV35" i="7"/>
  <c r="BP35" i="7" s="1"/>
  <c r="AU35" i="7"/>
  <c r="BO35" i="7" s="1"/>
  <c r="AT35" i="7"/>
  <c r="BN35" i="7" s="1"/>
  <c r="AS35" i="7"/>
  <c r="BM35" i="7" s="1"/>
  <c r="AR35" i="7"/>
  <c r="BL35" i="7" s="1"/>
  <c r="AQ35" i="7"/>
  <c r="BK35" i="7" s="1"/>
  <c r="AP35" i="7"/>
  <c r="BJ35" i="7" s="1"/>
  <c r="AO35" i="7"/>
  <c r="BI35" i="7" s="1"/>
  <c r="AN35" i="7"/>
  <c r="BH35" i="7" s="1"/>
  <c r="AM35" i="7"/>
  <c r="BG35" i="7" s="1"/>
  <c r="AL35" i="7"/>
  <c r="BF35" i="7" s="1"/>
  <c r="AK35" i="7"/>
  <c r="BE35" i="7" s="1"/>
  <c r="AJ35" i="7"/>
  <c r="BD35" i="7" s="1"/>
  <c r="AI35" i="7"/>
  <c r="BC35" i="7" s="1"/>
  <c r="AH35" i="7"/>
  <c r="BB35" i="7" s="1"/>
  <c r="AG35" i="7"/>
  <c r="BA35" i="7" s="1"/>
  <c r="AF35" i="7"/>
  <c r="AZ35" i="7" s="1"/>
  <c r="AE35" i="7"/>
  <c r="AY35" i="7" s="1"/>
  <c r="AD35" i="7"/>
  <c r="AX35" i="7" s="1"/>
  <c r="AC35" i="7"/>
  <c r="AW35" i="7" s="1"/>
  <c r="AV33" i="7"/>
  <c r="X27" i="9" s="1"/>
  <c r="AU33" i="7"/>
  <c r="AT33" i="7"/>
  <c r="AS33" i="7"/>
  <c r="AR33" i="7"/>
  <c r="T27" i="9" s="1"/>
  <c r="AQ33" i="7"/>
  <c r="AP33" i="7"/>
  <c r="AO33" i="7"/>
  <c r="AN33" i="7"/>
  <c r="P27" i="9" s="1"/>
  <c r="AM33" i="7"/>
  <c r="AL33" i="7"/>
  <c r="AK33" i="7"/>
  <c r="AJ33" i="7"/>
  <c r="L27" i="9" s="1"/>
  <c r="AI33" i="7"/>
  <c r="AH33" i="7"/>
  <c r="AG33" i="7"/>
  <c r="AF33" i="7"/>
  <c r="H27" i="9" s="1"/>
  <c r="AE33" i="7"/>
  <c r="AD33" i="7"/>
  <c r="AC33" i="7"/>
  <c r="AV31" i="7"/>
  <c r="BP31" i="7" s="1"/>
  <c r="AU31" i="7"/>
  <c r="AT31" i="7"/>
  <c r="BN31" i="7" s="1"/>
  <c r="AS31" i="7"/>
  <c r="AR31" i="7"/>
  <c r="BL31" i="7" s="1"/>
  <c r="AQ31" i="7"/>
  <c r="AP31" i="7"/>
  <c r="BJ31" i="7" s="1"/>
  <c r="AO31" i="7"/>
  <c r="AN31" i="7"/>
  <c r="BH31" i="7" s="1"/>
  <c r="AM31" i="7"/>
  <c r="AL31" i="7"/>
  <c r="BF31" i="7" s="1"/>
  <c r="AK31" i="7"/>
  <c r="AJ31" i="7"/>
  <c r="BD31" i="7" s="1"/>
  <c r="AI31" i="7"/>
  <c r="AH31" i="7"/>
  <c r="BB31" i="7" s="1"/>
  <c r="AG31" i="7"/>
  <c r="AF31" i="7"/>
  <c r="AZ31" i="7" s="1"/>
  <c r="AE31" i="7"/>
  <c r="AD31" i="7"/>
  <c r="AX31" i="7" s="1"/>
  <c r="AC31" i="7"/>
  <c r="AV29" i="7"/>
  <c r="AU29" i="7"/>
  <c r="BO29" i="7" s="1"/>
  <c r="AT29" i="7"/>
  <c r="AS29" i="7"/>
  <c r="BM29" i="7" s="1"/>
  <c r="AR29" i="7"/>
  <c r="AQ29" i="7"/>
  <c r="BK29" i="7" s="1"/>
  <c r="AP29" i="7"/>
  <c r="AO29" i="7"/>
  <c r="BI29" i="7" s="1"/>
  <c r="AN29" i="7"/>
  <c r="AM29" i="7"/>
  <c r="BG29" i="7" s="1"/>
  <c r="AL29" i="7"/>
  <c r="AK29" i="7"/>
  <c r="BE29" i="7" s="1"/>
  <c r="AJ29" i="7"/>
  <c r="AI29" i="7"/>
  <c r="BC29" i="7" s="1"/>
  <c r="AH29" i="7"/>
  <c r="AG29" i="7"/>
  <c r="BA29" i="7" s="1"/>
  <c r="AF29" i="7"/>
  <c r="AE29" i="7"/>
  <c r="AY29" i="7" s="1"/>
  <c r="AD29" i="7"/>
  <c r="AC29" i="7"/>
  <c r="AW29" i="7" s="1"/>
  <c r="AV27" i="7"/>
  <c r="BP27" i="7" s="1"/>
  <c r="AU27" i="7"/>
  <c r="AT27" i="7"/>
  <c r="BN27" i="7" s="1"/>
  <c r="AS27" i="7"/>
  <c r="AR27" i="7"/>
  <c r="BL27" i="7" s="1"/>
  <c r="AQ27" i="7"/>
  <c r="AP27" i="7"/>
  <c r="BJ27" i="7" s="1"/>
  <c r="AO27" i="7"/>
  <c r="AN27" i="7"/>
  <c r="BH27" i="7" s="1"/>
  <c r="AM27" i="7"/>
  <c r="AL27" i="7"/>
  <c r="BF27" i="7" s="1"/>
  <c r="AK27" i="7"/>
  <c r="AJ27" i="7"/>
  <c r="BD27" i="7" s="1"/>
  <c r="AI27" i="7"/>
  <c r="AH27" i="7"/>
  <c r="BB27" i="7" s="1"/>
  <c r="AG27" i="7"/>
  <c r="AF27" i="7"/>
  <c r="AZ27" i="7" s="1"/>
  <c r="AE27" i="7"/>
  <c r="AD27" i="7"/>
  <c r="AX27" i="7" s="1"/>
  <c r="AC27" i="7"/>
  <c r="AV25" i="7"/>
  <c r="AU25" i="7"/>
  <c r="BO25" i="7" s="1"/>
  <c r="AT25" i="7"/>
  <c r="AS25" i="7"/>
  <c r="BM25" i="7" s="1"/>
  <c r="AR25" i="7"/>
  <c r="AQ25" i="7"/>
  <c r="BK25" i="7" s="1"/>
  <c r="AP25" i="7"/>
  <c r="AO25" i="7"/>
  <c r="BI25" i="7" s="1"/>
  <c r="AN25" i="7"/>
  <c r="AM25" i="7"/>
  <c r="BG25" i="7" s="1"/>
  <c r="AL25" i="7"/>
  <c r="AK25" i="7"/>
  <c r="BE25" i="7" s="1"/>
  <c r="AJ25" i="7"/>
  <c r="AI25" i="7"/>
  <c r="BC25" i="7" s="1"/>
  <c r="AH25" i="7"/>
  <c r="AG25" i="7"/>
  <c r="BA25" i="7" s="1"/>
  <c r="AF25" i="7"/>
  <c r="AE25" i="7"/>
  <c r="AY25" i="7" s="1"/>
  <c r="AD25" i="7"/>
  <c r="AC25" i="7"/>
  <c r="AW25" i="7" s="1"/>
  <c r="AV23" i="7"/>
  <c r="BP23" i="7" s="1"/>
  <c r="AU23" i="7"/>
  <c r="AT23" i="7"/>
  <c r="BN23" i="7" s="1"/>
  <c r="AS23" i="7"/>
  <c r="AR23" i="7"/>
  <c r="BL23" i="7" s="1"/>
  <c r="AQ23" i="7"/>
  <c r="AP23" i="7"/>
  <c r="BJ23" i="7" s="1"/>
  <c r="AO23" i="7"/>
  <c r="AN23" i="7"/>
  <c r="BH23" i="7" s="1"/>
  <c r="AM23" i="7"/>
  <c r="AL23" i="7"/>
  <c r="AK23" i="7"/>
  <c r="BE23" i="7" s="1"/>
  <c r="AJ23" i="7"/>
  <c r="AI23" i="7"/>
  <c r="AH23" i="7"/>
  <c r="AG23" i="7"/>
  <c r="BA23" i="7" s="1"/>
  <c r="AF23" i="7"/>
  <c r="AE23" i="7"/>
  <c r="AD23" i="7"/>
  <c r="AC23" i="7"/>
  <c r="AV19" i="7"/>
  <c r="BP19" i="7" s="1"/>
  <c r="AU19" i="7"/>
  <c r="AT19" i="7"/>
  <c r="AS19" i="7"/>
  <c r="BM19" i="7" s="1"/>
  <c r="AR19" i="7"/>
  <c r="AQ19" i="7"/>
  <c r="AP19" i="7"/>
  <c r="AO19" i="7"/>
  <c r="BI19" i="7" s="1"/>
  <c r="AN19" i="7"/>
  <c r="AM19" i="7"/>
  <c r="AL19" i="7"/>
  <c r="AK19" i="7"/>
  <c r="BE19" i="7" s="1"/>
  <c r="AJ19" i="7"/>
  <c r="AI19" i="7"/>
  <c r="AH19" i="7"/>
  <c r="AG19" i="7"/>
  <c r="BA19" i="7" s="1"/>
  <c r="AF19" i="7"/>
  <c r="AE19" i="7"/>
  <c r="AD19" i="7"/>
  <c r="AC19" i="7"/>
  <c r="AV17" i="7"/>
  <c r="BP17" i="7" s="1"/>
  <c r="AU17" i="7"/>
  <c r="BO17" i="7" s="1"/>
  <c r="AT17" i="7"/>
  <c r="AS17" i="7"/>
  <c r="AR17" i="7"/>
  <c r="AQ17" i="7"/>
  <c r="BK17" i="7" s="1"/>
  <c r="AP17" i="7"/>
  <c r="AO17" i="7"/>
  <c r="AN17" i="7"/>
  <c r="AM17" i="7"/>
  <c r="BG17" i="7" s="1"/>
  <c r="AL17" i="7"/>
  <c r="AK17" i="7"/>
  <c r="AJ17" i="7"/>
  <c r="AI17" i="7"/>
  <c r="BC17" i="7" s="1"/>
  <c r="AH17" i="7"/>
  <c r="AG17" i="7"/>
  <c r="AF17" i="7"/>
  <c r="AE17" i="7"/>
  <c r="AY17" i="7" s="1"/>
  <c r="AD17" i="7"/>
  <c r="AC17" i="7"/>
  <c r="AW17" i="7" s="1"/>
  <c r="AV15" i="7"/>
  <c r="BP15" i="7" s="1"/>
  <c r="AU15" i="7"/>
  <c r="AT15" i="7"/>
  <c r="AS15" i="7"/>
  <c r="BM15" i="7" s="1"/>
  <c r="AR15" i="7"/>
  <c r="AQ15" i="7"/>
  <c r="AP15" i="7"/>
  <c r="AO15" i="7"/>
  <c r="BI15" i="7" s="1"/>
  <c r="AN15" i="7"/>
  <c r="AM15" i="7"/>
  <c r="AL15" i="7"/>
  <c r="AK15" i="7"/>
  <c r="BE15" i="7" s="1"/>
  <c r="AJ15" i="7"/>
  <c r="AI15" i="7"/>
  <c r="AH15" i="7"/>
  <c r="AG15" i="7"/>
  <c r="BA15" i="7" s="1"/>
  <c r="AF15" i="7"/>
  <c r="AE15" i="7"/>
  <c r="AD15" i="7"/>
  <c r="AC15" i="7"/>
  <c r="AV10" i="7"/>
  <c r="BP10" i="7" s="1"/>
  <c r="AU10" i="7"/>
  <c r="BO10" i="7" s="1"/>
  <c r="AT10" i="7"/>
  <c r="AS10" i="7"/>
  <c r="AR10" i="7"/>
  <c r="AQ10" i="7"/>
  <c r="BK10" i="7" s="1"/>
  <c r="AP10" i="7"/>
  <c r="AO10" i="7"/>
  <c r="AN10" i="7"/>
  <c r="AM10" i="7"/>
  <c r="BG10" i="7" s="1"/>
  <c r="AL10" i="7"/>
  <c r="AK10" i="7"/>
  <c r="AJ10" i="7"/>
  <c r="AI10" i="7"/>
  <c r="BC10" i="7" s="1"/>
  <c r="AH10" i="7"/>
  <c r="AG10" i="7"/>
  <c r="AF10" i="7"/>
  <c r="AE10" i="7"/>
  <c r="AY10" i="7" s="1"/>
  <c r="AD10" i="7"/>
  <c r="AC10" i="7"/>
  <c r="AW10" i="7" s="1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V6" i="7"/>
  <c r="BP6" i="7" s="1"/>
  <c r="AU6" i="7"/>
  <c r="AT6" i="7"/>
  <c r="AS6" i="7"/>
  <c r="BM6" i="7" s="1"/>
  <c r="AR6" i="7"/>
  <c r="AQ6" i="7"/>
  <c r="AP6" i="7"/>
  <c r="AO6" i="7"/>
  <c r="BI6" i="7" s="1"/>
  <c r="AN6" i="7"/>
  <c r="AM6" i="7"/>
  <c r="AL6" i="7"/>
  <c r="AK6" i="7"/>
  <c r="BE6" i="7" s="1"/>
  <c r="AJ6" i="7"/>
  <c r="AI6" i="7"/>
  <c r="AH6" i="7"/>
  <c r="AG6" i="7"/>
  <c r="BA6" i="7" s="1"/>
  <c r="AF6" i="7"/>
  <c r="AE6" i="7"/>
  <c r="AD6" i="7"/>
  <c r="AC6" i="7"/>
  <c r="BN39" i="7" l="1"/>
  <c r="BJ39" i="7"/>
  <c r="BF39" i="7"/>
  <c r="BB39" i="7"/>
  <c r="AX39" i="7"/>
  <c r="BK41" i="7"/>
  <c r="BG41" i="7"/>
  <c r="BC41" i="7"/>
  <c r="AY41" i="7"/>
  <c r="T31" i="9"/>
  <c r="L31" i="9"/>
  <c r="W30" i="9"/>
  <c r="R25" i="9"/>
  <c r="J25" i="9"/>
  <c r="X23" i="9"/>
  <c r="P23" i="9"/>
  <c r="H23" i="9"/>
  <c r="R21" i="9"/>
  <c r="BP39" i="7"/>
  <c r="BL39" i="7"/>
  <c r="BH39" i="7"/>
  <c r="BD39" i="7"/>
  <c r="AZ39" i="7"/>
  <c r="BM41" i="7"/>
  <c r="BI41" i="7"/>
  <c r="BE41" i="7"/>
  <c r="BA41" i="7"/>
  <c r="X31" i="9"/>
  <c r="P31" i="9"/>
  <c r="H31" i="9"/>
  <c r="V25" i="9"/>
  <c r="N25" i="9"/>
  <c r="F25" i="9"/>
  <c r="T23" i="9"/>
  <c r="L23" i="9"/>
  <c r="V21" i="9"/>
  <c r="AW6" i="7"/>
  <c r="BQ6" i="7" s="1"/>
  <c r="CK6" i="7" s="1"/>
  <c r="E15" i="9"/>
  <c r="AY6" i="7"/>
  <c r="BS6" i="7" s="1"/>
  <c r="CM6" i="7" s="1"/>
  <c r="G15" i="9"/>
  <c r="BO15" i="7"/>
  <c r="W17" i="9"/>
  <c r="BE17" i="7"/>
  <c r="M18" i="9"/>
  <c r="BI17" i="7"/>
  <c r="Q18" i="9"/>
  <c r="BM17" i="7"/>
  <c r="U18" i="9"/>
  <c r="AW19" i="7"/>
  <c r="E19" i="9"/>
  <c r="AY19" i="7"/>
  <c r="G19" i="9"/>
  <c r="BC19" i="7"/>
  <c r="K19" i="9"/>
  <c r="BG19" i="7"/>
  <c r="O19" i="9"/>
  <c r="BK19" i="7"/>
  <c r="S19" i="9"/>
  <c r="BO19" i="7"/>
  <c r="W19" i="9"/>
  <c r="AW23" i="7"/>
  <c r="E21" i="9"/>
  <c r="AY23" i="7"/>
  <c r="G21" i="9"/>
  <c r="BC23" i="7"/>
  <c r="K21" i="9"/>
  <c r="BG23" i="7"/>
  <c r="O21" i="9"/>
  <c r="BI23" i="7"/>
  <c r="Q21" i="9"/>
  <c r="BK23" i="7"/>
  <c r="S21" i="9"/>
  <c r="BM23" i="7"/>
  <c r="U21" i="9"/>
  <c r="BO23" i="7"/>
  <c r="W21" i="9"/>
  <c r="AW27" i="7"/>
  <c r="E23" i="9"/>
  <c r="AY27" i="7"/>
  <c r="G23" i="9"/>
  <c r="BA27" i="7"/>
  <c r="I23" i="9"/>
  <c r="BC27" i="7"/>
  <c r="K23" i="9"/>
  <c r="BE27" i="7"/>
  <c r="M23" i="9"/>
  <c r="BG27" i="7"/>
  <c r="O23" i="9"/>
  <c r="BI27" i="7"/>
  <c r="Q23" i="9"/>
  <c r="BK27" i="7"/>
  <c r="S23" i="9"/>
  <c r="BM27" i="7"/>
  <c r="U23" i="9"/>
  <c r="BO27" i="7"/>
  <c r="W23" i="9"/>
  <c r="AW31" i="7"/>
  <c r="E25" i="9"/>
  <c r="AY31" i="7"/>
  <c r="G25" i="9"/>
  <c r="BA31" i="7"/>
  <c r="I25" i="9"/>
  <c r="BC31" i="7"/>
  <c r="K25" i="9"/>
  <c r="BE31" i="7"/>
  <c r="M25" i="9"/>
  <c r="BG31" i="7"/>
  <c r="O25" i="9"/>
  <c r="BI31" i="7"/>
  <c r="Q25" i="9"/>
  <c r="BK31" i="7"/>
  <c r="S25" i="9"/>
  <c r="BM31" i="7"/>
  <c r="U25" i="9"/>
  <c r="BO31" i="7"/>
  <c r="W25" i="9"/>
  <c r="AW33" i="7"/>
  <c r="E27" i="9"/>
  <c r="AY33" i="7"/>
  <c r="G27" i="9"/>
  <c r="BA33" i="7"/>
  <c r="I27" i="9"/>
  <c r="BC33" i="7"/>
  <c r="K27" i="9"/>
  <c r="BE33" i="7"/>
  <c r="M27" i="9"/>
  <c r="BG33" i="7"/>
  <c r="O27" i="9"/>
  <c r="BI33" i="7"/>
  <c r="Q27" i="9"/>
  <c r="BK33" i="7"/>
  <c r="S27" i="9"/>
  <c r="BM33" i="7"/>
  <c r="U27" i="9"/>
  <c r="BO33" i="7"/>
  <c r="W27" i="9"/>
  <c r="AW43" i="7"/>
  <c r="BQ43" i="7" s="1"/>
  <c r="E31" i="9"/>
  <c r="AY43" i="7"/>
  <c r="BS43" i="7" s="1"/>
  <c r="G31" i="9"/>
  <c r="BA43" i="7"/>
  <c r="BU43" i="7" s="1"/>
  <c r="I31" i="9"/>
  <c r="BC43" i="7"/>
  <c r="BW43" i="7" s="1"/>
  <c r="K31" i="9"/>
  <c r="BE43" i="7"/>
  <c r="BY43" i="7" s="1"/>
  <c r="M31" i="9"/>
  <c r="BG43" i="7"/>
  <c r="CA43" i="7" s="1"/>
  <c r="O31" i="9"/>
  <c r="BI43" i="7"/>
  <c r="Q31" i="9"/>
  <c r="BK43" i="7"/>
  <c r="CE43" i="7" s="1"/>
  <c r="S31" i="9"/>
  <c r="BM43" i="7"/>
  <c r="CG43" i="7" s="1"/>
  <c r="U31" i="9"/>
  <c r="BO43" i="7"/>
  <c r="CI43" i="7" s="1"/>
  <c r="W31" i="9"/>
  <c r="BM21" i="7"/>
  <c r="CG15" i="7" s="1"/>
  <c r="DA15" i="7" s="1"/>
  <c r="U20" i="9"/>
  <c r="BI21" i="7"/>
  <c r="Q20" i="9"/>
  <c r="BE21" i="7"/>
  <c r="M20" i="9"/>
  <c r="BA21" i="7"/>
  <c r="I20" i="9"/>
  <c r="AW39" i="7"/>
  <c r="E29" i="9"/>
  <c r="BP41" i="7"/>
  <c r="X30" i="9"/>
  <c r="E16" i="9"/>
  <c r="E20" i="9"/>
  <c r="E24" i="9"/>
  <c r="E28" i="9"/>
  <c r="E32" i="9"/>
  <c r="U32" i="9"/>
  <c r="Q32" i="9"/>
  <c r="M32" i="9"/>
  <c r="I32" i="9"/>
  <c r="U28" i="9"/>
  <c r="Q28" i="9"/>
  <c r="M28" i="9"/>
  <c r="I28" i="9"/>
  <c r="W26" i="9"/>
  <c r="S26" i="9"/>
  <c r="O26" i="9"/>
  <c r="K26" i="9"/>
  <c r="G26" i="9"/>
  <c r="U24" i="9"/>
  <c r="Q24" i="9"/>
  <c r="M24" i="9"/>
  <c r="I24" i="9"/>
  <c r="W22" i="9"/>
  <c r="S22" i="9"/>
  <c r="O22" i="9"/>
  <c r="K22" i="9"/>
  <c r="G22" i="9"/>
  <c r="M21" i="9"/>
  <c r="W20" i="9"/>
  <c r="O20" i="9"/>
  <c r="G20" i="9"/>
  <c r="Q19" i="9"/>
  <c r="I19" i="9"/>
  <c r="S18" i="9"/>
  <c r="K18" i="9"/>
  <c r="U17" i="9"/>
  <c r="M17" i="9"/>
  <c r="W16" i="9"/>
  <c r="O16" i="9"/>
  <c r="G16" i="9"/>
  <c r="Q15" i="9"/>
  <c r="I15" i="9"/>
  <c r="AX6" i="7"/>
  <c r="F15" i="9"/>
  <c r="AZ6" i="7"/>
  <c r="H15" i="9"/>
  <c r="BB6" i="7"/>
  <c r="J15" i="9"/>
  <c r="BD6" i="7"/>
  <c r="L15" i="9"/>
  <c r="BF6" i="7"/>
  <c r="N15" i="9"/>
  <c r="BH6" i="7"/>
  <c r="P15" i="9"/>
  <c r="BJ6" i="7"/>
  <c r="R15" i="9"/>
  <c r="BL6" i="7"/>
  <c r="T15" i="9"/>
  <c r="BN6" i="7"/>
  <c r="V15" i="9"/>
  <c r="AX10" i="7"/>
  <c r="F16" i="9"/>
  <c r="AZ10" i="7"/>
  <c r="H16" i="9"/>
  <c r="BB10" i="7"/>
  <c r="J16" i="9"/>
  <c r="BD10" i="7"/>
  <c r="L16" i="9"/>
  <c r="BF10" i="7"/>
  <c r="N16" i="9"/>
  <c r="BH10" i="7"/>
  <c r="P16" i="9"/>
  <c r="BJ10" i="7"/>
  <c r="R16" i="9"/>
  <c r="BL10" i="7"/>
  <c r="T16" i="9"/>
  <c r="BN10" i="7"/>
  <c r="V16" i="9"/>
  <c r="AX15" i="7"/>
  <c r="F17" i="9"/>
  <c r="AZ15" i="7"/>
  <c r="H17" i="9"/>
  <c r="BB15" i="7"/>
  <c r="J17" i="9"/>
  <c r="BD15" i="7"/>
  <c r="L17" i="9"/>
  <c r="BF15" i="7"/>
  <c r="N17" i="9"/>
  <c r="BH15" i="7"/>
  <c r="P17" i="9"/>
  <c r="BJ15" i="7"/>
  <c r="R17" i="9"/>
  <c r="BL15" i="7"/>
  <c r="T17" i="9"/>
  <c r="BN15" i="7"/>
  <c r="V17" i="9"/>
  <c r="AX17" i="7"/>
  <c r="F18" i="9"/>
  <c r="AZ17" i="7"/>
  <c r="H18" i="9"/>
  <c r="BB17" i="7"/>
  <c r="J18" i="9"/>
  <c r="BD17" i="7"/>
  <c r="L18" i="9"/>
  <c r="BF17" i="7"/>
  <c r="N18" i="9"/>
  <c r="BH17" i="7"/>
  <c r="P18" i="9"/>
  <c r="BJ17" i="7"/>
  <c r="R18" i="9"/>
  <c r="BL17" i="7"/>
  <c r="T18" i="9"/>
  <c r="BN17" i="7"/>
  <c r="V18" i="9"/>
  <c r="AX19" i="7"/>
  <c r="F19" i="9"/>
  <c r="AZ19" i="7"/>
  <c r="H19" i="9"/>
  <c r="BB19" i="7"/>
  <c r="J19" i="9"/>
  <c r="BD19" i="7"/>
  <c r="L19" i="9"/>
  <c r="BF19" i="7"/>
  <c r="N19" i="9"/>
  <c r="BH19" i="7"/>
  <c r="P19" i="9"/>
  <c r="BJ19" i="7"/>
  <c r="R19" i="9"/>
  <c r="BL19" i="7"/>
  <c r="T19" i="9"/>
  <c r="BN19" i="7"/>
  <c r="V19" i="9"/>
  <c r="AX23" i="7"/>
  <c r="F21" i="9"/>
  <c r="AZ23" i="7"/>
  <c r="H21" i="9"/>
  <c r="BB23" i="7"/>
  <c r="J21" i="9"/>
  <c r="BD23" i="7"/>
  <c r="L21" i="9"/>
  <c r="BF23" i="7"/>
  <c r="N21" i="9"/>
  <c r="AX25" i="7"/>
  <c r="F22" i="9"/>
  <c r="AZ25" i="7"/>
  <c r="H22" i="9"/>
  <c r="BB25" i="7"/>
  <c r="J22" i="9"/>
  <c r="BD25" i="7"/>
  <c r="L22" i="9"/>
  <c r="BF25" i="7"/>
  <c r="N22" i="9"/>
  <c r="BH25" i="7"/>
  <c r="P22" i="9"/>
  <c r="BJ25" i="7"/>
  <c r="R22" i="9"/>
  <c r="BL25" i="7"/>
  <c r="T22" i="9"/>
  <c r="BN25" i="7"/>
  <c r="V22" i="9"/>
  <c r="BP25" i="7"/>
  <c r="X22" i="9"/>
  <c r="AX29" i="7"/>
  <c r="F24" i="9"/>
  <c r="AZ29" i="7"/>
  <c r="H24" i="9"/>
  <c r="BB29" i="7"/>
  <c r="J24" i="9"/>
  <c r="BD29" i="7"/>
  <c r="L24" i="9"/>
  <c r="BF29" i="7"/>
  <c r="N24" i="9"/>
  <c r="BH29" i="7"/>
  <c r="P24" i="9"/>
  <c r="BJ29" i="7"/>
  <c r="R24" i="9"/>
  <c r="BL29" i="7"/>
  <c r="T24" i="9"/>
  <c r="BN29" i="7"/>
  <c r="V24" i="9"/>
  <c r="BP29" i="7"/>
  <c r="X24" i="9"/>
  <c r="AX33" i="7"/>
  <c r="F26" i="9"/>
  <c r="AZ33" i="7"/>
  <c r="H26" i="9"/>
  <c r="BB33" i="7"/>
  <c r="J26" i="9"/>
  <c r="BD33" i="7"/>
  <c r="L26" i="9"/>
  <c r="BF33" i="7"/>
  <c r="N26" i="9"/>
  <c r="BH33" i="7"/>
  <c r="P26" i="9"/>
  <c r="BJ33" i="7"/>
  <c r="R26" i="9"/>
  <c r="BL33" i="7"/>
  <c r="T26" i="9"/>
  <c r="BN33" i="7"/>
  <c r="V26" i="9"/>
  <c r="BP33" i="7"/>
  <c r="CJ31" i="7" s="1"/>
  <c r="DD31" i="7" s="1"/>
  <c r="X26" i="9"/>
  <c r="AX37" i="7"/>
  <c r="F28" i="9"/>
  <c r="AZ37" i="7"/>
  <c r="H28" i="9"/>
  <c r="BB37" i="7"/>
  <c r="J28" i="9"/>
  <c r="BD37" i="7"/>
  <c r="L28" i="9"/>
  <c r="BF37" i="7"/>
  <c r="N28" i="9"/>
  <c r="BH37" i="7"/>
  <c r="P28" i="9"/>
  <c r="BJ37" i="7"/>
  <c r="R28" i="9"/>
  <c r="BL37" i="7"/>
  <c r="T28" i="9"/>
  <c r="BN37" i="7"/>
  <c r="V28" i="9"/>
  <c r="BP37" i="7"/>
  <c r="X28" i="9"/>
  <c r="AX48" i="7"/>
  <c r="BR43" i="7" s="1"/>
  <c r="F32" i="9"/>
  <c r="AZ48" i="7"/>
  <c r="BT43" i="7" s="1"/>
  <c r="H32" i="9"/>
  <c r="BB48" i="7"/>
  <c r="BV43" i="7" s="1"/>
  <c r="J32" i="9"/>
  <c r="BD48" i="7"/>
  <c r="BX43" i="7" s="1"/>
  <c r="L32" i="9"/>
  <c r="BF48" i="7"/>
  <c r="BZ43" i="7" s="1"/>
  <c r="N32" i="9"/>
  <c r="BH48" i="7"/>
  <c r="CB43" i="7" s="1"/>
  <c r="P32" i="9"/>
  <c r="BJ48" i="7"/>
  <c r="CD43" i="7" s="1"/>
  <c r="R32" i="9"/>
  <c r="BL48" i="7"/>
  <c r="CF43" i="7" s="1"/>
  <c r="T32" i="9"/>
  <c r="BN48" i="7"/>
  <c r="CH43" i="7" s="1"/>
  <c r="V32" i="9"/>
  <c r="BP48" i="7"/>
  <c r="X32" i="9"/>
  <c r="BN21" i="7"/>
  <c r="V20" i="9"/>
  <c r="BL21" i="7"/>
  <c r="T20" i="9"/>
  <c r="BJ21" i="7"/>
  <c r="R20" i="9"/>
  <c r="BH21" i="7"/>
  <c r="CB15" i="7" s="1"/>
  <c r="CV15" i="7" s="1"/>
  <c r="P20" i="9"/>
  <c r="BF21" i="7"/>
  <c r="N20" i="9"/>
  <c r="BD21" i="7"/>
  <c r="L20" i="9"/>
  <c r="BB21" i="7"/>
  <c r="J20" i="9"/>
  <c r="AZ21" i="7"/>
  <c r="H20" i="9"/>
  <c r="AX21" i="7"/>
  <c r="F20" i="9"/>
  <c r="BO39" i="7"/>
  <c r="CI31" i="7" s="1"/>
  <c r="DC31" i="7" s="1"/>
  <c r="BM39" i="7"/>
  <c r="BK39" i="7"/>
  <c r="CE31" i="7" s="1"/>
  <c r="CY31" i="7" s="1"/>
  <c r="BI39" i="7"/>
  <c r="BG39" i="7"/>
  <c r="CA31" i="7" s="1"/>
  <c r="CU31" i="7" s="1"/>
  <c r="BE39" i="7"/>
  <c r="BC39" i="7"/>
  <c r="BA39" i="7"/>
  <c r="AY39" i="7"/>
  <c r="BS31" i="7" s="1"/>
  <c r="CM31" i="7" s="1"/>
  <c r="BN41" i="7"/>
  <c r="BL41" i="7"/>
  <c r="BJ41" i="7"/>
  <c r="BH41" i="7"/>
  <c r="CB31" i="7" s="1"/>
  <c r="CV31" i="7" s="1"/>
  <c r="BF41" i="7"/>
  <c r="BD41" i="7"/>
  <c r="BB41" i="7"/>
  <c r="AZ41" i="7"/>
  <c r="BT31" i="7" s="1"/>
  <c r="CN31" i="7" s="1"/>
  <c r="AX41" i="7"/>
  <c r="E18" i="9"/>
  <c r="E22" i="9"/>
  <c r="E26" i="9"/>
  <c r="E30" i="9"/>
  <c r="W32" i="9"/>
  <c r="S32" i="9"/>
  <c r="O32" i="9"/>
  <c r="K32" i="9"/>
  <c r="G32" i="9"/>
  <c r="V31" i="9"/>
  <c r="R31" i="9"/>
  <c r="N31" i="9"/>
  <c r="J31" i="9"/>
  <c r="F31" i="9"/>
  <c r="W28" i="9"/>
  <c r="S28" i="9"/>
  <c r="O28" i="9"/>
  <c r="K28" i="9"/>
  <c r="G28" i="9"/>
  <c r="V27" i="9"/>
  <c r="R27" i="9"/>
  <c r="N27" i="9"/>
  <c r="J27" i="9"/>
  <c r="F27" i="9"/>
  <c r="U26" i="9"/>
  <c r="Q26" i="9"/>
  <c r="M26" i="9"/>
  <c r="I26" i="9"/>
  <c r="X25" i="9"/>
  <c r="T25" i="9"/>
  <c r="P25" i="9"/>
  <c r="P34" i="9" s="1"/>
  <c r="L25" i="9"/>
  <c r="H25" i="9"/>
  <c r="W24" i="9"/>
  <c r="S24" i="9"/>
  <c r="O24" i="9"/>
  <c r="K24" i="9"/>
  <c r="G24" i="9"/>
  <c r="V23" i="9"/>
  <c r="V34" i="9" s="1"/>
  <c r="R23" i="9"/>
  <c r="N23" i="9"/>
  <c r="J23" i="9"/>
  <c r="F23" i="9"/>
  <c r="U22" i="9"/>
  <c r="Q22" i="9"/>
  <c r="M22" i="9"/>
  <c r="I22" i="9"/>
  <c r="X21" i="9"/>
  <c r="T21" i="9"/>
  <c r="P21" i="9"/>
  <c r="I21" i="9"/>
  <c r="S20" i="9"/>
  <c r="K20" i="9"/>
  <c r="U19" i="9"/>
  <c r="M19" i="9"/>
  <c r="W18" i="9"/>
  <c r="O18" i="9"/>
  <c r="G18" i="9"/>
  <c r="Q17" i="9"/>
  <c r="I17" i="9"/>
  <c r="S16" i="9"/>
  <c r="K16" i="9"/>
  <c r="U15" i="9"/>
  <c r="M15" i="9"/>
  <c r="BC6" i="7"/>
  <c r="BW6" i="7" s="1"/>
  <c r="CQ6" i="7" s="1"/>
  <c r="K15" i="9"/>
  <c r="BG6" i="7"/>
  <c r="CA6" i="7" s="1"/>
  <c r="CU6" i="7" s="1"/>
  <c r="O15" i="9"/>
  <c r="BK6" i="7"/>
  <c r="CE6" i="7" s="1"/>
  <c r="CY6" i="7" s="1"/>
  <c r="S15" i="9"/>
  <c r="BO6" i="7"/>
  <c r="CI6" i="7" s="1"/>
  <c r="DC6" i="7" s="1"/>
  <c r="W15" i="9"/>
  <c r="BA10" i="7"/>
  <c r="BU6" i="7" s="1"/>
  <c r="CO6" i="7" s="1"/>
  <c r="I16" i="9"/>
  <c r="BE10" i="7"/>
  <c r="BY6" i="7" s="1"/>
  <c r="CS6" i="7" s="1"/>
  <c r="M16" i="9"/>
  <c r="BI10" i="7"/>
  <c r="Q16" i="9"/>
  <c r="BM10" i="7"/>
  <c r="CG6" i="7" s="1"/>
  <c r="DA6" i="7" s="1"/>
  <c r="U16" i="9"/>
  <c r="AW15" i="7"/>
  <c r="BQ15" i="7" s="1"/>
  <c r="CK15" i="7" s="1"/>
  <c r="E17" i="9"/>
  <c r="AY15" i="7"/>
  <c r="BS15" i="7" s="1"/>
  <c r="CM15" i="7" s="1"/>
  <c r="G17" i="9"/>
  <c r="BC15" i="7"/>
  <c r="BW15" i="7" s="1"/>
  <c r="CQ15" i="7" s="1"/>
  <c r="K17" i="9"/>
  <c r="BG15" i="7"/>
  <c r="CA15" i="7" s="1"/>
  <c r="CU15" i="7" s="1"/>
  <c r="O17" i="9"/>
  <c r="BK15" i="7"/>
  <c r="CE15" i="7" s="1"/>
  <c r="CY15" i="7" s="1"/>
  <c r="S17" i="9"/>
  <c r="BA17" i="7"/>
  <c r="BU15" i="7" s="1"/>
  <c r="CO15" i="7" s="1"/>
  <c r="I18" i="9"/>
  <c r="X20" i="9"/>
  <c r="X18" i="9"/>
  <c r="X19" i="9"/>
  <c r="X17" i="9"/>
  <c r="X16" i="9"/>
  <c r="X15" i="9"/>
  <c r="F34" i="9"/>
  <c r="BY31" i="7"/>
  <c r="CS31" i="7" s="1"/>
  <c r="BR6" i="7"/>
  <c r="CL6" i="7" s="1"/>
  <c r="CH6" i="7"/>
  <c r="DB6" i="7" s="1"/>
  <c r="CC43" i="7"/>
  <c r="CJ15" i="7"/>
  <c r="DD15" i="7" s="1"/>
  <c r="BV31" i="7"/>
  <c r="CP31" i="7" s="1"/>
  <c r="CJ43" i="7"/>
  <c r="CC6" i="7"/>
  <c r="CW6" i="7" s="1"/>
  <c r="BQ53" i="7"/>
  <c r="E33" i="9"/>
  <c r="E13" i="10" s="1"/>
  <c r="BY53" i="7"/>
  <c r="CS53" i="7"/>
  <c r="M33" i="9" s="1"/>
  <c r="E21" i="10" s="1"/>
  <c r="F21" i="10" s="1"/>
  <c r="CC53" i="7"/>
  <c r="CW53" i="7"/>
  <c r="Q33" i="9" s="1"/>
  <c r="E25" i="10" s="1"/>
  <c r="F25" i="10" s="1"/>
  <c r="CG53" i="7"/>
  <c r="DA53" i="7"/>
  <c r="U33" i="9" s="1"/>
  <c r="E29" i="10" s="1"/>
  <c r="F29" i="10" s="1"/>
  <c r="I33" i="9"/>
  <c r="E17" i="10" s="1"/>
  <c r="F17" i="10" s="1"/>
  <c r="F33" i="9"/>
  <c r="E14" i="10" s="1"/>
  <c r="F14" i="10" s="1"/>
  <c r="H33" i="9"/>
  <c r="E16" i="10" s="1"/>
  <c r="F16" i="10" s="1"/>
  <c r="CP53" i="7"/>
  <c r="J33" i="9" s="1"/>
  <c r="E18" i="10" s="1"/>
  <c r="F18" i="10" s="1"/>
  <c r="CR53" i="7"/>
  <c r="L33" i="9" s="1"/>
  <c r="E20" i="10" s="1"/>
  <c r="F20" i="10" s="1"/>
  <c r="CT53" i="7"/>
  <c r="N33" i="9" s="1"/>
  <c r="E22" i="10" s="1"/>
  <c r="F22" i="10" s="1"/>
  <c r="CV53" i="7"/>
  <c r="P33" i="9" s="1"/>
  <c r="E24" i="10" s="1"/>
  <c r="F24" i="10" s="1"/>
  <c r="CX53" i="7"/>
  <c r="R33" i="9" s="1"/>
  <c r="E26" i="10" s="1"/>
  <c r="F26" i="10" s="1"/>
  <c r="CZ53" i="7"/>
  <c r="T33" i="9" s="1"/>
  <c r="E28" i="10" s="1"/>
  <c r="F28" i="10" s="1"/>
  <c r="DB53" i="7"/>
  <c r="V33" i="9" s="1"/>
  <c r="E30" i="10" s="1"/>
  <c r="F30" i="10" s="1"/>
  <c r="DD53" i="7"/>
  <c r="X33" i="9" s="1"/>
  <c r="E32" i="10" s="1"/>
  <c r="F32" i="10" s="1"/>
  <c r="CB6" i="7"/>
  <c r="CJ6" i="7"/>
  <c r="BT53" i="7"/>
  <c r="BX53" i="7"/>
  <c r="CB53" i="7"/>
  <c r="CF53" i="7"/>
  <c r="CJ53" i="7"/>
  <c r="G33" i="9"/>
  <c r="E15" i="10" s="1"/>
  <c r="F15" i="10" s="1"/>
  <c r="CQ53" i="7"/>
  <c r="K33" i="9" s="1"/>
  <c r="E19" i="10" s="1"/>
  <c r="F19" i="10" s="1"/>
  <c r="CU53" i="7"/>
  <c r="O33" i="9" s="1"/>
  <c r="E23" i="10" s="1"/>
  <c r="F23" i="10" s="1"/>
  <c r="CY53" i="7"/>
  <c r="S33" i="9" s="1"/>
  <c r="E27" i="10" s="1"/>
  <c r="F27" i="10" s="1"/>
  <c r="DC53" i="7"/>
  <c r="W33" i="9" s="1"/>
  <c r="E31" i="10" s="1"/>
  <c r="F31" i="10" s="1"/>
  <c r="BR53" i="7"/>
  <c r="BV53" i="7"/>
  <c r="BZ53" i="7"/>
  <c r="CD53" i="7"/>
  <c r="O34" i="9" l="1"/>
  <c r="K34" i="9"/>
  <c r="H34" i="9"/>
  <c r="CF31" i="7"/>
  <c r="CZ31" i="7" s="1"/>
  <c r="BW31" i="7"/>
  <c r="CQ31" i="7" s="1"/>
  <c r="BR15" i="7"/>
  <c r="CL15" i="7" s="1"/>
  <c r="BZ15" i="7"/>
  <c r="CT15" i="7" s="1"/>
  <c r="BZ6" i="7"/>
  <c r="CT6" i="7" s="1"/>
  <c r="BY15" i="7"/>
  <c r="CS15" i="7" s="1"/>
  <c r="S34" i="9"/>
  <c r="T34" i="9"/>
  <c r="N34" i="9"/>
  <c r="R34" i="9"/>
  <c r="BX31" i="7"/>
  <c r="CR31" i="7" s="1"/>
  <c r="BV15" i="7"/>
  <c r="CP15" i="7" s="1"/>
  <c r="CD15" i="7"/>
  <c r="CX15" i="7" s="1"/>
  <c r="CH15" i="7"/>
  <c r="DB15" i="7" s="1"/>
  <c r="CD31" i="7"/>
  <c r="CX31" i="7" s="1"/>
  <c r="Q34" i="9"/>
  <c r="Q35" i="9" s="1"/>
  <c r="CG31" i="7"/>
  <c r="DA31" i="7" s="1"/>
  <c r="J34" i="9"/>
  <c r="W34" i="9"/>
  <c r="BX15" i="7"/>
  <c r="CR15" i="7" s="1"/>
  <c r="BX6" i="7"/>
  <c r="M34" i="9"/>
  <c r="CH31" i="7"/>
  <c r="DB31" i="7" s="1"/>
  <c r="BV6" i="7"/>
  <c r="CP6" i="7" s="1"/>
  <c r="L34" i="9"/>
  <c r="BZ31" i="7"/>
  <c r="CT31" i="7" s="1"/>
  <c r="CD6" i="7"/>
  <c r="CX6" i="7" s="1"/>
  <c r="U34" i="9"/>
  <c r="G34" i="9"/>
  <c r="CF15" i="7"/>
  <c r="CZ15" i="7" s="1"/>
  <c r="CF6" i="7"/>
  <c r="I34" i="9"/>
  <c r="I35" i="9" s="1"/>
  <c r="CC31" i="7"/>
  <c r="CW31" i="7" s="1"/>
  <c r="CC15" i="7"/>
  <c r="CW15" i="7" s="1"/>
  <c r="CI15" i="7"/>
  <c r="DC15" i="7" s="1"/>
  <c r="BT15" i="7"/>
  <c r="CN15" i="7" s="1"/>
  <c r="BT6" i="7"/>
  <c r="BR31" i="7"/>
  <c r="CL31" i="7" s="1"/>
  <c r="BQ23" i="7"/>
  <c r="CK23" i="7" s="1"/>
  <c r="BU31" i="7"/>
  <c r="CO31" i="7" s="1"/>
  <c r="BQ31" i="7"/>
  <c r="CK31" i="7" s="1"/>
  <c r="E34" i="9"/>
  <c r="E35" i="9" s="1"/>
  <c r="E36" i="9" s="1"/>
  <c r="F13" i="10"/>
  <c r="K20" i="4"/>
  <c r="K18" i="4"/>
  <c r="K16" i="4"/>
  <c r="K19" i="4"/>
  <c r="K15" i="4"/>
  <c r="K17" i="4"/>
  <c r="U35" i="9"/>
  <c r="U36" i="9" s="1"/>
  <c r="M35" i="9"/>
  <c r="M36" i="9" s="1"/>
  <c r="V35" i="9"/>
  <c r="B30" i="10" s="1"/>
  <c r="R35" i="9"/>
  <c r="B26" i="10" s="1"/>
  <c r="N35" i="9"/>
  <c r="B22" i="10" s="1"/>
  <c r="J35" i="9"/>
  <c r="B18" i="10" s="1"/>
  <c r="F35" i="9"/>
  <c r="B14" i="10" s="1"/>
  <c r="W35" i="9"/>
  <c r="B31" i="10" s="1"/>
  <c r="S35" i="9"/>
  <c r="S37" i="9" s="1"/>
  <c r="G27" i="10" s="1"/>
  <c r="H27" i="10" s="1"/>
  <c r="O35" i="9"/>
  <c r="B23" i="10" s="1"/>
  <c r="K35" i="9"/>
  <c r="B19" i="10" s="1"/>
  <c r="G35" i="9"/>
  <c r="G36" i="9" s="1"/>
  <c r="T35" i="9"/>
  <c r="B28" i="10" s="1"/>
  <c r="P35" i="9"/>
  <c r="B24" i="10" s="1"/>
  <c r="L35" i="9"/>
  <c r="B20" i="10" s="1"/>
  <c r="H35" i="9"/>
  <c r="B16" i="10" s="1"/>
  <c r="X34" i="9"/>
  <c r="X35" i="9" s="1"/>
  <c r="B32" i="10" s="1"/>
  <c r="H37" i="9"/>
  <c r="G16" i="10" s="1"/>
  <c r="H16" i="10" s="1"/>
  <c r="K36" i="9"/>
  <c r="S36" i="9"/>
  <c r="T36" i="9"/>
  <c r="K37" i="9"/>
  <c r="G19" i="10" s="1"/>
  <c r="H19" i="10" s="1"/>
  <c r="N36" i="9"/>
  <c r="F36" i="9"/>
  <c r="J36" i="9"/>
  <c r="U37" i="9"/>
  <c r="G29" i="10" s="1"/>
  <c r="H29" i="10" s="1"/>
  <c r="Q37" i="9"/>
  <c r="G25" i="10" s="1"/>
  <c r="H25" i="10" s="1"/>
  <c r="B25" i="10"/>
  <c r="M37" i="9"/>
  <c r="G21" i="10" s="1"/>
  <c r="H21" i="10" s="1"/>
  <c r="I37" i="9"/>
  <c r="G17" i="10" s="1"/>
  <c r="H17" i="10" s="1"/>
  <c r="B17" i="10"/>
  <c r="E37" i="9"/>
  <c r="G13" i="10" s="1"/>
  <c r="Q36" i="9"/>
  <c r="R37" i="9"/>
  <c r="G26" i="10" s="1"/>
  <c r="H26" i="10" s="1"/>
  <c r="I36" i="9"/>
  <c r="CZ6" i="7"/>
  <c r="CR6" i="7"/>
  <c r="BR23" i="7"/>
  <c r="BS23" i="7" s="1"/>
  <c r="DD6" i="7"/>
  <c r="CV6" i="7"/>
  <c r="CN6" i="7"/>
  <c r="A12" i="6"/>
  <c r="E16" i="6"/>
  <c r="E15" i="6"/>
  <c r="E14" i="6"/>
  <c r="P37" i="9" l="1"/>
  <c r="G24" i="10" s="1"/>
  <c r="H24" i="10" s="1"/>
  <c r="DE6" i="7"/>
  <c r="DY6" i="7" s="1"/>
  <c r="J13" i="10" s="1"/>
  <c r="B13" i="10"/>
  <c r="K13" i="10" s="1"/>
  <c r="J37" i="9"/>
  <c r="G18" i="10" s="1"/>
  <c r="H18" i="10" s="1"/>
  <c r="H36" i="9"/>
  <c r="O37" i="9"/>
  <c r="G23" i="10" s="1"/>
  <c r="H23" i="10" s="1"/>
  <c r="K19" i="10"/>
  <c r="K23" i="10"/>
  <c r="K31" i="10"/>
  <c r="F37" i="9"/>
  <c r="G14" i="10" s="1"/>
  <c r="H14" i="10" s="1"/>
  <c r="N37" i="9"/>
  <c r="G22" i="10" s="1"/>
  <c r="H22" i="10" s="1"/>
  <c r="V37" i="9"/>
  <c r="G30" i="10" s="1"/>
  <c r="H30" i="10" s="1"/>
  <c r="B21" i="10"/>
  <c r="B29" i="10"/>
  <c r="R36" i="9"/>
  <c r="L36" i="9"/>
  <c r="T37" i="9"/>
  <c r="G28" i="10" s="1"/>
  <c r="H28" i="10" s="1"/>
  <c r="V36" i="9"/>
  <c r="G37" i="9"/>
  <c r="G15" i="10" s="1"/>
  <c r="H15" i="10" s="1"/>
  <c r="L37" i="9"/>
  <c r="G20" i="10" s="1"/>
  <c r="H20" i="10" s="1"/>
  <c r="O36" i="9"/>
  <c r="W36" i="9"/>
  <c r="P36" i="9"/>
  <c r="W37" i="9"/>
  <c r="G31" i="10" s="1"/>
  <c r="H31" i="10" s="1"/>
  <c r="B15" i="10"/>
  <c r="B27" i="10"/>
  <c r="K21" i="4"/>
  <c r="H13" i="10"/>
  <c r="D27" i="4"/>
  <c r="D26" i="4"/>
  <c r="D25" i="4"/>
  <c r="K20" i="10"/>
  <c r="K28" i="10"/>
  <c r="K14" i="10"/>
  <c r="K18" i="10"/>
  <c r="K22" i="10"/>
  <c r="K26" i="10"/>
  <c r="K30" i="10"/>
  <c r="K16" i="10"/>
  <c r="K24" i="10"/>
  <c r="X36" i="9"/>
  <c r="X37" i="9"/>
  <c r="G32" i="10" s="1"/>
  <c r="H32" i="10" s="1"/>
  <c r="K32" i="10"/>
  <c r="K17" i="10"/>
  <c r="K21" i="10"/>
  <c r="K25" i="10"/>
  <c r="K29" i="10"/>
  <c r="CM23" i="7"/>
  <c r="DG6" i="7" s="1"/>
  <c r="EA6" i="7" s="1"/>
  <c r="J15" i="10" s="1"/>
  <c r="CL23" i="7"/>
  <c r="DF6" i="7" s="1"/>
  <c r="DZ6" i="7" s="1"/>
  <c r="J14" i="10" s="1"/>
  <c r="BT23" i="7"/>
  <c r="D17" i="4" l="1"/>
  <c r="D16" i="4"/>
  <c r="K15" i="10"/>
  <c r="D28" i="4"/>
  <c r="D15" i="4"/>
  <c r="K27" i="10"/>
  <c r="CN23" i="7"/>
  <c r="DH6" i="7" s="1"/>
  <c r="EB6" i="7" s="1"/>
  <c r="BU23" i="7"/>
  <c r="CP6" i="1"/>
  <c r="CQ6" i="1"/>
  <c r="CR6" i="1"/>
  <c r="CS6" i="1"/>
  <c r="EL6" i="1" s="1"/>
  <c r="CT6" i="1"/>
  <c r="AW15" i="2" s="1"/>
  <c r="CP8" i="1"/>
  <c r="CQ8" i="1"/>
  <c r="CR8" i="1"/>
  <c r="CS8" i="1"/>
  <c r="CT8" i="1"/>
  <c r="CP10" i="1"/>
  <c r="CQ10" i="1"/>
  <c r="CR10" i="1"/>
  <c r="CS10" i="1"/>
  <c r="EL10" i="1" s="1"/>
  <c r="CT10" i="1"/>
  <c r="AW16" i="2" s="1"/>
  <c r="CP15" i="1"/>
  <c r="CQ15" i="1"/>
  <c r="CR15" i="1"/>
  <c r="CS15" i="1"/>
  <c r="EL15" i="1" s="1"/>
  <c r="CT15" i="1"/>
  <c r="AW17" i="2" s="1"/>
  <c r="CP17" i="1"/>
  <c r="CQ17" i="1"/>
  <c r="CR17" i="1"/>
  <c r="CS17" i="1"/>
  <c r="EL17" i="1" s="1"/>
  <c r="CT17" i="1"/>
  <c r="AW18" i="2" s="1"/>
  <c r="CP19" i="1"/>
  <c r="CQ19" i="1"/>
  <c r="CR19" i="1"/>
  <c r="CS19" i="1"/>
  <c r="EL19" i="1" s="1"/>
  <c r="CT19" i="1"/>
  <c r="AW19" i="2" s="1"/>
  <c r="CP21" i="1"/>
  <c r="CQ21" i="1"/>
  <c r="CR21" i="1"/>
  <c r="CS21" i="1"/>
  <c r="EL21" i="1" s="1"/>
  <c r="CT21" i="1"/>
  <c r="AW20" i="2" s="1"/>
  <c r="CP23" i="1"/>
  <c r="CQ23" i="1"/>
  <c r="CR23" i="1"/>
  <c r="CS23" i="1"/>
  <c r="EL23" i="1" s="1"/>
  <c r="CT23" i="1"/>
  <c r="AW21" i="2" s="1"/>
  <c r="CP25" i="1"/>
  <c r="CQ25" i="1"/>
  <c r="CR25" i="1"/>
  <c r="CS25" i="1"/>
  <c r="EL25" i="1" s="1"/>
  <c r="CT25" i="1"/>
  <c r="AW22" i="2" s="1"/>
  <c r="CP27" i="1"/>
  <c r="CQ27" i="1"/>
  <c r="CR27" i="1"/>
  <c r="CS27" i="1"/>
  <c r="EL27" i="1" s="1"/>
  <c r="CT27" i="1"/>
  <c r="AW23" i="2" s="1"/>
  <c r="CP29" i="1"/>
  <c r="CQ29" i="1"/>
  <c r="CR29" i="1"/>
  <c r="CS29" i="1"/>
  <c r="EL29" i="1" s="1"/>
  <c r="CT29" i="1"/>
  <c r="AW24" i="2" s="1"/>
  <c r="CP31" i="1"/>
  <c r="CQ31" i="1"/>
  <c r="CR31" i="1"/>
  <c r="CS31" i="1"/>
  <c r="EL31" i="1" s="1"/>
  <c r="CT31" i="1"/>
  <c r="AW25" i="2" s="1"/>
  <c r="CP33" i="1"/>
  <c r="CQ33" i="1"/>
  <c r="CR33" i="1"/>
  <c r="CS33" i="1"/>
  <c r="EL33" i="1" s="1"/>
  <c r="CT33" i="1"/>
  <c r="AW26" i="2" s="1"/>
  <c r="CP35" i="1"/>
  <c r="EI35" i="1" s="1"/>
  <c r="CQ35" i="1"/>
  <c r="EJ35" i="1" s="1"/>
  <c r="CR35" i="1"/>
  <c r="EK35" i="1" s="1"/>
  <c r="CS35" i="1"/>
  <c r="EL35" i="1" s="1"/>
  <c r="CT35" i="1"/>
  <c r="EM35" i="1" s="1"/>
  <c r="CP37" i="1"/>
  <c r="CQ37" i="1"/>
  <c r="CR37" i="1"/>
  <c r="CS37" i="1"/>
  <c r="EL37" i="1" s="1"/>
  <c r="CT37" i="1"/>
  <c r="AW28" i="2" s="1"/>
  <c r="CP39" i="1"/>
  <c r="CQ39" i="1"/>
  <c r="CR39" i="1"/>
  <c r="CS39" i="1"/>
  <c r="EL39" i="1" s="1"/>
  <c r="CT39" i="1"/>
  <c r="AW29" i="2" s="1"/>
  <c r="CP41" i="1"/>
  <c r="AS30" i="2" s="1"/>
  <c r="CQ41" i="1"/>
  <c r="CR41" i="1"/>
  <c r="AU30" i="2" s="1"/>
  <c r="CS41" i="1"/>
  <c r="EL41" i="1" s="1"/>
  <c r="CT41" i="1"/>
  <c r="AW30" i="2" s="1"/>
  <c r="CP43" i="1"/>
  <c r="CQ43" i="1"/>
  <c r="AT31" i="2" s="1"/>
  <c r="CR43" i="1"/>
  <c r="AU31" i="2" s="1"/>
  <c r="CS43" i="1"/>
  <c r="EL43" i="1" s="1"/>
  <c r="CT43" i="1"/>
  <c r="AW31" i="2" s="1"/>
  <c r="CP45" i="1"/>
  <c r="AS32" i="2" s="1"/>
  <c r="CQ45" i="1"/>
  <c r="AT32" i="2" s="1"/>
  <c r="CR45" i="1"/>
  <c r="AU32" i="2" s="1"/>
  <c r="CS45" i="1"/>
  <c r="EL45" i="1" s="1"/>
  <c r="CT45" i="1"/>
  <c r="AW32" i="2" s="1"/>
  <c r="CP47" i="1"/>
  <c r="AS33" i="2" s="1"/>
  <c r="CQ47" i="1"/>
  <c r="AT33" i="2" s="1"/>
  <c r="CR47" i="1"/>
  <c r="AU33" i="2" s="1"/>
  <c r="CS47" i="1"/>
  <c r="EL47" i="1" s="1"/>
  <c r="GE47" i="1" s="1"/>
  <c r="CT47" i="1"/>
  <c r="AW33" i="2" s="1"/>
  <c r="CP52" i="1"/>
  <c r="AS34" i="2" s="1"/>
  <c r="CQ52" i="1"/>
  <c r="AT34" i="2" s="1"/>
  <c r="CR52" i="1"/>
  <c r="AU34" i="2" s="1"/>
  <c r="CS52" i="1"/>
  <c r="EL52" i="1" s="1"/>
  <c r="CT52" i="1"/>
  <c r="AW34" i="2" s="1"/>
  <c r="CQ57" i="1"/>
  <c r="CR57" i="1"/>
  <c r="CS57" i="1"/>
  <c r="EL57" i="1" s="1"/>
  <c r="CT57" i="1"/>
  <c r="EM57" i="1" s="1"/>
  <c r="CP59" i="1"/>
  <c r="EI59" i="1" s="1"/>
  <c r="GB59" i="1" s="1"/>
  <c r="CQ59" i="1"/>
  <c r="EJ59" i="1" s="1"/>
  <c r="GC59" i="1" s="1"/>
  <c r="CR59" i="1"/>
  <c r="EK59" i="1" s="1"/>
  <c r="GD59" i="1" s="1"/>
  <c r="CS59" i="1"/>
  <c r="EL59" i="1" s="1"/>
  <c r="GE59" i="1" s="1"/>
  <c r="CT59" i="1"/>
  <c r="EM59" i="1" s="1"/>
  <c r="GF59" i="1" s="1"/>
  <c r="CP66" i="1"/>
  <c r="EI66" i="1" s="1"/>
  <c r="GB66" i="1" s="1"/>
  <c r="CQ66" i="1"/>
  <c r="EJ66" i="1" s="1"/>
  <c r="GC66" i="1" s="1"/>
  <c r="CR66" i="1"/>
  <c r="EK66" i="1" s="1"/>
  <c r="GD66" i="1" s="1"/>
  <c r="CS66" i="1"/>
  <c r="EL66" i="1" s="1"/>
  <c r="GE66" i="1" s="1"/>
  <c r="CT66" i="1"/>
  <c r="EM66" i="1" s="1"/>
  <c r="GF66" i="1" s="1"/>
  <c r="CP68" i="1"/>
  <c r="EI68" i="1" s="1"/>
  <c r="GB68" i="1" s="1"/>
  <c r="CQ68" i="1"/>
  <c r="EJ68" i="1" s="1"/>
  <c r="GC68" i="1" s="1"/>
  <c r="CR68" i="1"/>
  <c r="EK68" i="1" s="1"/>
  <c r="GD68" i="1" s="1"/>
  <c r="CS68" i="1"/>
  <c r="EL68" i="1" s="1"/>
  <c r="GE68" i="1" s="1"/>
  <c r="CT68" i="1"/>
  <c r="EM68" i="1" s="1"/>
  <c r="GF68" i="1" s="1"/>
  <c r="CP71" i="1"/>
  <c r="EI71" i="1" s="1"/>
  <c r="GB71" i="1" s="1"/>
  <c r="CQ71" i="1"/>
  <c r="EJ71" i="1" s="1"/>
  <c r="GC71" i="1" s="1"/>
  <c r="CR71" i="1"/>
  <c r="EK71" i="1" s="1"/>
  <c r="GD71" i="1" s="1"/>
  <c r="CS71" i="1"/>
  <c r="EL71" i="1" s="1"/>
  <c r="GE71" i="1" s="1"/>
  <c r="CT71" i="1"/>
  <c r="EM71" i="1" s="1"/>
  <c r="GF71" i="1" s="1"/>
  <c r="CP73" i="1"/>
  <c r="EI73" i="1" s="1"/>
  <c r="GB73" i="1" s="1"/>
  <c r="CQ73" i="1"/>
  <c r="EJ73" i="1" s="1"/>
  <c r="GC73" i="1" s="1"/>
  <c r="CR73" i="1"/>
  <c r="EK73" i="1" s="1"/>
  <c r="GD73" i="1" s="1"/>
  <c r="CS73" i="1"/>
  <c r="EL73" i="1" s="1"/>
  <c r="GE73" i="1" s="1"/>
  <c r="CT73" i="1"/>
  <c r="EM73" i="1" s="1"/>
  <c r="GF73" i="1" s="1"/>
  <c r="A2" i="4"/>
  <c r="F9" i="3"/>
  <c r="C9" i="4" s="1"/>
  <c r="F8" i="3"/>
  <c r="C8" i="4" s="1"/>
  <c r="F6" i="3"/>
  <c r="C6" i="4" s="1"/>
  <c r="F5" i="3"/>
  <c r="C5" i="4" s="1"/>
  <c r="F5" i="2"/>
  <c r="T41" i="2"/>
  <c r="T50" i="2"/>
  <c r="T49" i="2"/>
  <c r="AH50" i="2"/>
  <c r="AH49" i="2"/>
  <c r="F50" i="2"/>
  <c r="G33" i="6" s="1"/>
  <c r="F49" i="2"/>
  <c r="G32" i="6" s="1"/>
  <c r="B50" i="2"/>
  <c r="B49" i="2"/>
  <c r="F11" i="2"/>
  <c r="F10" i="2"/>
  <c r="F9" i="2"/>
  <c r="F8" i="2"/>
  <c r="F7" i="2"/>
  <c r="F6" i="2"/>
  <c r="F38" i="4" l="1"/>
  <c r="F42" i="10"/>
  <c r="J38" i="4"/>
  <c r="B33" i="6" s="1"/>
  <c r="H42" i="10"/>
  <c r="D18" i="4"/>
  <c r="A38" i="4"/>
  <c r="A42" i="10"/>
  <c r="B40" i="6"/>
  <c r="A37" i="4"/>
  <c r="B39" i="6"/>
  <c r="A41" i="10"/>
  <c r="J37" i="4"/>
  <c r="H41" i="10"/>
  <c r="B32" i="6" s="1"/>
  <c r="F66" i="3"/>
  <c r="F41" i="10"/>
  <c r="J30" i="4"/>
  <c r="H35" i="10"/>
  <c r="CO23" i="7"/>
  <c r="DI6" i="7" s="1"/>
  <c r="EC6" i="7" s="1"/>
  <c r="BV23" i="7"/>
  <c r="BW23" i="7" s="1"/>
  <c r="HX57" i="1"/>
  <c r="AV35" i="2" s="1"/>
  <c r="E56" i="3" s="1"/>
  <c r="F56" i="3" s="1"/>
  <c r="HY57" i="1"/>
  <c r="AW35" i="2" s="1"/>
  <c r="E57" i="3" s="1"/>
  <c r="F57" i="3" s="1"/>
  <c r="GE6" i="1"/>
  <c r="HX6" i="1" s="1"/>
  <c r="GE39" i="1"/>
  <c r="HX39" i="1" s="1"/>
  <c r="GE15" i="1"/>
  <c r="HX15" i="1" s="1"/>
  <c r="EM52" i="1"/>
  <c r="EM47" i="1"/>
  <c r="EM45" i="1"/>
  <c r="EM43" i="1"/>
  <c r="EM41" i="1"/>
  <c r="EM39" i="1"/>
  <c r="EM37" i="1"/>
  <c r="EM33" i="1"/>
  <c r="EM31" i="1"/>
  <c r="EM29" i="1"/>
  <c r="EM27" i="1"/>
  <c r="EM25" i="1"/>
  <c r="EM23" i="1"/>
  <c r="EM21" i="1"/>
  <c r="EM19" i="1"/>
  <c r="EM17" i="1"/>
  <c r="EM15" i="1"/>
  <c r="EM10" i="1"/>
  <c r="EM6" i="1"/>
  <c r="AV34" i="2"/>
  <c r="AV33" i="2"/>
  <c r="AV32" i="2"/>
  <c r="AV31" i="2"/>
  <c r="AV30" i="2"/>
  <c r="AV29" i="2"/>
  <c r="AV28" i="2"/>
  <c r="AV27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W27" i="2"/>
  <c r="AW36" i="2" s="1"/>
  <c r="AW37" i="2" s="1"/>
  <c r="HU57" i="1"/>
  <c r="AS35" i="2" s="1"/>
  <c r="E53" i="3" s="1"/>
  <c r="F53" i="3" s="1"/>
  <c r="HW57" i="1"/>
  <c r="AU35" i="2" s="1"/>
  <c r="E55" i="3" s="1"/>
  <c r="F55" i="3" s="1"/>
  <c r="AT35" i="2"/>
  <c r="E54" i="3" s="1"/>
  <c r="F54" i="3" s="1"/>
  <c r="AT29" i="2"/>
  <c r="EJ39" i="1"/>
  <c r="AU28" i="2"/>
  <c r="EK37" i="1"/>
  <c r="AS28" i="2"/>
  <c r="EI37" i="1"/>
  <c r="AU26" i="2"/>
  <c r="AU27" i="2"/>
  <c r="EK33" i="1"/>
  <c r="AS26" i="2"/>
  <c r="AS27" i="2"/>
  <c r="EI33" i="1"/>
  <c r="AT25" i="2"/>
  <c r="EJ31" i="1"/>
  <c r="AU24" i="2"/>
  <c r="EK29" i="1"/>
  <c r="AS24" i="2"/>
  <c r="EI29" i="1"/>
  <c r="AT23" i="2"/>
  <c r="EJ27" i="1"/>
  <c r="AU22" i="2"/>
  <c r="EK25" i="1"/>
  <c r="AS22" i="2"/>
  <c r="EI25" i="1"/>
  <c r="AT21" i="2"/>
  <c r="EJ23" i="1"/>
  <c r="AU20" i="2"/>
  <c r="EK21" i="1"/>
  <c r="AS20" i="2"/>
  <c r="EI21" i="1"/>
  <c r="AT19" i="2"/>
  <c r="EJ19" i="1"/>
  <c r="AU18" i="2"/>
  <c r="EK17" i="1"/>
  <c r="AS18" i="2"/>
  <c r="EI17" i="1"/>
  <c r="AT17" i="2"/>
  <c r="EJ15" i="1"/>
  <c r="AU16" i="2"/>
  <c r="EK10" i="1"/>
  <c r="AS16" i="2"/>
  <c r="EI10" i="1"/>
  <c r="EK6" i="1"/>
  <c r="AU15" i="2"/>
  <c r="EI6" i="1"/>
  <c r="AS15" i="2"/>
  <c r="EJ52" i="1"/>
  <c r="EK47" i="1"/>
  <c r="EI47" i="1"/>
  <c r="EJ45" i="1"/>
  <c r="EK43" i="1"/>
  <c r="EK41" i="1"/>
  <c r="EI43" i="1"/>
  <c r="AS31" i="2"/>
  <c r="EJ41" i="1"/>
  <c r="AT30" i="2"/>
  <c r="EK39" i="1"/>
  <c r="AU29" i="2"/>
  <c r="EI39" i="1"/>
  <c r="AS29" i="2"/>
  <c r="EJ37" i="1"/>
  <c r="AT28" i="2"/>
  <c r="AT27" i="2"/>
  <c r="EJ33" i="1"/>
  <c r="AT26" i="2"/>
  <c r="EK31" i="1"/>
  <c r="AU25" i="2"/>
  <c r="EI31" i="1"/>
  <c r="AS25" i="2"/>
  <c r="EJ29" i="1"/>
  <c r="AT24" i="2"/>
  <c r="EK27" i="1"/>
  <c r="AU23" i="2"/>
  <c r="EI27" i="1"/>
  <c r="AS23" i="2"/>
  <c r="EJ25" i="1"/>
  <c r="AT22" i="2"/>
  <c r="EK23" i="1"/>
  <c r="AU21" i="2"/>
  <c r="EI23" i="1"/>
  <c r="AS21" i="2"/>
  <c r="EJ21" i="1"/>
  <c r="AT20" i="2"/>
  <c r="EK19" i="1"/>
  <c r="AU19" i="2"/>
  <c r="EI19" i="1"/>
  <c r="AS19" i="2"/>
  <c r="EJ17" i="1"/>
  <c r="AT18" i="2"/>
  <c r="EK15" i="1"/>
  <c r="AU17" i="2"/>
  <c r="EI15" i="1"/>
  <c r="AS17" i="2"/>
  <c r="EJ10" i="1"/>
  <c r="AT16" i="2"/>
  <c r="AT15" i="2"/>
  <c r="EJ6" i="1"/>
  <c r="EK52" i="1"/>
  <c r="EI52" i="1"/>
  <c r="EJ47" i="1"/>
  <c r="EK45" i="1"/>
  <c r="EI45" i="1"/>
  <c r="EJ43" i="1"/>
  <c r="EI41" i="1"/>
  <c r="A66" i="3"/>
  <c r="F37" i="4"/>
  <c r="H67" i="3"/>
  <c r="A67" i="3"/>
  <c r="F67" i="3"/>
  <c r="H60" i="3"/>
  <c r="H66" i="3"/>
  <c r="BQ30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BQ29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BQ28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BQ27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BQ26" i="3"/>
  <c r="BP26" i="3"/>
  <c r="BO26" i="3"/>
  <c r="BN26" i="3"/>
  <c r="BM26" i="3"/>
  <c r="BL26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M30" i="10" s="1"/>
  <c r="AJ26" i="3"/>
  <c r="AI26" i="3"/>
  <c r="AH26" i="3"/>
  <c r="AG26" i="3"/>
  <c r="M26" i="10" s="1"/>
  <c r="AF26" i="3"/>
  <c r="AE26" i="3"/>
  <c r="AD26" i="3"/>
  <c r="AC26" i="3"/>
  <c r="M22" i="10" s="1"/>
  <c r="AB26" i="3"/>
  <c r="AA26" i="3"/>
  <c r="Z26" i="3"/>
  <c r="Y26" i="3"/>
  <c r="M18" i="10" s="1"/>
  <c r="X26" i="3"/>
  <c r="M17" i="10" s="1"/>
  <c r="W26" i="3"/>
  <c r="V26" i="3"/>
  <c r="U26" i="3"/>
  <c r="M14" i="10" s="1"/>
  <c r="T26" i="3"/>
  <c r="M13" i="10" s="1"/>
  <c r="BQ25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L26" i="10" s="1"/>
  <c r="N26" i="10" s="1"/>
  <c r="AF16" i="3"/>
  <c r="AE16" i="3"/>
  <c r="AD16" i="3"/>
  <c r="AC16" i="3"/>
  <c r="L22" i="10" s="1"/>
  <c r="N22" i="10" s="1"/>
  <c r="AB16" i="3"/>
  <c r="AA16" i="3"/>
  <c r="Z16" i="3"/>
  <c r="Y16" i="3"/>
  <c r="L18" i="10" s="1"/>
  <c r="N18" i="10" s="1"/>
  <c r="X16" i="3"/>
  <c r="W16" i="3"/>
  <c r="V16" i="3"/>
  <c r="U16" i="3"/>
  <c r="L14" i="10" s="1"/>
  <c r="N14" i="10" s="1"/>
  <c r="T16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L19" i="10" l="1"/>
  <c r="L23" i="10"/>
  <c r="L27" i="10"/>
  <c r="M15" i="10"/>
  <c r="M19" i="10"/>
  <c r="M23" i="10"/>
  <c r="M27" i="10"/>
  <c r="M31" i="10"/>
  <c r="L15" i="10"/>
  <c r="L31" i="10"/>
  <c r="M16" i="10"/>
  <c r="M20" i="10"/>
  <c r="M24" i="10"/>
  <c r="M28" i="10"/>
  <c r="M32" i="10"/>
  <c r="GF15" i="1"/>
  <c r="HY15" i="1" s="1"/>
  <c r="L20" i="10"/>
  <c r="L28" i="10"/>
  <c r="N28" i="10" s="1"/>
  <c r="GD15" i="1"/>
  <c r="HW15" i="1" s="1"/>
  <c r="L16" i="10"/>
  <c r="N16" i="10" s="1"/>
  <c r="L24" i="10"/>
  <c r="L32" i="10"/>
  <c r="N32" i="10" s="1"/>
  <c r="L30" i="10"/>
  <c r="N30" i="10" s="1"/>
  <c r="GB15" i="1"/>
  <c r="HU15" i="1" s="1"/>
  <c r="L13" i="10"/>
  <c r="N13" i="10" s="1"/>
  <c r="L17" i="10"/>
  <c r="N17" i="10" s="1"/>
  <c r="L21" i="10"/>
  <c r="L25" i="10"/>
  <c r="L29" i="10"/>
  <c r="N29" i="10" s="1"/>
  <c r="M21" i="10"/>
  <c r="M25" i="10"/>
  <c r="M29" i="10"/>
  <c r="GC6" i="1"/>
  <c r="HV6" i="1" s="1"/>
  <c r="GF6" i="1"/>
  <c r="HY6" i="1" s="1"/>
  <c r="GB6" i="1"/>
  <c r="HU6" i="1" s="1"/>
  <c r="N24" i="10"/>
  <c r="GC47" i="1"/>
  <c r="AT36" i="2"/>
  <c r="AT37" i="2" s="1"/>
  <c r="CQ23" i="7"/>
  <c r="DK6" i="7" s="1"/>
  <c r="EE6" i="7" s="1"/>
  <c r="BX23" i="7"/>
  <c r="CP23" i="7"/>
  <c r="DJ6" i="7" s="1"/>
  <c r="ED6" i="7" s="1"/>
  <c r="AW39" i="2"/>
  <c r="G57" i="3" s="1"/>
  <c r="H57" i="3" s="1"/>
  <c r="AW38" i="2"/>
  <c r="GF39" i="1"/>
  <c r="HY39" i="1" s="1"/>
  <c r="GF47" i="1"/>
  <c r="AV36" i="2"/>
  <c r="AV37" i="2" s="1"/>
  <c r="GD47" i="1"/>
  <c r="AS36" i="2"/>
  <c r="AS37" i="2" s="1"/>
  <c r="AU36" i="2"/>
  <c r="AU37" i="2" s="1"/>
  <c r="GC15" i="1"/>
  <c r="HV15" i="1" s="1"/>
  <c r="GC39" i="1"/>
  <c r="HV39" i="1" s="1"/>
  <c r="GB39" i="1"/>
  <c r="HU39" i="1" s="1"/>
  <c r="GD39" i="1"/>
  <c r="HW39" i="1" s="1"/>
  <c r="GB47" i="1"/>
  <c r="GD6" i="1"/>
  <c r="HW6" i="1" s="1"/>
  <c r="BC57" i="1"/>
  <c r="CV57" i="1" s="1"/>
  <c r="BD57" i="1"/>
  <c r="CW57" i="1" s="1"/>
  <c r="BE57" i="1"/>
  <c r="CX57" i="1" s="1"/>
  <c r="BF57" i="1"/>
  <c r="CY57" i="1" s="1"/>
  <c r="BG57" i="1"/>
  <c r="CZ57" i="1" s="1"/>
  <c r="BH57" i="1"/>
  <c r="DA57" i="1" s="1"/>
  <c r="BI57" i="1"/>
  <c r="DB57" i="1" s="1"/>
  <c r="BJ57" i="1"/>
  <c r="DC57" i="1" s="1"/>
  <c r="BK57" i="1"/>
  <c r="DD57" i="1" s="1"/>
  <c r="BL57" i="1"/>
  <c r="DE57" i="1" s="1"/>
  <c r="BM57" i="1"/>
  <c r="DF57" i="1" s="1"/>
  <c r="BN57" i="1"/>
  <c r="DG57" i="1" s="1"/>
  <c r="BO57" i="1"/>
  <c r="DH57" i="1" s="1"/>
  <c r="BP57" i="1"/>
  <c r="DI57" i="1" s="1"/>
  <c r="BQ57" i="1"/>
  <c r="DJ57" i="1" s="1"/>
  <c r="BR57" i="1"/>
  <c r="DK57" i="1" s="1"/>
  <c r="BS57" i="1"/>
  <c r="DL57" i="1" s="1"/>
  <c r="BT57" i="1"/>
  <c r="DM57" i="1" s="1"/>
  <c r="BU57" i="1"/>
  <c r="DN57" i="1" s="1"/>
  <c r="BV57" i="1"/>
  <c r="DO57" i="1" s="1"/>
  <c r="BW57" i="1"/>
  <c r="DP57" i="1" s="1"/>
  <c r="BX57" i="1"/>
  <c r="DQ57" i="1" s="1"/>
  <c r="BY57" i="1"/>
  <c r="DR57" i="1" s="1"/>
  <c r="BZ57" i="1"/>
  <c r="DS57" i="1" s="1"/>
  <c r="CA57" i="1"/>
  <c r="DT57" i="1" s="1"/>
  <c r="CB57" i="1"/>
  <c r="DU57" i="1" s="1"/>
  <c r="CC57" i="1"/>
  <c r="DV57" i="1" s="1"/>
  <c r="CD57" i="1"/>
  <c r="DW57" i="1" s="1"/>
  <c r="CE57" i="1"/>
  <c r="DX57" i="1" s="1"/>
  <c r="CF57" i="1"/>
  <c r="DY57" i="1" s="1"/>
  <c r="CG57" i="1"/>
  <c r="DZ57" i="1" s="1"/>
  <c r="CH57" i="1"/>
  <c r="EA57" i="1" s="1"/>
  <c r="CI57" i="1"/>
  <c r="EB57" i="1" s="1"/>
  <c r="CJ57" i="1"/>
  <c r="EC57" i="1" s="1"/>
  <c r="CK57" i="1"/>
  <c r="ED57" i="1" s="1"/>
  <c r="CL57" i="1"/>
  <c r="EE57" i="1" s="1"/>
  <c r="CM57" i="1"/>
  <c r="EF57" i="1" s="1"/>
  <c r="CN57" i="1"/>
  <c r="EG57" i="1" s="1"/>
  <c r="CO57" i="1"/>
  <c r="EH57" i="1" s="1"/>
  <c r="BC59" i="1"/>
  <c r="CV59" i="1" s="1"/>
  <c r="EO59" i="1" s="1"/>
  <c r="BD59" i="1"/>
  <c r="CW59" i="1" s="1"/>
  <c r="EP59" i="1" s="1"/>
  <c r="BE59" i="1"/>
  <c r="CX59" i="1" s="1"/>
  <c r="EQ59" i="1" s="1"/>
  <c r="BF59" i="1"/>
  <c r="CY59" i="1" s="1"/>
  <c r="ER59" i="1" s="1"/>
  <c r="BG59" i="1"/>
  <c r="CZ59" i="1" s="1"/>
  <c r="ES59" i="1" s="1"/>
  <c r="BH59" i="1"/>
  <c r="DA59" i="1" s="1"/>
  <c r="ET59" i="1" s="1"/>
  <c r="BI59" i="1"/>
  <c r="DB59" i="1" s="1"/>
  <c r="EU59" i="1" s="1"/>
  <c r="BJ59" i="1"/>
  <c r="DC59" i="1" s="1"/>
  <c r="EV59" i="1" s="1"/>
  <c r="BK59" i="1"/>
  <c r="DD59" i="1" s="1"/>
  <c r="EW59" i="1" s="1"/>
  <c r="BL59" i="1"/>
  <c r="DE59" i="1" s="1"/>
  <c r="EX59" i="1" s="1"/>
  <c r="BM59" i="1"/>
  <c r="DF59" i="1" s="1"/>
  <c r="EY59" i="1" s="1"/>
  <c r="BN59" i="1"/>
  <c r="DG59" i="1" s="1"/>
  <c r="EZ59" i="1" s="1"/>
  <c r="BO59" i="1"/>
  <c r="DH59" i="1" s="1"/>
  <c r="FA59" i="1" s="1"/>
  <c r="BP59" i="1"/>
  <c r="DI59" i="1" s="1"/>
  <c r="FB59" i="1" s="1"/>
  <c r="BQ59" i="1"/>
  <c r="DJ59" i="1" s="1"/>
  <c r="FC59" i="1" s="1"/>
  <c r="BR59" i="1"/>
  <c r="DK59" i="1" s="1"/>
  <c r="FD59" i="1" s="1"/>
  <c r="BS59" i="1"/>
  <c r="DL59" i="1" s="1"/>
  <c r="FE59" i="1" s="1"/>
  <c r="BT59" i="1"/>
  <c r="DM59" i="1" s="1"/>
  <c r="FF59" i="1" s="1"/>
  <c r="BU59" i="1"/>
  <c r="DN59" i="1" s="1"/>
  <c r="FG59" i="1" s="1"/>
  <c r="BV59" i="1"/>
  <c r="DO59" i="1" s="1"/>
  <c r="FH59" i="1" s="1"/>
  <c r="BW59" i="1"/>
  <c r="DP59" i="1" s="1"/>
  <c r="FI59" i="1" s="1"/>
  <c r="BX59" i="1"/>
  <c r="DQ59" i="1" s="1"/>
  <c r="FJ59" i="1" s="1"/>
  <c r="BY59" i="1"/>
  <c r="DR59" i="1" s="1"/>
  <c r="FK59" i="1" s="1"/>
  <c r="BZ59" i="1"/>
  <c r="DS59" i="1" s="1"/>
  <c r="FL59" i="1" s="1"/>
  <c r="CA59" i="1"/>
  <c r="DT59" i="1" s="1"/>
  <c r="FM59" i="1" s="1"/>
  <c r="CB59" i="1"/>
  <c r="DU59" i="1" s="1"/>
  <c r="FN59" i="1" s="1"/>
  <c r="CC59" i="1"/>
  <c r="DV59" i="1" s="1"/>
  <c r="FO59" i="1" s="1"/>
  <c r="CD59" i="1"/>
  <c r="DW59" i="1" s="1"/>
  <c r="FP59" i="1" s="1"/>
  <c r="CE59" i="1"/>
  <c r="DX59" i="1" s="1"/>
  <c r="FQ59" i="1" s="1"/>
  <c r="CF59" i="1"/>
  <c r="DY59" i="1" s="1"/>
  <c r="FR59" i="1" s="1"/>
  <c r="CG59" i="1"/>
  <c r="DZ59" i="1" s="1"/>
  <c r="FS59" i="1" s="1"/>
  <c r="CH59" i="1"/>
  <c r="EA59" i="1" s="1"/>
  <c r="FT59" i="1" s="1"/>
  <c r="CI59" i="1"/>
  <c r="EB59" i="1" s="1"/>
  <c r="FU59" i="1" s="1"/>
  <c r="CJ59" i="1"/>
  <c r="EC59" i="1" s="1"/>
  <c r="FV59" i="1" s="1"/>
  <c r="CK59" i="1"/>
  <c r="ED59" i="1" s="1"/>
  <c r="FW59" i="1" s="1"/>
  <c r="CL59" i="1"/>
  <c r="EE59" i="1" s="1"/>
  <c r="FX59" i="1" s="1"/>
  <c r="CM59" i="1"/>
  <c r="EF59" i="1" s="1"/>
  <c r="FY59" i="1" s="1"/>
  <c r="CN59" i="1"/>
  <c r="EG59" i="1" s="1"/>
  <c r="FZ59" i="1" s="1"/>
  <c r="CO59" i="1"/>
  <c r="EH59" i="1" s="1"/>
  <c r="GA59" i="1" s="1"/>
  <c r="BC66" i="1"/>
  <c r="CV66" i="1" s="1"/>
  <c r="EO66" i="1" s="1"/>
  <c r="BD66" i="1"/>
  <c r="CW66" i="1" s="1"/>
  <c r="EP66" i="1" s="1"/>
  <c r="BE66" i="1"/>
  <c r="CX66" i="1" s="1"/>
  <c r="EQ66" i="1" s="1"/>
  <c r="BF66" i="1"/>
  <c r="CY66" i="1" s="1"/>
  <c r="ER66" i="1" s="1"/>
  <c r="BG66" i="1"/>
  <c r="CZ66" i="1" s="1"/>
  <c r="ES66" i="1" s="1"/>
  <c r="BH66" i="1"/>
  <c r="DA66" i="1" s="1"/>
  <c r="ET66" i="1" s="1"/>
  <c r="BI66" i="1"/>
  <c r="DB66" i="1" s="1"/>
  <c r="EU66" i="1" s="1"/>
  <c r="BJ66" i="1"/>
  <c r="DC66" i="1" s="1"/>
  <c r="EV66" i="1" s="1"/>
  <c r="BK66" i="1"/>
  <c r="DD66" i="1" s="1"/>
  <c r="EW66" i="1" s="1"/>
  <c r="BL66" i="1"/>
  <c r="DE66" i="1" s="1"/>
  <c r="EX66" i="1" s="1"/>
  <c r="BM66" i="1"/>
  <c r="DF66" i="1" s="1"/>
  <c r="EY66" i="1" s="1"/>
  <c r="BN66" i="1"/>
  <c r="DG66" i="1" s="1"/>
  <c r="EZ66" i="1" s="1"/>
  <c r="BO66" i="1"/>
  <c r="DH66" i="1" s="1"/>
  <c r="FA66" i="1" s="1"/>
  <c r="BP66" i="1"/>
  <c r="DI66" i="1" s="1"/>
  <c r="FB66" i="1" s="1"/>
  <c r="BQ66" i="1"/>
  <c r="DJ66" i="1" s="1"/>
  <c r="FC66" i="1" s="1"/>
  <c r="BR66" i="1"/>
  <c r="DK66" i="1" s="1"/>
  <c r="FD66" i="1" s="1"/>
  <c r="BS66" i="1"/>
  <c r="DL66" i="1" s="1"/>
  <c r="FE66" i="1" s="1"/>
  <c r="BT66" i="1"/>
  <c r="DM66" i="1" s="1"/>
  <c r="FF66" i="1" s="1"/>
  <c r="BU66" i="1"/>
  <c r="DN66" i="1" s="1"/>
  <c r="FG66" i="1" s="1"/>
  <c r="BV66" i="1"/>
  <c r="DO66" i="1" s="1"/>
  <c r="FH66" i="1" s="1"/>
  <c r="BW66" i="1"/>
  <c r="DP66" i="1" s="1"/>
  <c r="FI66" i="1" s="1"/>
  <c r="BX66" i="1"/>
  <c r="DQ66" i="1" s="1"/>
  <c r="FJ66" i="1" s="1"/>
  <c r="BY66" i="1"/>
  <c r="DR66" i="1" s="1"/>
  <c r="FK66" i="1" s="1"/>
  <c r="BZ66" i="1"/>
  <c r="DS66" i="1" s="1"/>
  <c r="FL66" i="1" s="1"/>
  <c r="CA66" i="1"/>
  <c r="DT66" i="1" s="1"/>
  <c r="FM66" i="1" s="1"/>
  <c r="CB66" i="1"/>
  <c r="DU66" i="1" s="1"/>
  <c r="FN66" i="1" s="1"/>
  <c r="CC66" i="1"/>
  <c r="DV66" i="1" s="1"/>
  <c r="FO66" i="1" s="1"/>
  <c r="CD66" i="1"/>
  <c r="DW66" i="1" s="1"/>
  <c r="FP66" i="1" s="1"/>
  <c r="CE66" i="1"/>
  <c r="DX66" i="1" s="1"/>
  <c r="FQ66" i="1" s="1"/>
  <c r="CF66" i="1"/>
  <c r="DY66" i="1" s="1"/>
  <c r="FR66" i="1" s="1"/>
  <c r="CG66" i="1"/>
  <c r="DZ66" i="1" s="1"/>
  <c r="FS66" i="1" s="1"/>
  <c r="CH66" i="1"/>
  <c r="EA66" i="1" s="1"/>
  <c r="FT66" i="1" s="1"/>
  <c r="CI66" i="1"/>
  <c r="EB66" i="1" s="1"/>
  <c r="FU66" i="1" s="1"/>
  <c r="CJ66" i="1"/>
  <c r="EC66" i="1" s="1"/>
  <c r="FV66" i="1" s="1"/>
  <c r="CK66" i="1"/>
  <c r="ED66" i="1" s="1"/>
  <c r="FW66" i="1" s="1"/>
  <c r="CL66" i="1"/>
  <c r="EE66" i="1" s="1"/>
  <c r="FX66" i="1" s="1"/>
  <c r="CM66" i="1"/>
  <c r="EF66" i="1" s="1"/>
  <c r="FY66" i="1" s="1"/>
  <c r="CN66" i="1"/>
  <c r="EG66" i="1" s="1"/>
  <c r="FZ66" i="1" s="1"/>
  <c r="CO66" i="1"/>
  <c r="EH66" i="1" s="1"/>
  <c r="GA66" i="1" s="1"/>
  <c r="BC68" i="1"/>
  <c r="CV68" i="1" s="1"/>
  <c r="EO68" i="1" s="1"/>
  <c r="BD68" i="1"/>
  <c r="CW68" i="1" s="1"/>
  <c r="EP68" i="1" s="1"/>
  <c r="BE68" i="1"/>
  <c r="CX68" i="1" s="1"/>
  <c r="EQ68" i="1" s="1"/>
  <c r="BF68" i="1"/>
  <c r="CY68" i="1" s="1"/>
  <c r="ER68" i="1" s="1"/>
  <c r="BG68" i="1"/>
  <c r="CZ68" i="1" s="1"/>
  <c r="ES68" i="1" s="1"/>
  <c r="BH68" i="1"/>
  <c r="DA68" i="1" s="1"/>
  <c r="ET68" i="1" s="1"/>
  <c r="BI68" i="1"/>
  <c r="DB68" i="1" s="1"/>
  <c r="EU68" i="1" s="1"/>
  <c r="BJ68" i="1"/>
  <c r="DC68" i="1" s="1"/>
  <c r="EV68" i="1" s="1"/>
  <c r="BK68" i="1"/>
  <c r="DD68" i="1" s="1"/>
  <c r="EW68" i="1" s="1"/>
  <c r="BL68" i="1"/>
  <c r="DE68" i="1" s="1"/>
  <c r="EX68" i="1" s="1"/>
  <c r="BM68" i="1"/>
  <c r="DF68" i="1" s="1"/>
  <c r="EY68" i="1" s="1"/>
  <c r="BN68" i="1"/>
  <c r="DG68" i="1" s="1"/>
  <c r="EZ68" i="1" s="1"/>
  <c r="BO68" i="1"/>
  <c r="DH68" i="1" s="1"/>
  <c r="FA68" i="1" s="1"/>
  <c r="BP68" i="1"/>
  <c r="DI68" i="1" s="1"/>
  <c r="FB68" i="1" s="1"/>
  <c r="BQ68" i="1"/>
  <c r="DJ68" i="1" s="1"/>
  <c r="FC68" i="1" s="1"/>
  <c r="BR68" i="1"/>
  <c r="DK68" i="1" s="1"/>
  <c r="FD68" i="1" s="1"/>
  <c r="BS68" i="1"/>
  <c r="DL68" i="1" s="1"/>
  <c r="FE68" i="1" s="1"/>
  <c r="BT68" i="1"/>
  <c r="DM68" i="1" s="1"/>
  <c r="FF68" i="1" s="1"/>
  <c r="BU68" i="1"/>
  <c r="DN68" i="1" s="1"/>
  <c r="FG68" i="1" s="1"/>
  <c r="BV68" i="1"/>
  <c r="DO68" i="1" s="1"/>
  <c r="FH68" i="1" s="1"/>
  <c r="BW68" i="1"/>
  <c r="DP68" i="1" s="1"/>
  <c r="FI68" i="1" s="1"/>
  <c r="BX68" i="1"/>
  <c r="DQ68" i="1" s="1"/>
  <c r="FJ68" i="1" s="1"/>
  <c r="BY68" i="1"/>
  <c r="DR68" i="1" s="1"/>
  <c r="FK68" i="1" s="1"/>
  <c r="BZ68" i="1"/>
  <c r="DS68" i="1" s="1"/>
  <c r="FL68" i="1" s="1"/>
  <c r="CA68" i="1"/>
  <c r="DT68" i="1" s="1"/>
  <c r="FM68" i="1" s="1"/>
  <c r="CB68" i="1"/>
  <c r="DU68" i="1" s="1"/>
  <c r="FN68" i="1" s="1"/>
  <c r="CC68" i="1"/>
  <c r="DV68" i="1" s="1"/>
  <c r="FO68" i="1" s="1"/>
  <c r="CD68" i="1"/>
  <c r="DW68" i="1" s="1"/>
  <c r="FP68" i="1" s="1"/>
  <c r="CE68" i="1"/>
  <c r="DX68" i="1" s="1"/>
  <c r="FQ68" i="1" s="1"/>
  <c r="CF68" i="1"/>
  <c r="DY68" i="1" s="1"/>
  <c r="FR68" i="1" s="1"/>
  <c r="CG68" i="1"/>
  <c r="DZ68" i="1" s="1"/>
  <c r="FS68" i="1" s="1"/>
  <c r="CH68" i="1"/>
  <c r="EA68" i="1" s="1"/>
  <c r="FT68" i="1" s="1"/>
  <c r="CI68" i="1"/>
  <c r="EB68" i="1" s="1"/>
  <c r="FU68" i="1" s="1"/>
  <c r="CJ68" i="1"/>
  <c r="EC68" i="1" s="1"/>
  <c r="FV68" i="1" s="1"/>
  <c r="CK68" i="1"/>
  <c r="ED68" i="1" s="1"/>
  <c r="FW68" i="1" s="1"/>
  <c r="CL68" i="1"/>
  <c r="EE68" i="1" s="1"/>
  <c r="FX68" i="1" s="1"/>
  <c r="CM68" i="1"/>
  <c r="EF68" i="1" s="1"/>
  <c r="FY68" i="1" s="1"/>
  <c r="CN68" i="1"/>
  <c r="EG68" i="1" s="1"/>
  <c r="FZ68" i="1" s="1"/>
  <c r="CO68" i="1"/>
  <c r="EH68" i="1" s="1"/>
  <c r="GA68" i="1" s="1"/>
  <c r="BC71" i="1"/>
  <c r="CV71" i="1" s="1"/>
  <c r="EO71" i="1" s="1"/>
  <c r="BD71" i="1"/>
  <c r="CW71" i="1" s="1"/>
  <c r="EP71" i="1" s="1"/>
  <c r="BE71" i="1"/>
  <c r="CX71" i="1" s="1"/>
  <c r="EQ71" i="1" s="1"/>
  <c r="BF71" i="1"/>
  <c r="CY71" i="1" s="1"/>
  <c r="ER71" i="1" s="1"/>
  <c r="BG71" i="1"/>
  <c r="CZ71" i="1" s="1"/>
  <c r="ES71" i="1" s="1"/>
  <c r="BH71" i="1"/>
  <c r="DA71" i="1" s="1"/>
  <c r="ET71" i="1" s="1"/>
  <c r="BI71" i="1"/>
  <c r="DB71" i="1" s="1"/>
  <c r="EU71" i="1" s="1"/>
  <c r="BJ71" i="1"/>
  <c r="DC71" i="1" s="1"/>
  <c r="EV71" i="1" s="1"/>
  <c r="BK71" i="1"/>
  <c r="DD71" i="1" s="1"/>
  <c r="EW71" i="1" s="1"/>
  <c r="BL71" i="1"/>
  <c r="DE71" i="1" s="1"/>
  <c r="EX71" i="1" s="1"/>
  <c r="BM71" i="1"/>
  <c r="DF71" i="1" s="1"/>
  <c r="EY71" i="1" s="1"/>
  <c r="BN71" i="1"/>
  <c r="DG71" i="1" s="1"/>
  <c r="EZ71" i="1" s="1"/>
  <c r="BO71" i="1"/>
  <c r="DH71" i="1" s="1"/>
  <c r="FA71" i="1" s="1"/>
  <c r="BP71" i="1"/>
  <c r="DI71" i="1" s="1"/>
  <c r="FB71" i="1" s="1"/>
  <c r="BQ71" i="1"/>
  <c r="DJ71" i="1" s="1"/>
  <c r="FC71" i="1" s="1"/>
  <c r="BR71" i="1"/>
  <c r="DK71" i="1" s="1"/>
  <c r="FD71" i="1" s="1"/>
  <c r="BS71" i="1"/>
  <c r="DL71" i="1" s="1"/>
  <c r="FE71" i="1" s="1"/>
  <c r="BT71" i="1"/>
  <c r="DM71" i="1" s="1"/>
  <c r="FF71" i="1" s="1"/>
  <c r="BU71" i="1"/>
  <c r="DN71" i="1" s="1"/>
  <c r="FG71" i="1" s="1"/>
  <c r="BV71" i="1"/>
  <c r="DO71" i="1" s="1"/>
  <c r="FH71" i="1" s="1"/>
  <c r="BW71" i="1"/>
  <c r="DP71" i="1" s="1"/>
  <c r="FI71" i="1" s="1"/>
  <c r="BX71" i="1"/>
  <c r="DQ71" i="1" s="1"/>
  <c r="FJ71" i="1" s="1"/>
  <c r="BY71" i="1"/>
  <c r="DR71" i="1" s="1"/>
  <c r="FK71" i="1" s="1"/>
  <c r="BZ71" i="1"/>
  <c r="DS71" i="1" s="1"/>
  <c r="FL71" i="1" s="1"/>
  <c r="CA71" i="1"/>
  <c r="DT71" i="1" s="1"/>
  <c r="FM71" i="1" s="1"/>
  <c r="CB71" i="1"/>
  <c r="DU71" i="1" s="1"/>
  <c r="FN71" i="1" s="1"/>
  <c r="CC71" i="1"/>
  <c r="DV71" i="1" s="1"/>
  <c r="FO71" i="1" s="1"/>
  <c r="CD71" i="1"/>
  <c r="DW71" i="1" s="1"/>
  <c r="FP71" i="1" s="1"/>
  <c r="CE71" i="1"/>
  <c r="DX71" i="1" s="1"/>
  <c r="FQ71" i="1" s="1"/>
  <c r="CF71" i="1"/>
  <c r="DY71" i="1" s="1"/>
  <c r="FR71" i="1" s="1"/>
  <c r="CG71" i="1"/>
  <c r="DZ71" i="1" s="1"/>
  <c r="FS71" i="1" s="1"/>
  <c r="CH71" i="1"/>
  <c r="EA71" i="1" s="1"/>
  <c r="FT71" i="1" s="1"/>
  <c r="CI71" i="1"/>
  <c r="EB71" i="1" s="1"/>
  <c r="FU71" i="1" s="1"/>
  <c r="CJ71" i="1"/>
  <c r="EC71" i="1" s="1"/>
  <c r="FV71" i="1" s="1"/>
  <c r="CK71" i="1"/>
  <c r="ED71" i="1" s="1"/>
  <c r="FW71" i="1" s="1"/>
  <c r="CL71" i="1"/>
  <c r="EE71" i="1" s="1"/>
  <c r="FX71" i="1" s="1"/>
  <c r="CM71" i="1"/>
  <c r="EF71" i="1" s="1"/>
  <c r="FY71" i="1" s="1"/>
  <c r="CN71" i="1"/>
  <c r="EG71" i="1" s="1"/>
  <c r="FZ71" i="1" s="1"/>
  <c r="CO71" i="1"/>
  <c r="EH71" i="1" s="1"/>
  <c r="GA71" i="1" s="1"/>
  <c r="BC73" i="1"/>
  <c r="CV73" i="1" s="1"/>
  <c r="EO73" i="1" s="1"/>
  <c r="BD73" i="1"/>
  <c r="CW73" i="1" s="1"/>
  <c r="EP73" i="1" s="1"/>
  <c r="BE73" i="1"/>
  <c r="CX73" i="1" s="1"/>
  <c r="EQ73" i="1" s="1"/>
  <c r="BF73" i="1"/>
  <c r="CY73" i="1" s="1"/>
  <c r="ER73" i="1" s="1"/>
  <c r="BG73" i="1"/>
  <c r="CZ73" i="1" s="1"/>
  <c r="ES73" i="1" s="1"/>
  <c r="BH73" i="1"/>
  <c r="DA73" i="1" s="1"/>
  <c r="ET73" i="1" s="1"/>
  <c r="BI73" i="1"/>
  <c r="DB73" i="1" s="1"/>
  <c r="EU73" i="1" s="1"/>
  <c r="BJ73" i="1"/>
  <c r="DC73" i="1" s="1"/>
  <c r="EV73" i="1" s="1"/>
  <c r="BK73" i="1"/>
  <c r="DD73" i="1" s="1"/>
  <c r="EW73" i="1" s="1"/>
  <c r="BL73" i="1"/>
  <c r="DE73" i="1" s="1"/>
  <c r="EX73" i="1" s="1"/>
  <c r="BM73" i="1"/>
  <c r="DF73" i="1" s="1"/>
  <c r="EY73" i="1" s="1"/>
  <c r="BN73" i="1"/>
  <c r="DG73" i="1" s="1"/>
  <c r="EZ73" i="1" s="1"/>
  <c r="BO73" i="1"/>
  <c r="DH73" i="1" s="1"/>
  <c r="FA73" i="1" s="1"/>
  <c r="BP73" i="1"/>
  <c r="DI73" i="1" s="1"/>
  <c r="FB73" i="1" s="1"/>
  <c r="BQ73" i="1"/>
  <c r="DJ73" i="1" s="1"/>
  <c r="FC73" i="1" s="1"/>
  <c r="BR73" i="1"/>
  <c r="DK73" i="1" s="1"/>
  <c r="FD73" i="1" s="1"/>
  <c r="BS73" i="1"/>
  <c r="DL73" i="1" s="1"/>
  <c r="FE73" i="1" s="1"/>
  <c r="BT73" i="1"/>
  <c r="DM73" i="1" s="1"/>
  <c r="FF73" i="1" s="1"/>
  <c r="BU73" i="1"/>
  <c r="DN73" i="1" s="1"/>
  <c r="FG73" i="1" s="1"/>
  <c r="BV73" i="1"/>
  <c r="DO73" i="1" s="1"/>
  <c r="FH73" i="1" s="1"/>
  <c r="BW73" i="1"/>
  <c r="DP73" i="1" s="1"/>
  <c r="FI73" i="1" s="1"/>
  <c r="BX73" i="1"/>
  <c r="DQ73" i="1" s="1"/>
  <c r="FJ73" i="1" s="1"/>
  <c r="BY73" i="1"/>
  <c r="DR73" i="1" s="1"/>
  <c r="FK73" i="1" s="1"/>
  <c r="BZ73" i="1"/>
  <c r="DS73" i="1" s="1"/>
  <c r="FL73" i="1" s="1"/>
  <c r="CA73" i="1"/>
  <c r="DT73" i="1" s="1"/>
  <c r="FM73" i="1" s="1"/>
  <c r="CB73" i="1"/>
  <c r="DU73" i="1" s="1"/>
  <c r="FN73" i="1" s="1"/>
  <c r="CC73" i="1"/>
  <c r="DV73" i="1" s="1"/>
  <c r="FO73" i="1" s="1"/>
  <c r="CD73" i="1"/>
  <c r="DW73" i="1" s="1"/>
  <c r="FP73" i="1" s="1"/>
  <c r="CE73" i="1"/>
  <c r="DX73" i="1" s="1"/>
  <c r="FQ73" i="1" s="1"/>
  <c r="CF73" i="1"/>
  <c r="DY73" i="1" s="1"/>
  <c r="FR73" i="1" s="1"/>
  <c r="CG73" i="1"/>
  <c r="DZ73" i="1" s="1"/>
  <c r="FS73" i="1" s="1"/>
  <c r="CH73" i="1"/>
  <c r="EA73" i="1" s="1"/>
  <c r="FT73" i="1" s="1"/>
  <c r="CI73" i="1"/>
  <c r="EB73" i="1" s="1"/>
  <c r="FU73" i="1" s="1"/>
  <c r="CJ73" i="1"/>
  <c r="EC73" i="1" s="1"/>
  <c r="FV73" i="1" s="1"/>
  <c r="CK73" i="1"/>
  <c r="ED73" i="1" s="1"/>
  <c r="FW73" i="1" s="1"/>
  <c r="CL73" i="1"/>
  <c r="EE73" i="1" s="1"/>
  <c r="FX73" i="1" s="1"/>
  <c r="CM73" i="1"/>
  <c r="EF73" i="1" s="1"/>
  <c r="FY73" i="1" s="1"/>
  <c r="CN73" i="1"/>
  <c r="EG73" i="1" s="1"/>
  <c r="FZ73" i="1" s="1"/>
  <c r="CO73" i="1"/>
  <c r="EH73" i="1" s="1"/>
  <c r="GA73" i="1" s="1"/>
  <c r="BB73" i="1"/>
  <c r="CU73" i="1" s="1"/>
  <c r="EN73" i="1" s="1"/>
  <c r="BB68" i="1"/>
  <c r="CU68" i="1" s="1"/>
  <c r="EN68" i="1" s="1"/>
  <c r="BB71" i="1"/>
  <c r="CU71" i="1" s="1"/>
  <c r="BB66" i="1"/>
  <c r="CU66" i="1" s="1"/>
  <c r="EN66" i="1" s="1"/>
  <c r="BB59" i="1"/>
  <c r="CU59" i="1" s="1"/>
  <c r="EN59" i="1" s="1"/>
  <c r="BB57" i="1"/>
  <c r="CU57" i="1" s="1"/>
  <c r="EN57" i="1" s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BB52" i="1"/>
  <c r="BB47" i="1"/>
  <c r="D34" i="2"/>
  <c r="D33" i="2"/>
  <c r="B29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B20" i="2"/>
  <c r="D19" i="2"/>
  <c r="D18" i="2"/>
  <c r="D17" i="2"/>
  <c r="B15" i="2"/>
  <c r="B17" i="2"/>
  <c r="D16" i="2"/>
  <c r="D15" i="2"/>
  <c r="N27" i="10" l="1"/>
  <c r="N31" i="10"/>
  <c r="N23" i="10"/>
  <c r="N20" i="10"/>
  <c r="N15" i="10"/>
  <c r="N19" i="10"/>
  <c r="N21" i="10"/>
  <c r="N25" i="10"/>
  <c r="AT38" i="2"/>
  <c r="AT39" i="2"/>
  <c r="G54" i="3" s="1"/>
  <c r="H54" i="3" s="1"/>
  <c r="CR23" i="7"/>
  <c r="DL6" i="7" s="1"/>
  <c r="EF6" i="7" s="1"/>
  <c r="J16" i="10" s="1"/>
  <c r="BY23" i="7"/>
  <c r="AV38" i="2"/>
  <c r="AV39" i="2"/>
  <c r="G56" i="3" s="1"/>
  <c r="AS38" i="2"/>
  <c r="AS39" i="2"/>
  <c r="G53" i="3" s="1"/>
  <c r="H53" i="3" s="1"/>
  <c r="AU38" i="2"/>
  <c r="AU39" i="2"/>
  <c r="G55" i="3" s="1"/>
  <c r="H55" i="3" s="1"/>
  <c r="GA57" i="1"/>
  <c r="AR35" i="2"/>
  <c r="E52" i="3" s="1"/>
  <c r="F52" i="3" s="1"/>
  <c r="FY57" i="1"/>
  <c r="AP35" i="2"/>
  <c r="E50" i="3" s="1"/>
  <c r="F50" i="3" s="1"/>
  <c r="FW57" i="1"/>
  <c r="AN35" i="2"/>
  <c r="E48" i="3" s="1"/>
  <c r="F48" i="3" s="1"/>
  <c r="FU57" i="1"/>
  <c r="AL35" i="2"/>
  <c r="E46" i="3" s="1"/>
  <c r="F46" i="3" s="1"/>
  <c r="FS57" i="1"/>
  <c r="AJ35" i="2"/>
  <c r="E44" i="3" s="1"/>
  <c r="F44" i="3" s="1"/>
  <c r="FQ57" i="1"/>
  <c r="AH35" i="2"/>
  <c r="E42" i="3" s="1"/>
  <c r="F42" i="3" s="1"/>
  <c r="FO57" i="1"/>
  <c r="AF35" i="2"/>
  <c r="E40" i="3" s="1"/>
  <c r="F40" i="3" s="1"/>
  <c r="FM57" i="1"/>
  <c r="AD35" i="2"/>
  <c r="E38" i="3" s="1"/>
  <c r="F38" i="3" s="1"/>
  <c r="FK57" i="1"/>
  <c r="AB35" i="2"/>
  <c r="E36" i="3" s="1"/>
  <c r="F36" i="3" s="1"/>
  <c r="FI57" i="1"/>
  <c r="Z35" i="2"/>
  <c r="E34" i="3" s="1"/>
  <c r="F34" i="3" s="1"/>
  <c r="FG57" i="1"/>
  <c r="X35" i="2"/>
  <c r="E32" i="3" s="1"/>
  <c r="F32" i="3" s="1"/>
  <c r="FE57" i="1"/>
  <c r="V35" i="2"/>
  <c r="E30" i="3" s="1"/>
  <c r="F30" i="3" s="1"/>
  <c r="FC57" i="1"/>
  <c r="T35" i="2"/>
  <c r="E28" i="3" s="1"/>
  <c r="F28" i="3" s="1"/>
  <c r="FA57" i="1"/>
  <c r="R35" i="2"/>
  <c r="E26" i="3" s="1"/>
  <c r="F26" i="3" s="1"/>
  <c r="EY57" i="1"/>
  <c r="P35" i="2"/>
  <c r="E24" i="3" s="1"/>
  <c r="F24" i="3" s="1"/>
  <c r="EW57" i="1"/>
  <c r="N35" i="2"/>
  <c r="E22" i="3" s="1"/>
  <c r="F22" i="3" s="1"/>
  <c r="EU57" i="1"/>
  <c r="L35" i="2"/>
  <c r="E20" i="3" s="1"/>
  <c r="F20" i="3" s="1"/>
  <c r="ES57" i="1"/>
  <c r="J35" i="2"/>
  <c r="E18" i="3" s="1"/>
  <c r="F18" i="3" s="1"/>
  <c r="EQ57" i="1"/>
  <c r="H35" i="2"/>
  <c r="E16" i="3" s="1"/>
  <c r="F16" i="3" s="1"/>
  <c r="EO57" i="1"/>
  <c r="F35" i="2"/>
  <c r="E14" i="3" s="1"/>
  <c r="F14" i="3" s="1"/>
  <c r="FZ57" i="1"/>
  <c r="AQ35" i="2"/>
  <c r="E51" i="3" s="1"/>
  <c r="F51" i="3" s="1"/>
  <c r="FX57" i="1"/>
  <c r="AO35" i="2"/>
  <c r="E49" i="3" s="1"/>
  <c r="F49" i="3" s="1"/>
  <c r="FV57" i="1"/>
  <c r="AM35" i="2"/>
  <c r="E47" i="3" s="1"/>
  <c r="F47" i="3" s="1"/>
  <c r="FT57" i="1"/>
  <c r="AK35" i="2"/>
  <c r="E45" i="3" s="1"/>
  <c r="F45" i="3" s="1"/>
  <c r="FR57" i="1"/>
  <c r="AI35" i="2"/>
  <c r="E43" i="3" s="1"/>
  <c r="F43" i="3" s="1"/>
  <c r="FP57" i="1"/>
  <c r="AG35" i="2"/>
  <c r="E41" i="3" s="1"/>
  <c r="F41" i="3" s="1"/>
  <c r="FN57" i="1"/>
  <c r="AE35" i="2"/>
  <c r="E39" i="3" s="1"/>
  <c r="F39" i="3" s="1"/>
  <c r="FL57" i="1"/>
  <c r="AC35" i="2"/>
  <c r="E37" i="3" s="1"/>
  <c r="F37" i="3" s="1"/>
  <c r="FJ57" i="1"/>
  <c r="AA35" i="2"/>
  <c r="E35" i="3" s="1"/>
  <c r="F35" i="3" s="1"/>
  <c r="FH57" i="1"/>
  <c r="Y35" i="2"/>
  <c r="E33" i="3" s="1"/>
  <c r="F33" i="3" s="1"/>
  <c r="FF57" i="1"/>
  <c r="W35" i="2"/>
  <c r="E31" i="3" s="1"/>
  <c r="F31" i="3" s="1"/>
  <c r="FD57" i="1"/>
  <c r="U35" i="2"/>
  <c r="E29" i="3" s="1"/>
  <c r="F29" i="3" s="1"/>
  <c r="FB57" i="1"/>
  <c r="S35" i="2"/>
  <c r="E27" i="3" s="1"/>
  <c r="F27" i="3" s="1"/>
  <c r="EZ57" i="1"/>
  <c r="Q35" i="2"/>
  <c r="E25" i="3" s="1"/>
  <c r="F25" i="3" s="1"/>
  <c r="EX57" i="1"/>
  <c r="O35" i="2"/>
  <c r="E23" i="3" s="1"/>
  <c r="F23" i="3" s="1"/>
  <c r="EV57" i="1"/>
  <c r="M35" i="2"/>
  <c r="E21" i="3" s="1"/>
  <c r="F21" i="3" s="1"/>
  <c r="ET57" i="1"/>
  <c r="K35" i="2"/>
  <c r="E19" i="3" s="1"/>
  <c r="F19" i="3" s="1"/>
  <c r="ER57" i="1"/>
  <c r="I35" i="2"/>
  <c r="E17" i="3" s="1"/>
  <c r="F17" i="3" s="1"/>
  <c r="EP57" i="1"/>
  <c r="G35" i="2"/>
  <c r="E15" i="3" s="1"/>
  <c r="F15" i="3" s="1"/>
  <c r="E35" i="2"/>
  <c r="E13" i="3" s="1"/>
  <c r="EN71" i="1"/>
  <c r="E34" i="2"/>
  <c r="AQ34" i="2"/>
  <c r="AO34" i="2"/>
  <c r="AM34" i="2"/>
  <c r="AK34" i="2"/>
  <c r="AI34" i="2"/>
  <c r="AG34" i="2"/>
  <c r="AE34" i="2"/>
  <c r="AC34" i="2"/>
  <c r="AA34" i="2"/>
  <c r="Y34" i="2"/>
  <c r="W34" i="2"/>
  <c r="U34" i="2"/>
  <c r="S34" i="2"/>
  <c r="Q34" i="2"/>
  <c r="O34" i="2"/>
  <c r="M34" i="2"/>
  <c r="K34" i="2"/>
  <c r="I34" i="2"/>
  <c r="G34" i="2"/>
  <c r="AR33" i="2"/>
  <c r="AP33" i="2"/>
  <c r="AN33" i="2"/>
  <c r="AL33" i="2"/>
  <c r="AJ33" i="2"/>
  <c r="AH33" i="2"/>
  <c r="AF33" i="2"/>
  <c r="AD33" i="2"/>
  <c r="AB33" i="2"/>
  <c r="Z33" i="2"/>
  <c r="X33" i="2"/>
  <c r="V33" i="2"/>
  <c r="T33" i="2"/>
  <c r="R33" i="2"/>
  <c r="P33" i="2"/>
  <c r="N33" i="2"/>
  <c r="L33" i="2"/>
  <c r="J33" i="2"/>
  <c r="H33" i="2"/>
  <c r="F33" i="2"/>
  <c r="E33" i="2"/>
  <c r="AR34" i="2"/>
  <c r="AP34" i="2"/>
  <c r="AN34" i="2"/>
  <c r="AL34" i="2"/>
  <c r="AJ34" i="2"/>
  <c r="AH34" i="2"/>
  <c r="AF34" i="2"/>
  <c r="AD34" i="2"/>
  <c r="AB34" i="2"/>
  <c r="Z34" i="2"/>
  <c r="X34" i="2"/>
  <c r="V34" i="2"/>
  <c r="T34" i="2"/>
  <c r="R34" i="2"/>
  <c r="P34" i="2"/>
  <c r="N34" i="2"/>
  <c r="L34" i="2"/>
  <c r="J34" i="2"/>
  <c r="H34" i="2"/>
  <c r="F34" i="2"/>
  <c r="AQ33" i="2"/>
  <c r="AO33" i="2"/>
  <c r="AM33" i="2"/>
  <c r="AK33" i="2"/>
  <c r="AI33" i="2"/>
  <c r="AG33" i="2"/>
  <c r="AE33" i="2"/>
  <c r="AC33" i="2"/>
  <c r="AA33" i="2"/>
  <c r="Y33" i="2"/>
  <c r="W33" i="2"/>
  <c r="U33" i="2"/>
  <c r="S33" i="2"/>
  <c r="Q33" i="2"/>
  <c r="O33" i="2"/>
  <c r="M33" i="2"/>
  <c r="K33" i="2"/>
  <c r="I33" i="2"/>
  <c r="G33" i="2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EG52" i="1"/>
  <c r="EH52" i="1"/>
  <c r="CU52" i="1"/>
  <c r="CU47" i="1"/>
  <c r="CS23" i="7" l="1"/>
  <c r="DM6" i="7" s="1"/>
  <c r="EG6" i="7" s="1"/>
  <c r="J17" i="10" s="1"/>
  <c r="BZ23" i="7"/>
  <c r="J20" i="4"/>
  <c r="L20" i="4" s="1"/>
  <c r="J18" i="4"/>
  <c r="L18" i="4" s="1"/>
  <c r="J16" i="4"/>
  <c r="L16" i="4" s="1"/>
  <c r="J19" i="4"/>
  <c r="L19" i="4" s="1"/>
  <c r="J17" i="4"/>
  <c r="L17" i="4" s="1"/>
  <c r="J15" i="4"/>
  <c r="L15" i="4" s="1"/>
  <c r="F13" i="3"/>
  <c r="EN47" i="1"/>
  <c r="BB6" i="1"/>
  <c r="BB8" i="1"/>
  <c r="BC6" i="1"/>
  <c r="F15" i="2" s="1"/>
  <c r="BD6" i="1"/>
  <c r="G15" i="2" s="1"/>
  <c r="BE6" i="1"/>
  <c r="H15" i="2" s="1"/>
  <c r="BF6" i="1"/>
  <c r="I15" i="2" s="1"/>
  <c r="BG6" i="1"/>
  <c r="J15" i="2" s="1"/>
  <c r="BH6" i="1"/>
  <c r="K15" i="2" s="1"/>
  <c r="BI6" i="1"/>
  <c r="L15" i="2" s="1"/>
  <c r="BJ6" i="1"/>
  <c r="M15" i="2" s="1"/>
  <c r="BK6" i="1"/>
  <c r="N15" i="2" s="1"/>
  <c r="BL6" i="1"/>
  <c r="O15" i="2" s="1"/>
  <c r="BM6" i="1"/>
  <c r="P15" i="2" s="1"/>
  <c r="BN6" i="1"/>
  <c r="Q15" i="2" s="1"/>
  <c r="BO6" i="1"/>
  <c r="R15" i="2" s="1"/>
  <c r="BP6" i="1"/>
  <c r="S15" i="2" s="1"/>
  <c r="BQ6" i="1"/>
  <c r="T15" i="2" s="1"/>
  <c r="BR6" i="1"/>
  <c r="U15" i="2" s="1"/>
  <c r="BS6" i="1"/>
  <c r="V15" i="2" s="1"/>
  <c r="BT6" i="1"/>
  <c r="W15" i="2" s="1"/>
  <c r="BU6" i="1"/>
  <c r="X15" i="2" s="1"/>
  <c r="BV6" i="1"/>
  <c r="Y15" i="2" s="1"/>
  <c r="BW6" i="1"/>
  <c r="Z15" i="2" s="1"/>
  <c r="BX6" i="1"/>
  <c r="AA15" i="2" s="1"/>
  <c r="BY6" i="1"/>
  <c r="AB15" i="2" s="1"/>
  <c r="BZ6" i="1"/>
  <c r="AC15" i="2" s="1"/>
  <c r="CA6" i="1"/>
  <c r="AD15" i="2" s="1"/>
  <c r="CB6" i="1"/>
  <c r="AE15" i="2" s="1"/>
  <c r="CC6" i="1"/>
  <c r="AF15" i="2" s="1"/>
  <c r="CD6" i="1"/>
  <c r="AG15" i="2" s="1"/>
  <c r="CE6" i="1"/>
  <c r="AH15" i="2" s="1"/>
  <c r="CF6" i="1"/>
  <c r="AI15" i="2" s="1"/>
  <c r="CG6" i="1"/>
  <c r="AJ15" i="2" s="1"/>
  <c r="CH6" i="1"/>
  <c r="AK15" i="2" s="1"/>
  <c r="CI6" i="1"/>
  <c r="AL15" i="2" s="1"/>
  <c r="CJ6" i="1"/>
  <c r="AM15" i="2" s="1"/>
  <c r="CK6" i="1"/>
  <c r="AN15" i="2" s="1"/>
  <c r="CL6" i="1"/>
  <c r="AO15" i="2" s="1"/>
  <c r="CM6" i="1"/>
  <c r="AP15" i="2" s="1"/>
  <c r="CN6" i="1"/>
  <c r="AQ15" i="2" s="1"/>
  <c r="CO6" i="1"/>
  <c r="AR15" i="2" s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BC10" i="1"/>
  <c r="F16" i="2" s="1"/>
  <c r="BD10" i="1"/>
  <c r="G16" i="2" s="1"/>
  <c r="BE10" i="1"/>
  <c r="H16" i="2" s="1"/>
  <c r="BF10" i="1"/>
  <c r="I16" i="2" s="1"/>
  <c r="BG10" i="1"/>
  <c r="J16" i="2" s="1"/>
  <c r="BH10" i="1"/>
  <c r="K16" i="2" s="1"/>
  <c r="BI10" i="1"/>
  <c r="L16" i="2" s="1"/>
  <c r="BJ10" i="1"/>
  <c r="M16" i="2" s="1"/>
  <c r="BK10" i="1"/>
  <c r="N16" i="2" s="1"/>
  <c r="BL10" i="1"/>
  <c r="O16" i="2" s="1"/>
  <c r="BM10" i="1"/>
  <c r="P16" i="2" s="1"/>
  <c r="BN10" i="1"/>
  <c r="Q16" i="2" s="1"/>
  <c r="BO10" i="1"/>
  <c r="R16" i="2" s="1"/>
  <c r="BP10" i="1"/>
  <c r="S16" i="2" s="1"/>
  <c r="BQ10" i="1"/>
  <c r="T16" i="2" s="1"/>
  <c r="BR10" i="1"/>
  <c r="U16" i="2" s="1"/>
  <c r="BS10" i="1"/>
  <c r="V16" i="2" s="1"/>
  <c r="BT10" i="1"/>
  <c r="W16" i="2" s="1"/>
  <c r="BU10" i="1"/>
  <c r="X16" i="2" s="1"/>
  <c r="BV10" i="1"/>
  <c r="Y16" i="2" s="1"/>
  <c r="BW10" i="1"/>
  <c r="Z16" i="2" s="1"/>
  <c r="BX10" i="1"/>
  <c r="AA16" i="2" s="1"/>
  <c r="BY10" i="1"/>
  <c r="AB16" i="2" s="1"/>
  <c r="BZ10" i="1"/>
  <c r="AC16" i="2" s="1"/>
  <c r="CA10" i="1"/>
  <c r="AD16" i="2" s="1"/>
  <c r="CB10" i="1"/>
  <c r="AE16" i="2" s="1"/>
  <c r="CC10" i="1"/>
  <c r="AF16" i="2" s="1"/>
  <c r="CD10" i="1"/>
  <c r="AG16" i="2" s="1"/>
  <c r="CE10" i="1"/>
  <c r="AH16" i="2" s="1"/>
  <c r="CF10" i="1"/>
  <c r="AI16" i="2" s="1"/>
  <c r="CG10" i="1"/>
  <c r="AJ16" i="2" s="1"/>
  <c r="CH10" i="1"/>
  <c r="AK16" i="2" s="1"/>
  <c r="CI10" i="1"/>
  <c r="AL16" i="2" s="1"/>
  <c r="CJ10" i="1"/>
  <c r="AM16" i="2" s="1"/>
  <c r="CK10" i="1"/>
  <c r="AN16" i="2" s="1"/>
  <c r="CL10" i="1"/>
  <c r="AO16" i="2" s="1"/>
  <c r="CM10" i="1"/>
  <c r="AP16" i="2" s="1"/>
  <c r="CN10" i="1"/>
  <c r="AQ16" i="2" s="1"/>
  <c r="CO10" i="1"/>
  <c r="AR16" i="2" s="1"/>
  <c r="BC15" i="1"/>
  <c r="F17" i="2" s="1"/>
  <c r="BD15" i="1"/>
  <c r="G17" i="2" s="1"/>
  <c r="BE15" i="1"/>
  <c r="H17" i="2" s="1"/>
  <c r="BF15" i="1"/>
  <c r="I17" i="2" s="1"/>
  <c r="BG15" i="1"/>
  <c r="J17" i="2" s="1"/>
  <c r="BH15" i="1"/>
  <c r="K17" i="2" s="1"/>
  <c r="BI15" i="1"/>
  <c r="L17" i="2" s="1"/>
  <c r="BJ15" i="1"/>
  <c r="M17" i="2" s="1"/>
  <c r="BK15" i="1"/>
  <c r="N17" i="2" s="1"/>
  <c r="BL15" i="1"/>
  <c r="O17" i="2" s="1"/>
  <c r="BM15" i="1"/>
  <c r="P17" i="2" s="1"/>
  <c r="BN15" i="1"/>
  <c r="Q17" i="2" s="1"/>
  <c r="BO15" i="1"/>
  <c r="R17" i="2" s="1"/>
  <c r="BP15" i="1"/>
  <c r="S17" i="2" s="1"/>
  <c r="BQ15" i="1"/>
  <c r="T17" i="2" s="1"/>
  <c r="BR15" i="1"/>
  <c r="U17" i="2" s="1"/>
  <c r="BS15" i="1"/>
  <c r="V17" i="2" s="1"/>
  <c r="BT15" i="1"/>
  <c r="W17" i="2" s="1"/>
  <c r="BU15" i="1"/>
  <c r="X17" i="2" s="1"/>
  <c r="BV15" i="1"/>
  <c r="Y17" i="2" s="1"/>
  <c r="BW15" i="1"/>
  <c r="Z17" i="2" s="1"/>
  <c r="BX15" i="1"/>
  <c r="AA17" i="2" s="1"/>
  <c r="BY15" i="1"/>
  <c r="AB17" i="2" s="1"/>
  <c r="BZ15" i="1"/>
  <c r="AC17" i="2" s="1"/>
  <c r="CA15" i="1"/>
  <c r="AD17" i="2" s="1"/>
  <c r="CB15" i="1"/>
  <c r="AE17" i="2" s="1"/>
  <c r="CC15" i="1"/>
  <c r="AF17" i="2" s="1"/>
  <c r="CD15" i="1"/>
  <c r="AG17" i="2" s="1"/>
  <c r="CE15" i="1"/>
  <c r="AH17" i="2" s="1"/>
  <c r="CF15" i="1"/>
  <c r="AI17" i="2" s="1"/>
  <c r="CG15" i="1"/>
  <c r="AJ17" i="2" s="1"/>
  <c r="CH15" i="1"/>
  <c r="AK17" i="2" s="1"/>
  <c r="CI15" i="1"/>
  <c r="AL17" i="2" s="1"/>
  <c r="CJ15" i="1"/>
  <c r="AM17" i="2" s="1"/>
  <c r="CK15" i="1"/>
  <c r="AN17" i="2" s="1"/>
  <c r="CL15" i="1"/>
  <c r="AO17" i="2" s="1"/>
  <c r="CM15" i="1"/>
  <c r="AP17" i="2" s="1"/>
  <c r="CN15" i="1"/>
  <c r="AQ17" i="2" s="1"/>
  <c r="CO15" i="1"/>
  <c r="AR17" i="2" s="1"/>
  <c r="BC17" i="1"/>
  <c r="F18" i="2" s="1"/>
  <c r="BD17" i="1"/>
  <c r="G18" i="2" s="1"/>
  <c r="BE17" i="1"/>
  <c r="H18" i="2" s="1"/>
  <c r="BF17" i="1"/>
  <c r="I18" i="2" s="1"/>
  <c r="BG17" i="1"/>
  <c r="J18" i="2" s="1"/>
  <c r="BH17" i="1"/>
  <c r="K18" i="2" s="1"/>
  <c r="BI17" i="1"/>
  <c r="L18" i="2" s="1"/>
  <c r="BJ17" i="1"/>
  <c r="M18" i="2" s="1"/>
  <c r="BK17" i="1"/>
  <c r="N18" i="2" s="1"/>
  <c r="BL17" i="1"/>
  <c r="O18" i="2" s="1"/>
  <c r="BM17" i="1"/>
  <c r="P18" i="2" s="1"/>
  <c r="BN17" i="1"/>
  <c r="Q18" i="2" s="1"/>
  <c r="BO17" i="1"/>
  <c r="R18" i="2" s="1"/>
  <c r="BP17" i="1"/>
  <c r="S18" i="2" s="1"/>
  <c r="BQ17" i="1"/>
  <c r="T18" i="2" s="1"/>
  <c r="BR17" i="1"/>
  <c r="U18" i="2" s="1"/>
  <c r="BS17" i="1"/>
  <c r="V18" i="2" s="1"/>
  <c r="BT17" i="1"/>
  <c r="W18" i="2" s="1"/>
  <c r="BU17" i="1"/>
  <c r="X18" i="2" s="1"/>
  <c r="BV17" i="1"/>
  <c r="Y18" i="2" s="1"/>
  <c r="BW17" i="1"/>
  <c r="Z18" i="2" s="1"/>
  <c r="BX17" i="1"/>
  <c r="AA18" i="2" s="1"/>
  <c r="BY17" i="1"/>
  <c r="AB18" i="2" s="1"/>
  <c r="BZ17" i="1"/>
  <c r="AC18" i="2" s="1"/>
  <c r="CA17" i="1"/>
  <c r="AD18" i="2" s="1"/>
  <c r="CB17" i="1"/>
  <c r="AE18" i="2" s="1"/>
  <c r="CC17" i="1"/>
  <c r="AF18" i="2" s="1"/>
  <c r="CD17" i="1"/>
  <c r="AG18" i="2" s="1"/>
  <c r="CE17" i="1"/>
  <c r="AH18" i="2" s="1"/>
  <c r="CF17" i="1"/>
  <c r="AI18" i="2" s="1"/>
  <c r="CG17" i="1"/>
  <c r="AJ18" i="2" s="1"/>
  <c r="CH17" i="1"/>
  <c r="AK18" i="2" s="1"/>
  <c r="CI17" i="1"/>
  <c r="AL18" i="2" s="1"/>
  <c r="CJ17" i="1"/>
  <c r="AM18" i="2" s="1"/>
  <c r="CK17" i="1"/>
  <c r="AN18" i="2" s="1"/>
  <c r="CL17" i="1"/>
  <c r="AO18" i="2" s="1"/>
  <c r="CM17" i="1"/>
  <c r="AP18" i="2" s="1"/>
  <c r="CN17" i="1"/>
  <c r="AQ18" i="2" s="1"/>
  <c r="CO17" i="1"/>
  <c r="AR18" i="2" s="1"/>
  <c r="BC19" i="1"/>
  <c r="F19" i="2" s="1"/>
  <c r="BD19" i="1"/>
  <c r="G19" i="2" s="1"/>
  <c r="BE19" i="1"/>
  <c r="H19" i="2" s="1"/>
  <c r="BF19" i="1"/>
  <c r="I19" i="2" s="1"/>
  <c r="BG19" i="1"/>
  <c r="J19" i="2" s="1"/>
  <c r="BH19" i="1"/>
  <c r="K19" i="2" s="1"/>
  <c r="BI19" i="1"/>
  <c r="L19" i="2" s="1"/>
  <c r="BJ19" i="1"/>
  <c r="M19" i="2" s="1"/>
  <c r="BK19" i="1"/>
  <c r="N19" i="2" s="1"/>
  <c r="BL19" i="1"/>
  <c r="O19" i="2" s="1"/>
  <c r="BM19" i="1"/>
  <c r="P19" i="2" s="1"/>
  <c r="BN19" i="1"/>
  <c r="Q19" i="2" s="1"/>
  <c r="BO19" i="1"/>
  <c r="R19" i="2" s="1"/>
  <c r="BP19" i="1"/>
  <c r="S19" i="2" s="1"/>
  <c r="BQ19" i="1"/>
  <c r="T19" i="2" s="1"/>
  <c r="BR19" i="1"/>
  <c r="U19" i="2" s="1"/>
  <c r="BS19" i="1"/>
  <c r="V19" i="2" s="1"/>
  <c r="BT19" i="1"/>
  <c r="W19" i="2" s="1"/>
  <c r="BU19" i="1"/>
  <c r="X19" i="2" s="1"/>
  <c r="BV19" i="1"/>
  <c r="Y19" i="2" s="1"/>
  <c r="BW19" i="1"/>
  <c r="Z19" i="2" s="1"/>
  <c r="BX19" i="1"/>
  <c r="AA19" i="2" s="1"/>
  <c r="BY19" i="1"/>
  <c r="AB19" i="2" s="1"/>
  <c r="BZ19" i="1"/>
  <c r="AC19" i="2" s="1"/>
  <c r="CA19" i="1"/>
  <c r="AD19" i="2" s="1"/>
  <c r="CB19" i="1"/>
  <c r="AE19" i="2" s="1"/>
  <c r="CC19" i="1"/>
  <c r="AF19" i="2" s="1"/>
  <c r="CD19" i="1"/>
  <c r="AG19" i="2" s="1"/>
  <c r="CE19" i="1"/>
  <c r="AH19" i="2" s="1"/>
  <c r="CF19" i="1"/>
  <c r="AI19" i="2" s="1"/>
  <c r="CG19" i="1"/>
  <c r="AJ19" i="2" s="1"/>
  <c r="CH19" i="1"/>
  <c r="AK19" i="2" s="1"/>
  <c r="CI19" i="1"/>
  <c r="AL19" i="2" s="1"/>
  <c r="CJ19" i="1"/>
  <c r="AM19" i="2" s="1"/>
  <c r="CK19" i="1"/>
  <c r="AN19" i="2" s="1"/>
  <c r="CL19" i="1"/>
  <c r="AO19" i="2" s="1"/>
  <c r="CM19" i="1"/>
  <c r="AP19" i="2" s="1"/>
  <c r="CN19" i="1"/>
  <c r="AQ19" i="2" s="1"/>
  <c r="CO19" i="1"/>
  <c r="AR19" i="2" s="1"/>
  <c r="BC21" i="1"/>
  <c r="F20" i="2" s="1"/>
  <c r="BD21" i="1"/>
  <c r="G20" i="2" s="1"/>
  <c r="BE21" i="1"/>
  <c r="H20" i="2" s="1"/>
  <c r="BF21" i="1"/>
  <c r="I20" i="2" s="1"/>
  <c r="BG21" i="1"/>
  <c r="J20" i="2" s="1"/>
  <c r="BH21" i="1"/>
  <c r="K20" i="2" s="1"/>
  <c r="BI21" i="1"/>
  <c r="L20" i="2" s="1"/>
  <c r="BJ21" i="1"/>
  <c r="M20" i="2" s="1"/>
  <c r="BK21" i="1"/>
  <c r="N20" i="2" s="1"/>
  <c r="BL21" i="1"/>
  <c r="O20" i="2" s="1"/>
  <c r="BM21" i="1"/>
  <c r="P20" i="2" s="1"/>
  <c r="BN21" i="1"/>
  <c r="Q20" i="2" s="1"/>
  <c r="BO21" i="1"/>
  <c r="R20" i="2" s="1"/>
  <c r="BP21" i="1"/>
  <c r="S20" i="2" s="1"/>
  <c r="BQ21" i="1"/>
  <c r="T20" i="2" s="1"/>
  <c r="BR21" i="1"/>
  <c r="U20" i="2" s="1"/>
  <c r="BS21" i="1"/>
  <c r="V20" i="2" s="1"/>
  <c r="BT21" i="1"/>
  <c r="W20" i="2" s="1"/>
  <c r="BU21" i="1"/>
  <c r="X20" i="2" s="1"/>
  <c r="BV21" i="1"/>
  <c r="Y20" i="2" s="1"/>
  <c r="BW21" i="1"/>
  <c r="Z20" i="2" s="1"/>
  <c r="BX21" i="1"/>
  <c r="AA20" i="2" s="1"/>
  <c r="BY21" i="1"/>
  <c r="AB20" i="2" s="1"/>
  <c r="BZ21" i="1"/>
  <c r="AC20" i="2" s="1"/>
  <c r="CA21" i="1"/>
  <c r="AD20" i="2" s="1"/>
  <c r="CB21" i="1"/>
  <c r="AE20" i="2" s="1"/>
  <c r="CC21" i="1"/>
  <c r="AF20" i="2" s="1"/>
  <c r="CD21" i="1"/>
  <c r="AG20" i="2" s="1"/>
  <c r="CE21" i="1"/>
  <c r="AH20" i="2" s="1"/>
  <c r="CF21" i="1"/>
  <c r="AI20" i="2" s="1"/>
  <c r="CG21" i="1"/>
  <c r="AJ20" i="2" s="1"/>
  <c r="CH21" i="1"/>
  <c r="AK20" i="2" s="1"/>
  <c r="CI21" i="1"/>
  <c r="AL20" i="2" s="1"/>
  <c r="CJ21" i="1"/>
  <c r="AM20" i="2" s="1"/>
  <c r="CK21" i="1"/>
  <c r="AN20" i="2" s="1"/>
  <c r="CL21" i="1"/>
  <c r="AO20" i="2" s="1"/>
  <c r="CM21" i="1"/>
  <c r="AP20" i="2" s="1"/>
  <c r="CN21" i="1"/>
  <c r="AQ20" i="2" s="1"/>
  <c r="CO21" i="1"/>
  <c r="AR20" i="2" s="1"/>
  <c r="BC23" i="1"/>
  <c r="F21" i="2" s="1"/>
  <c r="BD23" i="1"/>
  <c r="G21" i="2" s="1"/>
  <c r="BE23" i="1"/>
  <c r="H21" i="2" s="1"/>
  <c r="BF23" i="1"/>
  <c r="I21" i="2" s="1"/>
  <c r="BG23" i="1"/>
  <c r="J21" i="2" s="1"/>
  <c r="BH23" i="1"/>
  <c r="K21" i="2" s="1"/>
  <c r="BI23" i="1"/>
  <c r="L21" i="2" s="1"/>
  <c r="BJ23" i="1"/>
  <c r="M21" i="2" s="1"/>
  <c r="BK23" i="1"/>
  <c r="N21" i="2" s="1"/>
  <c r="BL23" i="1"/>
  <c r="O21" i="2" s="1"/>
  <c r="BM23" i="1"/>
  <c r="P21" i="2" s="1"/>
  <c r="BN23" i="1"/>
  <c r="Q21" i="2" s="1"/>
  <c r="BO23" i="1"/>
  <c r="R21" i="2" s="1"/>
  <c r="BP23" i="1"/>
  <c r="S21" i="2" s="1"/>
  <c r="BQ23" i="1"/>
  <c r="T21" i="2" s="1"/>
  <c r="BR23" i="1"/>
  <c r="U21" i="2" s="1"/>
  <c r="BS23" i="1"/>
  <c r="V21" i="2" s="1"/>
  <c r="BT23" i="1"/>
  <c r="W21" i="2" s="1"/>
  <c r="BU23" i="1"/>
  <c r="X21" i="2" s="1"/>
  <c r="BV23" i="1"/>
  <c r="Y21" i="2" s="1"/>
  <c r="BW23" i="1"/>
  <c r="Z21" i="2" s="1"/>
  <c r="BX23" i="1"/>
  <c r="AA21" i="2" s="1"/>
  <c r="BY23" i="1"/>
  <c r="AB21" i="2" s="1"/>
  <c r="BZ23" i="1"/>
  <c r="AC21" i="2" s="1"/>
  <c r="CA23" i="1"/>
  <c r="AD21" i="2" s="1"/>
  <c r="CB23" i="1"/>
  <c r="AE21" i="2" s="1"/>
  <c r="CC23" i="1"/>
  <c r="AF21" i="2" s="1"/>
  <c r="CD23" i="1"/>
  <c r="AG21" i="2" s="1"/>
  <c r="CE23" i="1"/>
  <c r="AH21" i="2" s="1"/>
  <c r="CF23" i="1"/>
  <c r="AI21" i="2" s="1"/>
  <c r="CG23" i="1"/>
  <c r="AJ21" i="2" s="1"/>
  <c r="CH23" i="1"/>
  <c r="AK21" i="2" s="1"/>
  <c r="CI23" i="1"/>
  <c r="AL21" i="2" s="1"/>
  <c r="CJ23" i="1"/>
  <c r="AM21" i="2" s="1"/>
  <c r="CK23" i="1"/>
  <c r="AN21" i="2" s="1"/>
  <c r="CL23" i="1"/>
  <c r="AO21" i="2" s="1"/>
  <c r="CM23" i="1"/>
  <c r="AP21" i="2" s="1"/>
  <c r="CN23" i="1"/>
  <c r="AQ21" i="2" s="1"/>
  <c r="CO23" i="1"/>
  <c r="AR21" i="2" s="1"/>
  <c r="BC25" i="1"/>
  <c r="F22" i="2" s="1"/>
  <c r="BD25" i="1"/>
  <c r="G22" i="2" s="1"/>
  <c r="BE25" i="1"/>
  <c r="H22" i="2" s="1"/>
  <c r="BF25" i="1"/>
  <c r="I22" i="2" s="1"/>
  <c r="BG25" i="1"/>
  <c r="J22" i="2" s="1"/>
  <c r="BH25" i="1"/>
  <c r="K22" i="2" s="1"/>
  <c r="BI25" i="1"/>
  <c r="L22" i="2" s="1"/>
  <c r="BJ25" i="1"/>
  <c r="M22" i="2" s="1"/>
  <c r="BK25" i="1"/>
  <c r="N22" i="2" s="1"/>
  <c r="BL25" i="1"/>
  <c r="O22" i="2" s="1"/>
  <c r="BM25" i="1"/>
  <c r="P22" i="2" s="1"/>
  <c r="BN25" i="1"/>
  <c r="Q22" i="2" s="1"/>
  <c r="BO25" i="1"/>
  <c r="R22" i="2" s="1"/>
  <c r="BP25" i="1"/>
  <c r="S22" i="2" s="1"/>
  <c r="BQ25" i="1"/>
  <c r="T22" i="2" s="1"/>
  <c r="BR25" i="1"/>
  <c r="U22" i="2" s="1"/>
  <c r="BS25" i="1"/>
  <c r="V22" i="2" s="1"/>
  <c r="BT25" i="1"/>
  <c r="W22" i="2" s="1"/>
  <c r="BU25" i="1"/>
  <c r="X22" i="2" s="1"/>
  <c r="BV25" i="1"/>
  <c r="Y22" i="2" s="1"/>
  <c r="BW25" i="1"/>
  <c r="Z22" i="2" s="1"/>
  <c r="BX25" i="1"/>
  <c r="AA22" i="2" s="1"/>
  <c r="BY25" i="1"/>
  <c r="AB22" i="2" s="1"/>
  <c r="BZ25" i="1"/>
  <c r="AC22" i="2" s="1"/>
  <c r="CA25" i="1"/>
  <c r="AD22" i="2" s="1"/>
  <c r="CB25" i="1"/>
  <c r="AE22" i="2" s="1"/>
  <c r="CC25" i="1"/>
  <c r="AF22" i="2" s="1"/>
  <c r="CD25" i="1"/>
  <c r="AG22" i="2" s="1"/>
  <c r="CE25" i="1"/>
  <c r="AH22" i="2" s="1"/>
  <c r="CF25" i="1"/>
  <c r="AI22" i="2" s="1"/>
  <c r="CG25" i="1"/>
  <c r="AJ22" i="2" s="1"/>
  <c r="CH25" i="1"/>
  <c r="AK22" i="2" s="1"/>
  <c r="CI25" i="1"/>
  <c r="AL22" i="2" s="1"/>
  <c r="CJ25" i="1"/>
  <c r="AM22" i="2" s="1"/>
  <c r="CK25" i="1"/>
  <c r="AN22" i="2" s="1"/>
  <c r="CL25" i="1"/>
  <c r="AO22" i="2" s="1"/>
  <c r="CM25" i="1"/>
  <c r="AP22" i="2" s="1"/>
  <c r="CN25" i="1"/>
  <c r="AQ22" i="2" s="1"/>
  <c r="CO25" i="1"/>
  <c r="AR22" i="2" s="1"/>
  <c r="BC27" i="1"/>
  <c r="F23" i="2" s="1"/>
  <c r="BD27" i="1"/>
  <c r="G23" i="2" s="1"/>
  <c r="BE27" i="1"/>
  <c r="H23" i="2" s="1"/>
  <c r="BF27" i="1"/>
  <c r="I23" i="2" s="1"/>
  <c r="BG27" i="1"/>
  <c r="J23" i="2" s="1"/>
  <c r="BH27" i="1"/>
  <c r="K23" i="2" s="1"/>
  <c r="BI27" i="1"/>
  <c r="L23" i="2" s="1"/>
  <c r="BJ27" i="1"/>
  <c r="M23" i="2" s="1"/>
  <c r="BK27" i="1"/>
  <c r="N23" i="2" s="1"/>
  <c r="BL27" i="1"/>
  <c r="O23" i="2" s="1"/>
  <c r="BM27" i="1"/>
  <c r="P23" i="2" s="1"/>
  <c r="BN27" i="1"/>
  <c r="Q23" i="2" s="1"/>
  <c r="BO27" i="1"/>
  <c r="R23" i="2" s="1"/>
  <c r="BP27" i="1"/>
  <c r="S23" i="2" s="1"/>
  <c r="BQ27" i="1"/>
  <c r="T23" i="2" s="1"/>
  <c r="BR27" i="1"/>
  <c r="U23" i="2" s="1"/>
  <c r="BS27" i="1"/>
  <c r="V23" i="2" s="1"/>
  <c r="BT27" i="1"/>
  <c r="W23" i="2" s="1"/>
  <c r="BU27" i="1"/>
  <c r="X23" i="2" s="1"/>
  <c r="BV27" i="1"/>
  <c r="Y23" i="2" s="1"/>
  <c r="BW27" i="1"/>
  <c r="Z23" i="2" s="1"/>
  <c r="BX27" i="1"/>
  <c r="AA23" i="2" s="1"/>
  <c r="BY27" i="1"/>
  <c r="AB23" i="2" s="1"/>
  <c r="BZ27" i="1"/>
  <c r="AC23" i="2" s="1"/>
  <c r="CA27" i="1"/>
  <c r="AD23" i="2" s="1"/>
  <c r="CB27" i="1"/>
  <c r="AE23" i="2" s="1"/>
  <c r="CC27" i="1"/>
  <c r="AF23" i="2" s="1"/>
  <c r="CD27" i="1"/>
  <c r="AG23" i="2" s="1"/>
  <c r="CE27" i="1"/>
  <c r="AH23" i="2" s="1"/>
  <c r="CF27" i="1"/>
  <c r="AI23" i="2" s="1"/>
  <c r="CG27" i="1"/>
  <c r="AJ23" i="2" s="1"/>
  <c r="CH27" i="1"/>
  <c r="AK23" i="2" s="1"/>
  <c r="CI27" i="1"/>
  <c r="AL23" i="2" s="1"/>
  <c r="CJ27" i="1"/>
  <c r="AM23" i="2" s="1"/>
  <c r="CK27" i="1"/>
  <c r="AN23" i="2" s="1"/>
  <c r="CL27" i="1"/>
  <c r="AO23" i="2" s="1"/>
  <c r="CM27" i="1"/>
  <c r="AP23" i="2" s="1"/>
  <c r="CN27" i="1"/>
  <c r="AQ23" i="2" s="1"/>
  <c r="CO27" i="1"/>
  <c r="AR23" i="2" s="1"/>
  <c r="BC29" i="1"/>
  <c r="F24" i="2" s="1"/>
  <c r="BD29" i="1"/>
  <c r="G24" i="2" s="1"/>
  <c r="BE29" i="1"/>
  <c r="H24" i="2" s="1"/>
  <c r="BF29" i="1"/>
  <c r="I24" i="2" s="1"/>
  <c r="BG29" i="1"/>
  <c r="J24" i="2" s="1"/>
  <c r="BH29" i="1"/>
  <c r="K24" i="2" s="1"/>
  <c r="BI29" i="1"/>
  <c r="L24" i="2" s="1"/>
  <c r="BJ29" i="1"/>
  <c r="M24" i="2" s="1"/>
  <c r="BK29" i="1"/>
  <c r="N24" i="2" s="1"/>
  <c r="BL29" i="1"/>
  <c r="O24" i="2" s="1"/>
  <c r="BM29" i="1"/>
  <c r="P24" i="2" s="1"/>
  <c r="BN29" i="1"/>
  <c r="Q24" i="2" s="1"/>
  <c r="BO29" i="1"/>
  <c r="R24" i="2" s="1"/>
  <c r="BP29" i="1"/>
  <c r="S24" i="2" s="1"/>
  <c r="BQ29" i="1"/>
  <c r="T24" i="2" s="1"/>
  <c r="BR29" i="1"/>
  <c r="U24" i="2" s="1"/>
  <c r="BS29" i="1"/>
  <c r="V24" i="2" s="1"/>
  <c r="BT29" i="1"/>
  <c r="W24" i="2" s="1"/>
  <c r="BU29" i="1"/>
  <c r="X24" i="2" s="1"/>
  <c r="BV29" i="1"/>
  <c r="Y24" i="2" s="1"/>
  <c r="BW29" i="1"/>
  <c r="Z24" i="2" s="1"/>
  <c r="BX29" i="1"/>
  <c r="AA24" i="2" s="1"/>
  <c r="BY29" i="1"/>
  <c r="AB24" i="2" s="1"/>
  <c r="BZ29" i="1"/>
  <c r="AC24" i="2" s="1"/>
  <c r="CA29" i="1"/>
  <c r="AD24" i="2" s="1"/>
  <c r="CB29" i="1"/>
  <c r="AE24" i="2" s="1"/>
  <c r="CC29" i="1"/>
  <c r="AF24" i="2" s="1"/>
  <c r="CD29" i="1"/>
  <c r="AG24" i="2" s="1"/>
  <c r="CE29" i="1"/>
  <c r="AH24" i="2" s="1"/>
  <c r="CF29" i="1"/>
  <c r="AI24" i="2" s="1"/>
  <c r="CG29" i="1"/>
  <c r="AJ24" i="2" s="1"/>
  <c r="CH29" i="1"/>
  <c r="AK24" i="2" s="1"/>
  <c r="CI29" i="1"/>
  <c r="AL24" i="2" s="1"/>
  <c r="CJ29" i="1"/>
  <c r="AM24" i="2" s="1"/>
  <c r="CK29" i="1"/>
  <c r="AN24" i="2" s="1"/>
  <c r="CL29" i="1"/>
  <c r="AO24" i="2" s="1"/>
  <c r="CM29" i="1"/>
  <c r="AP24" i="2" s="1"/>
  <c r="CN29" i="1"/>
  <c r="AQ24" i="2" s="1"/>
  <c r="CO29" i="1"/>
  <c r="AR24" i="2" s="1"/>
  <c r="BC31" i="1"/>
  <c r="F25" i="2" s="1"/>
  <c r="BD31" i="1"/>
  <c r="G25" i="2" s="1"/>
  <c r="BE31" i="1"/>
  <c r="H25" i="2" s="1"/>
  <c r="BF31" i="1"/>
  <c r="I25" i="2" s="1"/>
  <c r="BG31" i="1"/>
  <c r="J25" i="2" s="1"/>
  <c r="BH31" i="1"/>
  <c r="K25" i="2" s="1"/>
  <c r="BI31" i="1"/>
  <c r="L25" i="2" s="1"/>
  <c r="BJ31" i="1"/>
  <c r="M25" i="2" s="1"/>
  <c r="BK31" i="1"/>
  <c r="N25" i="2" s="1"/>
  <c r="BL31" i="1"/>
  <c r="O25" i="2" s="1"/>
  <c r="BM31" i="1"/>
  <c r="P25" i="2" s="1"/>
  <c r="BN31" i="1"/>
  <c r="Q25" i="2" s="1"/>
  <c r="BO31" i="1"/>
  <c r="R25" i="2" s="1"/>
  <c r="BP31" i="1"/>
  <c r="S25" i="2" s="1"/>
  <c r="BQ31" i="1"/>
  <c r="T25" i="2" s="1"/>
  <c r="BR31" i="1"/>
  <c r="U25" i="2" s="1"/>
  <c r="BS31" i="1"/>
  <c r="V25" i="2" s="1"/>
  <c r="BT31" i="1"/>
  <c r="W25" i="2" s="1"/>
  <c r="BU31" i="1"/>
  <c r="X25" i="2" s="1"/>
  <c r="BV31" i="1"/>
  <c r="Y25" i="2" s="1"/>
  <c r="BW31" i="1"/>
  <c r="Z25" i="2" s="1"/>
  <c r="BX31" i="1"/>
  <c r="AA25" i="2" s="1"/>
  <c r="BY31" i="1"/>
  <c r="AB25" i="2" s="1"/>
  <c r="BZ31" i="1"/>
  <c r="AC25" i="2" s="1"/>
  <c r="CA31" i="1"/>
  <c r="AD25" i="2" s="1"/>
  <c r="CB31" i="1"/>
  <c r="AE25" i="2" s="1"/>
  <c r="CC31" i="1"/>
  <c r="AF25" i="2" s="1"/>
  <c r="CD31" i="1"/>
  <c r="AG25" i="2" s="1"/>
  <c r="CE31" i="1"/>
  <c r="AH25" i="2" s="1"/>
  <c r="CF31" i="1"/>
  <c r="AI25" i="2" s="1"/>
  <c r="CG31" i="1"/>
  <c r="AJ25" i="2" s="1"/>
  <c r="CH31" i="1"/>
  <c r="AK25" i="2" s="1"/>
  <c r="CI31" i="1"/>
  <c r="AL25" i="2" s="1"/>
  <c r="CJ31" i="1"/>
  <c r="AM25" i="2" s="1"/>
  <c r="CK31" i="1"/>
  <c r="AN25" i="2" s="1"/>
  <c r="CL31" i="1"/>
  <c r="AO25" i="2" s="1"/>
  <c r="CM31" i="1"/>
  <c r="AP25" i="2" s="1"/>
  <c r="CN31" i="1"/>
  <c r="AQ25" i="2" s="1"/>
  <c r="CO31" i="1"/>
  <c r="AR25" i="2" s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BC37" i="1"/>
  <c r="F28" i="2" s="1"/>
  <c r="BD37" i="1"/>
  <c r="G28" i="2" s="1"/>
  <c r="BE37" i="1"/>
  <c r="H28" i="2" s="1"/>
  <c r="BF37" i="1"/>
  <c r="I28" i="2" s="1"/>
  <c r="BG37" i="1"/>
  <c r="J28" i="2" s="1"/>
  <c r="BH37" i="1"/>
  <c r="K28" i="2" s="1"/>
  <c r="BI37" i="1"/>
  <c r="L28" i="2" s="1"/>
  <c r="BJ37" i="1"/>
  <c r="M28" i="2" s="1"/>
  <c r="BK37" i="1"/>
  <c r="N28" i="2" s="1"/>
  <c r="BL37" i="1"/>
  <c r="O28" i="2" s="1"/>
  <c r="BM37" i="1"/>
  <c r="P28" i="2" s="1"/>
  <c r="BN37" i="1"/>
  <c r="Q28" i="2" s="1"/>
  <c r="BO37" i="1"/>
  <c r="R28" i="2" s="1"/>
  <c r="BP37" i="1"/>
  <c r="S28" i="2" s="1"/>
  <c r="BQ37" i="1"/>
  <c r="T28" i="2" s="1"/>
  <c r="BR37" i="1"/>
  <c r="U28" i="2" s="1"/>
  <c r="BS37" i="1"/>
  <c r="V28" i="2" s="1"/>
  <c r="BT37" i="1"/>
  <c r="W28" i="2" s="1"/>
  <c r="BU37" i="1"/>
  <c r="X28" i="2" s="1"/>
  <c r="BV37" i="1"/>
  <c r="Y28" i="2" s="1"/>
  <c r="BW37" i="1"/>
  <c r="Z28" i="2" s="1"/>
  <c r="BX37" i="1"/>
  <c r="AA28" i="2" s="1"/>
  <c r="BY37" i="1"/>
  <c r="AB28" i="2" s="1"/>
  <c r="BZ37" i="1"/>
  <c r="AC28" i="2" s="1"/>
  <c r="CA37" i="1"/>
  <c r="AD28" i="2" s="1"/>
  <c r="CB37" i="1"/>
  <c r="AE28" i="2" s="1"/>
  <c r="CC37" i="1"/>
  <c r="AF28" i="2" s="1"/>
  <c r="CD37" i="1"/>
  <c r="AG28" i="2" s="1"/>
  <c r="CE37" i="1"/>
  <c r="AH28" i="2" s="1"/>
  <c r="CF37" i="1"/>
  <c r="AI28" i="2" s="1"/>
  <c r="CG37" i="1"/>
  <c r="AJ28" i="2" s="1"/>
  <c r="CH37" i="1"/>
  <c r="AK28" i="2" s="1"/>
  <c r="CI37" i="1"/>
  <c r="AL28" i="2" s="1"/>
  <c r="CJ37" i="1"/>
  <c r="AM28" i="2" s="1"/>
  <c r="CK37" i="1"/>
  <c r="AN28" i="2" s="1"/>
  <c r="CL37" i="1"/>
  <c r="AO28" i="2" s="1"/>
  <c r="CM37" i="1"/>
  <c r="AP28" i="2" s="1"/>
  <c r="CN37" i="1"/>
  <c r="AQ28" i="2" s="1"/>
  <c r="CO37" i="1"/>
  <c r="AR28" i="2" s="1"/>
  <c r="BC39" i="1"/>
  <c r="F29" i="2" s="1"/>
  <c r="BD39" i="1"/>
  <c r="G29" i="2" s="1"/>
  <c r="BE39" i="1"/>
  <c r="H29" i="2" s="1"/>
  <c r="BF39" i="1"/>
  <c r="I29" i="2" s="1"/>
  <c r="BG39" i="1"/>
  <c r="J29" i="2" s="1"/>
  <c r="BH39" i="1"/>
  <c r="K29" i="2" s="1"/>
  <c r="BI39" i="1"/>
  <c r="L29" i="2" s="1"/>
  <c r="BJ39" i="1"/>
  <c r="M29" i="2" s="1"/>
  <c r="BK39" i="1"/>
  <c r="N29" i="2" s="1"/>
  <c r="BL39" i="1"/>
  <c r="O29" i="2" s="1"/>
  <c r="BM39" i="1"/>
  <c r="P29" i="2" s="1"/>
  <c r="BN39" i="1"/>
  <c r="Q29" i="2" s="1"/>
  <c r="BO39" i="1"/>
  <c r="R29" i="2" s="1"/>
  <c r="BP39" i="1"/>
  <c r="S29" i="2" s="1"/>
  <c r="BQ39" i="1"/>
  <c r="T29" i="2" s="1"/>
  <c r="BR39" i="1"/>
  <c r="U29" i="2" s="1"/>
  <c r="BS39" i="1"/>
  <c r="V29" i="2" s="1"/>
  <c r="BT39" i="1"/>
  <c r="W29" i="2" s="1"/>
  <c r="BU39" i="1"/>
  <c r="X29" i="2" s="1"/>
  <c r="BV39" i="1"/>
  <c r="Y29" i="2" s="1"/>
  <c r="BW39" i="1"/>
  <c r="Z29" i="2" s="1"/>
  <c r="BX39" i="1"/>
  <c r="AA29" i="2" s="1"/>
  <c r="BY39" i="1"/>
  <c r="AB29" i="2" s="1"/>
  <c r="BZ39" i="1"/>
  <c r="AC29" i="2" s="1"/>
  <c r="CA39" i="1"/>
  <c r="AD29" i="2" s="1"/>
  <c r="CB39" i="1"/>
  <c r="AE29" i="2" s="1"/>
  <c r="CC39" i="1"/>
  <c r="AF29" i="2" s="1"/>
  <c r="CD39" i="1"/>
  <c r="AG29" i="2" s="1"/>
  <c r="CE39" i="1"/>
  <c r="AH29" i="2" s="1"/>
  <c r="CF39" i="1"/>
  <c r="AI29" i="2" s="1"/>
  <c r="CG39" i="1"/>
  <c r="AJ29" i="2" s="1"/>
  <c r="CH39" i="1"/>
  <c r="AK29" i="2" s="1"/>
  <c r="CI39" i="1"/>
  <c r="AL29" i="2" s="1"/>
  <c r="CJ39" i="1"/>
  <c r="AM29" i="2" s="1"/>
  <c r="CK39" i="1"/>
  <c r="AN29" i="2" s="1"/>
  <c r="CL39" i="1"/>
  <c r="AO29" i="2" s="1"/>
  <c r="CM39" i="1"/>
  <c r="AP29" i="2" s="1"/>
  <c r="CN39" i="1"/>
  <c r="AQ29" i="2" s="1"/>
  <c r="CO39" i="1"/>
  <c r="AR29" i="2" s="1"/>
  <c r="BC41" i="1"/>
  <c r="F30" i="2" s="1"/>
  <c r="BD41" i="1"/>
  <c r="G30" i="2" s="1"/>
  <c r="BE41" i="1"/>
  <c r="H30" i="2" s="1"/>
  <c r="BF41" i="1"/>
  <c r="I30" i="2" s="1"/>
  <c r="BG41" i="1"/>
  <c r="J30" i="2" s="1"/>
  <c r="BH41" i="1"/>
  <c r="K30" i="2" s="1"/>
  <c r="BI41" i="1"/>
  <c r="L30" i="2" s="1"/>
  <c r="BJ41" i="1"/>
  <c r="M30" i="2" s="1"/>
  <c r="BK41" i="1"/>
  <c r="N30" i="2" s="1"/>
  <c r="BL41" i="1"/>
  <c r="O30" i="2" s="1"/>
  <c r="BM41" i="1"/>
  <c r="P30" i="2" s="1"/>
  <c r="BN41" i="1"/>
  <c r="Q30" i="2" s="1"/>
  <c r="BO41" i="1"/>
  <c r="R30" i="2" s="1"/>
  <c r="BP41" i="1"/>
  <c r="S30" i="2" s="1"/>
  <c r="BQ41" i="1"/>
  <c r="T30" i="2" s="1"/>
  <c r="BR41" i="1"/>
  <c r="U30" i="2" s="1"/>
  <c r="BS41" i="1"/>
  <c r="V30" i="2" s="1"/>
  <c r="BT41" i="1"/>
  <c r="W30" i="2" s="1"/>
  <c r="BU41" i="1"/>
  <c r="X30" i="2" s="1"/>
  <c r="BV41" i="1"/>
  <c r="Y30" i="2" s="1"/>
  <c r="BW41" i="1"/>
  <c r="Z30" i="2" s="1"/>
  <c r="BX41" i="1"/>
  <c r="AA30" i="2" s="1"/>
  <c r="BY41" i="1"/>
  <c r="AB30" i="2" s="1"/>
  <c r="BZ41" i="1"/>
  <c r="AC30" i="2" s="1"/>
  <c r="CA41" i="1"/>
  <c r="AD30" i="2" s="1"/>
  <c r="CB41" i="1"/>
  <c r="AE30" i="2" s="1"/>
  <c r="CC41" i="1"/>
  <c r="AF30" i="2" s="1"/>
  <c r="CD41" i="1"/>
  <c r="AG30" i="2" s="1"/>
  <c r="CE41" i="1"/>
  <c r="AH30" i="2" s="1"/>
  <c r="CF41" i="1"/>
  <c r="AI30" i="2" s="1"/>
  <c r="CG41" i="1"/>
  <c r="AJ30" i="2" s="1"/>
  <c r="CH41" i="1"/>
  <c r="AK30" i="2" s="1"/>
  <c r="CI41" i="1"/>
  <c r="AL30" i="2" s="1"/>
  <c r="CJ41" i="1"/>
  <c r="AM30" i="2" s="1"/>
  <c r="CK41" i="1"/>
  <c r="AN30" i="2" s="1"/>
  <c r="CL41" i="1"/>
  <c r="AO30" i="2" s="1"/>
  <c r="CM41" i="1"/>
  <c r="AP30" i="2" s="1"/>
  <c r="CN41" i="1"/>
  <c r="AQ30" i="2" s="1"/>
  <c r="CO41" i="1"/>
  <c r="AR30" i="2" s="1"/>
  <c r="BC43" i="1"/>
  <c r="F31" i="2" s="1"/>
  <c r="BD43" i="1"/>
  <c r="G31" i="2" s="1"/>
  <c r="BE43" i="1"/>
  <c r="H31" i="2" s="1"/>
  <c r="BF43" i="1"/>
  <c r="I31" i="2" s="1"/>
  <c r="BG43" i="1"/>
  <c r="J31" i="2" s="1"/>
  <c r="BH43" i="1"/>
  <c r="K31" i="2" s="1"/>
  <c r="BI43" i="1"/>
  <c r="L31" i="2" s="1"/>
  <c r="BJ43" i="1"/>
  <c r="M31" i="2" s="1"/>
  <c r="BK43" i="1"/>
  <c r="N31" i="2" s="1"/>
  <c r="BL43" i="1"/>
  <c r="O31" i="2" s="1"/>
  <c r="BM43" i="1"/>
  <c r="P31" i="2" s="1"/>
  <c r="BN43" i="1"/>
  <c r="Q31" i="2" s="1"/>
  <c r="BO43" i="1"/>
  <c r="R31" i="2" s="1"/>
  <c r="BP43" i="1"/>
  <c r="S31" i="2" s="1"/>
  <c r="BQ43" i="1"/>
  <c r="T31" i="2" s="1"/>
  <c r="BR43" i="1"/>
  <c r="U31" i="2" s="1"/>
  <c r="BS43" i="1"/>
  <c r="V31" i="2" s="1"/>
  <c r="BT43" i="1"/>
  <c r="W31" i="2" s="1"/>
  <c r="BU43" i="1"/>
  <c r="X31" i="2" s="1"/>
  <c r="BV43" i="1"/>
  <c r="Y31" i="2" s="1"/>
  <c r="BW43" i="1"/>
  <c r="Z31" i="2" s="1"/>
  <c r="BX43" i="1"/>
  <c r="AA31" i="2" s="1"/>
  <c r="BY43" i="1"/>
  <c r="AB31" i="2" s="1"/>
  <c r="BZ43" i="1"/>
  <c r="AC31" i="2" s="1"/>
  <c r="CA43" i="1"/>
  <c r="AD31" i="2" s="1"/>
  <c r="CB43" i="1"/>
  <c r="AE31" i="2" s="1"/>
  <c r="CC43" i="1"/>
  <c r="AF31" i="2" s="1"/>
  <c r="CD43" i="1"/>
  <c r="AG31" i="2" s="1"/>
  <c r="CE43" i="1"/>
  <c r="AH31" i="2" s="1"/>
  <c r="CF43" i="1"/>
  <c r="AI31" i="2" s="1"/>
  <c r="CG43" i="1"/>
  <c r="AJ31" i="2" s="1"/>
  <c r="CH43" i="1"/>
  <c r="AK31" i="2" s="1"/>
  <c r="CI43" i="1"/>
  <c r="AL31" i="2" s="1"/>
  <c r="CJ43" i="1"/>
  <c r="AM31" i="2" s="1"/>
  <c r="CK43" i="1"/>
  <c r="AN31" i="2" s="1"/>
  <c r="CL43" i="1"/>
  <c r="AO31" i="2" s="1"/>
  <c r="CM43" i="1"/>
  <c r="AP31" i="2" s="1"/>
  <c r="CN43" i="1"/>
  <c r="AQ31" i="2" s="1"/>
  <c r="CO43" i="1"/>
  <c r="AR31" i="2" s="1"/>
  <c r="BC45" i="1"/>
  <c r="F32" i="2" s="1"/>
  <c r="BD45" i="1"/>
  <c r="G32" i="2" s="1"/>
  <c r="BE45" i="1"/>
  <c r="H32" i="2" s="1"/>
  <c r="BF45" i="1"/>
  <c r="I32" i="2" s="1"/>
  <c r="BG45" i="1"/>
  <c r="J32" i="2" s="1"/>
  <c r="BH45" i="1"/>
  <c r="K32" i="2" s="1"/>
  <c r="BI45" i="1"/>
  <c r="L32" i="2" s="1"/>
  <c r="BJ45" i="1"/>
  <c r="M32" i="2" s="1"/>
  <c r="BK45" i="1"/>
  <c r="N32" i="2" s="1"/>
  <c r="BL45" i="1"/>
  <c r="O32" i="2" s="1"/>
  <c r="BM45" i="1"/>
  <c r="P32" i="2" s="1"/>
  <c r="BN45" i="1"/>
  <c r="Q32" i="2" s="1"/>
  <c r="BO45" i="1"/>
  <c r="R32" i="2" s="1"/>
  <c r="BP45" i="1"/>
  <c r="S32" i="2" s="1"/>
  <c r="BQ45" i="1"/>
  <c r="T32" i="2" s="1"/>
  <c r="BR45" i="1"/>
  <c r="U32" i="2" s="1"/>
  <c r="BS45" i="1"/>
  <c r="V32" i="2" s="1"/>
  <c r="BT45" i="1"/>
  <c r="W32" i="2" s="1"/>
  <c r="BU45" i="1"/>
  <c r="X32" i="2" s="1"/>
  <c r="BV45" i="1"/>
  <c r="Y32" i="2" s="1"/>
  <c r="BW45" i="1"/>
  <c r="Z32" i="2" s="1"/>
  <c r="BX45" i="1"/>
  <c r="AA32" i="2" s="1"/>
  <c r="BY45" i="1"/>
  <c r="AB32" i="2" s="1"/>
  <c r="BZ45" i="1"/>
  <c r="AC32" i="2" s="1"/>
  <c r="CA45" i="1"/>
  <c r="AD32" i="2" s="1"/>
  <c r="CB45" i="1"/>
  <c r="AE32" i="2" s="1"/>
  <c r="CC45" i="1"/>
  <c r="AF32" i="2" s="1"/>
  <c r="CD45" i="1"/>
  <c r="AG32" i="2" s="1"/>
  <c r="CE45" i="1"/>
  <c r="AH32" i="2" s="1"/>
  <c r="CF45" i="1"/>
  <c r="AI32" i="2" s="1"/>
  <c r="CG45" i="1"/>
  <c r="AJ32" i="2" s="1"/>
  <c r="CH45" i="1"/>
  <c r="AK32" i="2" s="1"/>
  <c r="CI45" i="1"/>
  <c r="AL32" i="2" s="1"/>
  <c r="CJ45" i="1"/>
  <c r="AM32" i="2" s="1"/>
  <c r="CK45" i="1"/>
  <c r="AN32" i="2" s="1"/>
  <c r="CL45" i="1"/>
  <c r="AO32" i="2" s="1"/>
  <c r="CM45" i="1"/>
  <c r="AP32" i="2" s="1"/>
  <c r="CN45" i="1"/>
  <c r="AQ32" i="2" s="1"/>
  <c r="CO45" i="1"/>
  <c r="AR32" i="2" s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L21" i="4" l="1"/>
  <c r="M20" i="4" s="1"/>
  <c r="CT23" i="7"/>
  <c r="DN6" i="7" s="1"/>
  <c r="EH6" i="7" s="1"/>
  <c r="J18" i="10" s="1"/>
  <c r="CA23" i="7"/>
  <c r="C26" i="4"/>
  <c r="E26" i="4" s="1"/>
  <c r="C25" i="4"/>
  <c r="E25" i="4" s="1"/>
  <c r="C27" i="4"/>
  <c r="E27" i="4" s="1"/>
  <c r="J21" i="4"/>
  <c r="AQ27" i="2"/>
  <c r="AQ26" i="2"/>
  <c r="AO27" i="2"/>
  <c r="AO26" i="2"/>
  <c r="AM27" i="2"/>
  <c r="AM26" i="2"/>
  <c r="AK27" i="2"/>
  <c r="AK26" i="2"/>
  <c r="AI27" i="2"/>
  <c r="AI26" i="2"/>
  <c r="AG27" i="2"/>
  <c r="AG26" i="2"/>
  <c r="AE27" i="2"/>
  <c r="AE26" i="2"/>
  <c r="AC27" i="2"/>
  <c r="AC26" i="2"/>
  <c r="AA27" i="2"/>
  <c r="AA26" i="2"/>
  <c r="Y27" i="2"/>
  <c r="Y26" i="2"/>
  <c r="W27" i="2"/>
  <c r="W26" i="2"/>
  <c r="U27" i="2"/>
  <c r="U26" i="2"/>
  <c r="S27" i="2"/>
  <c r="S26" i="2"/>
  <c r="Q27" i="2"/>
  <c r="Q26" i="2"/>
  <c r="O27" i="2"/>
  <c r="O26" i="2"/>
  <c r="M27" i="2"/>
  <c r="M26" i="2"/>
  <c r="K27" i="2"/>
  <c r="K26" i="2"/>
  <c r="I27" i="2"/>
  <c r="I26" i="2"/>
  <c r="G27" i="2"/>
  <c r="G26" i="2"/>
  <c r="AR26" i="2"/>
  <c r="AR27" i="2"/>
  <c r="AP26" i="2"/>
  <c r="AP27" i="2"/>
  <c r="AN26" i="2"/>
  <c r="AN27" i="2"/>
  <c r="AL26" i="2"/>
  <c r="AL27" i="2"/>
  <c r="AJ26" i="2"/>
  <c r="AJ27" i="2"/>
  <c r="AH26" i="2"/>
  <c r="AH27" i="2"/>
  <c r="AF26" i="2"/>
  <c r="AF27" i="2"/>
  <c r="AD26" i="2"/>
  <c r="AD27" i="2"/>
  <c r="AB26" i="2"/>
  <c r="AB27" i="2"/>
  <c r="Z26" i="2"/>
  <c r="Z27" i="2"/>
  <c r="X26" i="2"/>
  <c r="X27" i="2"/>
  <c r="V26" i="2"/>
  <c r="V27" i="2"/>
  <c r="T26" i="2"/>
  <c r="T27" i="2"/>
  <c r="R26" i="2"/>
  <c r="R27" i="2"/>
  <c r="P26" i="2"/>
  <c r="P27" i="2"/>
  <c r="N26" i="2"/>
  <c r="N27" i="2"/>
  <c r="L26" i="2"/>
  <c r="L27" i="2"/>
  <c r="J26" i="2"/>
  <c r="J27" i="2"/>
  <c r="H26" i="2"/>
  <c r="H27" i="2"/>
  <c r="F26" i="2"/>
  <c r="F27" i="2"/>
  <c r="EH45" i="1"/>
  <c r="ED45" i="1"/>
  <c r="EB45" i="1"/>
  <c r="DZ45" i="1"/>
  <c r="DX45" i="1"/>
  <c r="DV45" i="1"/>
  <c r="DT45" i="1"/>
  <c r="DR45" i="1"/>
  <c r="DP45" i="1"/>
  <c r="DN45" i="1"/>
  <c r="DL45" i="1"/>
  <c r="DJ45" i="1"/>
  <c r="DH45" i="1"/>
  <c r="DF45" i="1"/>
  <c r="DD45" i="1"/>
  <c r="DB45" i="1"/>
  <c r="CZ45" i="1"/>
  <c r="CX45" i="1"/>
  <c r="CV45" i="1"/>
  <c r="EG43" i="1"/>
  <c r="EE43" i="1"/>
  <c r="EC43" i="1"/>
  <c r="EA43" i="1"/>
  <c r="DY43" i="1"/>
  <c r="DW43" i="1"/>
  <c r="DU43" i="1"/>
  <c r="DS43" i="1"/>
  <c r="DQ43" i="1"/>
  <c r="DO43" i="1"/>
  <c r="DM43" i="1"/>
  <c r="DK43" i="1"/>
  <c r="DI43" i="1"/>
  <c r="DG43" i="1"/>
  <c r="DE43" i="1"/>
  <c r="DC43" i="1"/>
  <c r="DA43" i="1"/>
  <c r="CY43" i="1"/>
  <c r="CW43" i="1"/>
  <c r="EH41" i="1"/>
  <c r="EF41" i="1"/>
  <c r="ED41" i="1"/>
  <c r="EB41" i="1"/>
  <c r="DZ41" i="1"/>
  <c r="DX41" i="1"/>
  <c r="DV41" i="1"/>
  <c r="DT41" i="1"/>
  <c r="DR41" i="1"/>
  <c r="DP41" i="1"/>
  <c r="DN41" i="1"/>
  <c r="DL41" i="1"/>
  <c r="DJ41" i="1"/>
  <c r="DH41" i="1"/>
  <c r="DF41" i="1"/>
  <c r="DD41" i="1"/>
  <c r="DB41" i="1"/>
  <c r="CZ41" i="1"/>
  <c r="CX41" i="1"/>
  <c r="CV41" i="1"/>
  <c r="EG39" i="1"/>
  <c r="EE39" i="1"/>
  <c r="EC39" i="1"/>
  <c r="EA39" i="1"/>
  <c r="DY39" i="1"/>
  <c r="DW39" i="1"/>
  <c r="DU39" i="1"/>
  <c r="DS39" i="1"/>
  <c r="DQ39" i="1"/>
  <c r="DO39" i="1"/>
  <c r="DM39" i="1"/>
  <c r="DK39" i="1"/>
  <c r="DI39" i="1"/>
  <c r="DG39" i="1"/>
  <c r="DE39" i="1"/>
  <c r="DC39" i="1"/>
  <c r="DA39" i="1"/>
  <c r="CY39" i="1"/>
  <c r="CW39" i="1"/>
  <c r="EH37" i="1"/>
  <c r="EF37" i="1"/>
  <c r="ED37" i="1"/>
  <c r="EB37" i="1"/>
  <c r="DZ37" i="1"/>
  <c r="DX37" i="1"/>
  <c r="DV37" i="1"/>
  <c r="DT37" i="1"/>
  <c r="DR37" i="1"/>
  <c r="DP37" i="1"/>
  <c r="DN37" i="1"/>
  <c r="DL37" i="1"/>
  <c r="DJ37" i="1"/>
  <c r="DH37" i="1"/>
  <c r="DF37" i="1"/>
  <c r="DD37" i="1"/>
  <c r="DB37" i="1"/>
  <c r="CZ37" i="1"/>
  <c r="CX37" i="1"/>
  <c r="CV37" i="1"/>
  <c r="EG35" i="1"/>
  <c r="EE35" i="1"/>
  <c r="EC35" i="1"/>
  <c r="EA35" i="1"/>
  <c r="DY35" i="1"/>
  <c r="DW35" i="1"/>
  <c r="DU35" i="1"/>
  <c r="DS35" i="1"/>
  <c r="DQ35" i="1"/>
  <c r="DO35" i="1"/>
  <c r="DM35" i="1"/>
  <c r="DK35" i="1"/>
  <c r="DI35" i="1"/>
  <c r="DG35" i="1"/>
  <c r="DE35" i="1"/>
  <c r="DC35" i="1"/>
  <c r="DA35" i="1"/>
  <c r="CY35" i="1"/>
  <c r="CW35" i="1"/>
  <c r="EH33" i="1"/>
  <c r="EF33" i="1"/>
  <c r="ED33" i="1"/>
  <c r="EB33" i="1"/>
  <c r="DZ33" i="1"/>
  <c r="DX33" i="1"/>
  <c r="DV33" i="1"/>
  <c r="DT33" i="1"/>
  <c r="DR33" i="1"/>
  <c r="DP33" i="1"/>
  <c r="DN33" i="1"/>
  <c r="DL33" i="1"/>
  <c r="DJ33" i="1"/>
  <c r="DH33" i="1"/>
  <c r="DF33" i="1"/>
  <c r="DD33" i="1"/>
  <c r="DB33" i="1"/>
  <c r="CZ33" i="1"/>
  <c r="CX33" i="1"/>
  <c r="CV33" i="1"/>
  <c r="EG31" i="1"/>
  <c r="EE31" i="1"/>
  <c r="EC31" i="1"/>
  <c r="EA31" i="1"/>
  <c r="DY31" i="1"/>
  <c r="DW31" i="1"/>
  <c r="DU31" i="1"/>
  <c r="DS31" i="1"/>
  <c r="DQ31" i="1"/>
  <c r="DO31" i="1"/>
  <c r="DM31" i="1"/>
  <c r="DK31" i="1"/>
  <c r="DI31" i="1"/>
  <c r="DG31" i="1"/>
  <c r="DE31" i="1"/>
  <c r="DC31" i="1"/>
  <c r="DA31" i="1"/>
  <c r="CY31" i="1"/>
  <c r="CW31" i="1"/>
  <c r="EH29" i="1"/>
  <c r="EF29" i="1"/>
  <c r="ED29" i="1"/>
  <c r="EB29" i="1"/>
  <c r="DZ29" i="1"/>
  <c r="DX29" i="1"/>
  <c r="DV29" i="1"/>
  <c r="DT29" i="1"/>
  <c r="DR29" i="1"/>
  <c r="DP29" i="1"/>
  <c r="DN29" i="1"/>
  <c r="DL29" i="1"/>
  <c r="DJ29" i="1"/>
  <c r="DH29" i="1"/>
  <c r="DF29" i="1"/>
  <c r="DD29" i="1"/>
  <c r="DB29" i="1"/>
  <c r="CZ29" i="1"/>
  <c r="CX29" i="1"/>
  <c r="CV29" i="1"/>
  <c r="EG27" i="1"/>
  <c r="EE27" i="1"/>
  <c r="EC27" i="1"/>
  <c r="EA27" i="1"/>
  <c r="DY27" i="1"/>
  <c r="DW27" i="1"/>
  <c r="DU27" i="1"/>
  <c r="DS27" i="1"/>
  <c r="DQ27" i="1"/>
  <c r="DO27" i="1"/>
  <c r="DM27" i="1"/>
  <c r="DK27" i="1"/>
  <c r="DI27" i="1"/>
  <c r="DG27" i="1"/>
  <c r="DE27" i="1"/>
  <c r="DC27" i="1"/>
  <c r="DA27" i="1"/>
  <c r="CY27" i="1"/>
  <c r="CW27" i="1"/>
  <c r="EH25" i="1"/>
  <c r="EF25" i="1"/>
  <c r="ED25" i="1"/>
  <c r="EB25" i="1"/>
  <c r="DZ25" i="1"/>
  <c r="DX25" i="1"/>
  <c r="DV25" i="1"/>
  <c r="DT25" i="1"/>
  <c r="DR25" i="1"/>
  <c r="DP25" i="1"/>
  <c r="DN25" i="1"/>
  <c r="DL25" i="1"/>
  <c r="DJ25" i="1"/>
  <c r="DH25" i="1"/>
  <c r="DF25" i="1"/>
  <c r="DD25" i="1"/>
  <c r="DB25" i="1"/>
  <c r="CZ25" i="1"/>
  <c r="CX25" i="1"/>
  <c r="CV25" i="1"/>
  <c r="EG23" i="1"/>
  <c r="EE23" i="1"/>
  <c r="EC23" i="1"/>
  <c r="EA23" i="1"/>
  <c r="DY23" i="1"/>
  <c r="DW23" i="1"/>
  <c r="DU23" i="1"/>
  <c r="DS23" i="1"/>
  <c r="DQ23" i="1"/>
  <c r="DO23" i="1"/>
  <c r="DM23" i="1"/>
  <c r="DK23" i="1"/>
  <c r="DI23" i="1"/>
  <c r="DG23" i="1"/>
  <c r="DE23" i="1"/>
  <c r="DC23" i="1"/>
  <c r="DA23" i="1"/>
  <c r="CY23" i="1"/>
  <c r="CW23" i="1"/>
  <c r="EH21" i="1"/>
  <c r="EF21" i="1"/>
  <c r="ED21" i="1"/>
  <c r="EB21" i="1"/>
  <c r="DZ21" i="1"/>
  <c r="DX21" i="1"/>
  <c r="DV21" i="1"/>
  <c r="DT21" i="1"/>
  <c r="DR21" i="1"/>
  <c r="DP21" i="1"/>
  <c r="DN21" i="1"/>
  <c r="DL21" i="1"/>
  <c r="DJ21" i="1"/>
  <c r="DH21" i="1"/>
  <c r="DF21" i="1"/>
  <c r="DD21" i="1"/>
  <c r="DB21" i="1"/>
  <c r="CZ21" i="1"/>
  <c r="CX21" i="1"/>
  <c r="CV21" i="1"/>
  <c r="EG19" i="1"/>
  <c r="EE19" i="1"/>
  <c r="EC19" i="1"/>
  <c r="EA19" i="1"/>
  <c r="DY19" i="1"/>
  <c r="DW19" i="1"/>
  <c r="DU19" i="1"/>
  <c r="DS19" i="1"/>
  <c r="DQ19" i="1"/>
  <c r="DO19" i="1"/>
  <c r="DM19" i="1"/>
  <c r="DK19" i="1"/>
  <c r="DI19" i="1"/>
  <c r="DG19" i="1"/>
  <c r="DE19" i="1"/>
  <c r="DC19" i="1"/>
  <c r="DA19" i="1"/>
  <c r="CY19" i="1"/>
  <c r="CW19" i="1"/>
  <c r="EH17" i="1"/>
  <c r="EF17" i="1"/>
  <c r="ED17" i="1"/>
  <c r="EB17" i="1"/>
  <c r="DZ17" i="1"/>
  <c r="DX17" i="1"/>
  <c r="DV17" i="1"/>
  <c r="DT17" i="1"/>
  <c r="DR17" i="1"/>
  <c r="DP17" i="1"/>
  <c r="DN17" i="1"/>
  <c r="DL17" i="1"/>
  <c r="DJ17" i="1"/>
  <c r="DH17" i="1"/>
  <c r="DF17" i="1"/>
  <c r="DD17" i="1"/>
  <c r="DB17" i="1"/>
  <c r="CZ17" i="1"/>
  <c r="CX17" i="1"/>
  <c r="CV17" i="1"/>
  <c r="EG15" i="1"/>
  <c r="EE15" i="1"/>
  <c r="EC15" i="1"/>
  <c r="EA15" i="1"/>
  <c r="DY15" i="1"/>
  <c r="DW15" i="1"/>
  <c r="DU15" i="1"/>
  <c r="DS15" i="1"/>
  <c r="DQ15" i="1"/>
  <c r="DO15" i="1"/>
  <c r="DM15" i="1"/>
  <c r="DK15" i="1"/>
  <c r="DI15" i="1"/>
  <c r="DG15" i="1"/>
  <c r="DE15" i="1"/>
  <c r="DC15" i="1"/>
  <c r="DA15" i="1"/>
  <c r="CY15" i="1"/>
  <c r="CW15" i="1"/>
  <c r="EH10" i="1"/>
  <c r="EF10" i="1"/>
  <c r="ED10" i="1"/>
  <c r="EB10" i="1"/>
  <c r="DZ10" i="1"/>
  <c r="DX10" i="1"/>
  <c r="DV10" i="1"/>
  <c r="DT10" i="1"/>
  <c r="DR10" i="1"/>
  <c r="DP10" i="1"/>
  <c r="DN10" i="1"/>
  <c r="DL10" i="1"/>
  <c r="DJ10" i="1"/>
  <c r="DH10" i="1"/>
  <c r="DF10" i="1"/>
  <c r="DD10" i="1"/>
  <c r="DB10" i="1"/>
  <c r="CZ10" i="1"/>
  <c r="CX10" i="1"/>
  <c r="CV10" i="1"/>
  <c r="EH6" i="1"/>
  <c r="GA6" i="1" s="1"/>
  <c r="EF6" i="1"/>
  <c r="ED6" i="1"/>
  <c r="FW6" i="1" s="1"/>
  <c r="EB6" i="1"/>
  <c r="FU6" i="1" s="1"/>
  <c r="DZ6" i="1"/>
  <c r="FS6" i="1" s="1"/>
  <c r="DX6" i="1"/>
  <c r="DV6" i="1"/>
  <c r="FO6" i="1" s="1"/>
  <c r="DT6" i="1"/>
  <c r="FM6" i="1" s="1"/>
  <c r="DR6" i="1"/>
  <c r="FK6" i="1" s="1"/>
  <c r="DP6" i="1"/>
  <c r="DN6" i="1"/>
  <c r="FG6" i="1" s="1"/>
  <c r="DL6" i="1"/>
  <c r="FE6" i="1" s="1"/>
  <c r="DJ6" i="1"/>
  <c r="FC6" i="1" s="1"/>
  <c r="DH6" i="1"/>
  <c r="FA6" i="1" s="1"/>
  <c r="DF6" i="1"/>
  <c r="EY6" i="1" s="1"/>
  <c r="DD6" i="1"/>
  <c r="EW6" i="1" s="1"/>
  <c r="DB6" i="1"/>
  <c r="EU6" i="1" s="1"/>
  <c r="CZ6" i="1"/>
  <c r="CX6" i="1"/>
  <c r="EQ6" i="1" s="1"/>
  <c r="CV6" i="1"/>
  <c r="EO6" i="1" s="1"/>
  <c r="E15" i="2"/>
  <c r="CU6" i="1"/>
  <c r="EF45" i="1"/>
  <c r="EG45" i="1"/>
  <c r="EE45" i="1"/>
  <c r="EC45" i="1"/>
  <c r="EA45" i="1"/>
  <c r="DY45" i="1"/>
  <c r="DW45" i="1"/>
  <c r="DU45" i="1"/>
  <c r="DS45" i="1"/>
  <c r="DQ45" i="1"/>
  <c r="DO45" i="1"/>
  <c r="DM45" i="1"/>
  <c r="DK45" i="1"/>
  <c r="DI45" i="1"/>
  <c r="DG45" i="1"/>
  <c r="DE45" i="1"/>
  <c r="DC45" i="1"/>
  <c r="DA45" i="1"/>
  <c r="CY45" i="1"/>
  <c r="CW45" i="1"/>
  <c r="EH43" i="1"/>
  <c r="EF43" i="1"/>
  <c r="ED43" i="1"/>
  <c r="EB43" i="1"/>
  <c r="DZ43" i="1"/>
  <c r="DX43" i="1"/>
  <c r="DV43" i="1"/>
  <c r="DT43" i="1"/>
  <c r="DR43" i="1"/>
  <c r="DP43" i="1"/>
  <c r="DN43" i="1"/>
  <c r="DL43" i="1"/>
  <c r="DJ43" i="1"/>
  <c r="DH43" i="1"/>
  <c r="DF43" i="1"/>
  <c r="DD43" i="1"/>
  <c r="DB43" i="1"/>
  <c r="CZ43" i="1"/>
  <c r="CX43" i="1"/>
  <c r="CV43" i="1"/>
  <c r="EG41" i="1"/>
  <c r="EE41" i="1"/>
  <c r="EC41" i="1"/>
  <c r="EA41" i="1"/>
  <c r="DY41" i="1"/>
  <c r="DW41" i="1"/>
  <c r="DU41" i="1"/>
  <c r="DS41" i="1"/>
  <c r="DQ41" i="1"/>
  <c r="DO41" i="1"/>
  <c r="DM41" i="1"/>
  <c r="DK41" i="1"/>
  <c r="DI41" i="1"/>
  <c r="DG41" i="1"/>
  <c r="DE41" i="1"/>
  <c r="DC41" i="1"/>
  <c r="DA41" i="1"/>
  <c r="CY41" i="1"/>
  <c r="ER39" i="1" s="1"/>
  <c r="GK39" i="1" s="1"/>
  <c r="CW41" i="1"/>
  <c r="EH39" i="1"/>
  <c r="EF39" i="1"/>
  <c r="ED39" i="1"/>
  <c r="EB39" i="1"/>
  <c r="DZ39" i="1"/>
  <c r="DX39" i="1"/>
  <c r="DV39" i="1"/>
  <c r="DT39" i="1"/>
  <c r="DR39" i="1"/>
  <c r="DP39" i="1"/>
  <c r="DN39" i="1"/>
  <c r="DL39" i="1"/>
  <c r="FE39" i="1" s="1"/>
  <c r="GX39" i="1" s="1"/>
  <c r="DJ39" i="1"/>
  <c r="DH39" i="1"/>
  <c r="DF39" i="1"/>
  <c r="DD39" i="1"/>
  <c r="DB39" i="1"/>
  <c r="CZ39" i="1"/>
  <c r="CX39" i="1"/>
  <c r="CV39" i="1"/>
  <c r="EO39" i="1" s="1"/>
  <c r="GH39" i="1" s="1"/>
  <c r="EG37" i="1"/>
  <c r="EE37" i="1"/>
  <c r="EC37" i="1"/>
  <c r="EA37" i="1"/>
  <c r="DY37" i="1"/>
  <c r="DW37" i="1"/>
  <c r="DU37" i="1"/>
  <c r="DS37" i="1"/>
  <c r="DQ37" i="1"/>
  <c r="DO37" i="1"/>
  <c r="DM37" i="1"/>
  <c r="DK37" i="1"/>
  <c r="DI37" i="1"/>
  <c r="DG37" i="1"/>
  <c r="DE37" i="1"/>
  <c r="DC37" i="1"/>
  <c r="DA37" i="1"/>
  <c r="CY37" i="1"/>
  <c r="CW37" i="1"/>
  <c r="EH35" i="1"/>
  <c r="EF35" i="1"/>
  <c r="ED35" i="1"/>
  <c r="EB35" i="1"/>
  <c r="DZ35" i="1"/>
  <c r="DX35" i="1"/>
  <c r="DV35" i="1"/>
  <c r="DT35" i="1"/>
  <c r="DR35" i="1"/>
  <c r="DP35" i="1"/>
  <c r="DN35" i="1"/>
  <c r="DL35" i="1"/>
  <c r="DJ35" i="1"/>
  <c r="DH35" i="1"/>
  <c r="DF35" i="1"/>
  <c r="DD35" i="1"/>
  <c r="DB35" i="1"/>
  <c r="CZ35" i="1"/>
  <c r="CX35" i="1"/>
  <c r="CV35" i="1"/>
  <c r="EG33" i="1"/>
  <c r="EE33" i="1"/>
  <c r="EC33" i="1"/>
  <c r="EA33" i="1"/>
  <c r="DY33" i="1"/>
  <c r="DW33" i="1"/>
  <c r="DU33" i="1"/>
  <c r="DS33" i="1"/>
  <c r="DQ33" i="1"/>
  <c r="DO33" i="1"/>
  <c r="DM33" i="1"/>
  <c r="DK33" i="1"/>
  <c r="DI33" i="1"/>
  <c r="DG33" i="1"/>
  <c r="DE33" i="1"/>
  <c r="DC33" i="1"/>
  <c r="DA33" i="1"/>
  <c r="CY33" i="1"/>
  <c r="CW33" i="1"/>
  <c r="EH31" i="1"/>
  <c r="EF31" i="1"/>
  <c r="ED31" i="1"/>
  <c r="EB31" i="1"/>
  <c r="DZ31" i="1"/>
  <c r="DX31" i="1"/>
  <c r="DV31" i="1"/>
  <c r="DT31" i="1"/>
  <c r="DR31" i="1"/>
  <c r="DP31" i="1"/>
  <c r="DN31" i="1"/>
  <c r="DL31" i="1"/>
  <c r="DJ31" i="1"/>
  <c r="DH31" i="1"/>
  <c r="DF31" i="1"/>
  <c r="DD31" i="1"/>
  <c r="DB31" i="1"/>
  <c r="CZ31" i="1"/>
  <c r="CX31" i="1"/>
  <c r="CV31" i="1"/>
  <c r="EG29" i="1"/>
  <c r="EE29" i="1"/>
  <c r="EC29" i="1"/>
  <c r="EA29" i="1"/>
  <c r="DY29" i="1"/>
  <c r="DW29" i="1"/>
  <c r="DU29" i="1"/>
  <c r="DS29" i="1"/>
  <c r="DQ29" i="1"/>
  <c r="DO29" i="1"/>
  <c r="DM29" i="1"/>
  <c r="DK29" i="1"/>
  <c r="DI29" i="1"/>
  <c r="DG29" i="1"/>
  <c r="DE29" i="1"/>
  <c r="DC29" i="1"/>
  <c r="DA29" i="1"/>
  <c r="CY29" i="1"/>
  <c r="CW29" i="1"/>
  <c r="EH27" i="1"/>
  <c r="EF27" i="1"/>
  <c r="ED27" i="1"/>
  <c r="EB27" i="1"/>
  <c r="DZ27" i="1"/>
  <c r="DX27" i="1"/>
  <c r="DV27" i="1"/>
  <c r="DT27" i="1"/>
  <c r="DR27" i="1"/>
  <c r="DP27" i="1"/>
  <c r="DN27" i="1"/>
  <c r="DL27" i="1"/>
  <c r="DJ27" i="1"/>
  <c r="DH27" i="1"/>
  <c r="DF27" i="1"/>
  <c r="DD27" i="1"/>
  <c r="DB27" i="1"/>
  <c r="CZ27" i="1"/>
  <c r="CX27" i="1"/>
  <c r="CV27" i="1"/>
  <c r="EG25" i="1"/>
  <c r="EE25" i="1"/>
  <c r="EC25" i="1"/>
  <c r="EA25" i="1"/>
  <c r="DY25" i="1"/>
  <c r="DW25" i="1"/>
  <c r="DU25" i="1"/>
  <c r="DS25" i="1"/>
  <c r="DQ25" i="1"/>
  <c r="DO25" i="1"/>
  <c r="DM25" i="1"/>
  <c r="DK25" i="1"/>
  <c r="DI25" i="1"/>
  <c r="DG25" i="1"/>
  <c r="DE25" i="1"/>
  <c r="DC25" i="1"/>
  <c r="DA25" i="1"/>
  <c r="CY25" i="1"/>
  <c r="CW25" i="1"/>
  <c r="EH23" i="1"/>
  <c r="EF23" i="1"/>
  <c r="ED23" i="1"/>
  <c r="EB23" i="1"/>
  <c r="DZ23" i="1"/>
  <c r="DX23" i="1"/>
  <c r="DV23" i="1"/>
  <c r="DT23" i="1"/>
  <c r="DR23" i="1"/>
  <c r="DP23" i="1"/>
  <c r="DN23" i="1"/>
  <c r="DL23" i="1"/>
  <c r="DJ23" i="1"/>
  <c r="DH23" i="1"/>
  <c r="DF23" i="1"/>
  <c r="DD23" i="1"/>
  <c r="DB23" i="1"/>
  <c r="CZ23" i="1"/>
  <c r="CX23" i="1"/>
  <c r="CV23" i="1"/>
  <c r="EG21" i="1"/>
  <c r="EE21" i="1"/>
  <c r="EC21" i="1"/>
  <c r="EA21" i="1"/>
  <c r="DY21" i="1"/>
  <c r="DW21" i="1"/>
  <c r="DU21" i="1"/>
  <c r="DS21" i="1"/>
  <c r="DQ21" i="1"/>
  <c r="DO21" i="1"/>
  <c r="DM21" i="1"/>
  <c r="DK21" i="1"/>
  <c r="DI21" i="1"/>
  <c r="DG21" i="1"/>
  <c r="DE21" i="1"/>
  <c r="DC21" i="1"/>
  <c r="DA21" i="1"/>
  <c r="CY21" i="1"/>
  <c r="CW21" i="1"/>
  <c r="EH19" i="1"/>
  <c r="EF19" i="1"/>
  <c r="ED19" i="1"/>
  <c r="EB19" i="1"/>
  <c r="DZ19" i="1"/>
  <c r="DX19" i="1"/>
  <c r="DV19" i="1"/>
  <c r="DT19" i="1"/>
  <c r="DR19" i="1"/>
  <c r="DP19" i="1"/>
  <c r="DN19" i="1"/>
  <c r="DL19" i="1"/>
  <c r="DJ19" i="1"/>
  <c r="DH19" i="1"/>
  <c r="DF19" i="1"/>
  <c r="DD19" i="1"/>
  <c r="DB19" i="1"/>
  <c r="CZ19" i="1"/>
  <c r="CX19" i="1"/>
  <c r="CV19" i="1"/>
  <c r="EG17" i="1"/>
  <c r="EE17" i="1"/>
  <c r="EC17" i="1"/>
  <c r="EA17" i="1"/>
  <c r="DY17" i="1"/>
  <c r="DW17" i="1"/>
  <c r="DU17" i="1"/>
  <c r="DS17" i="1"/>
  <c r="FL15" i="1" s="1"/>
  <c r="HE15" i="1" s="1"/>
  <c r="DQ17" i="1"/>
  <c r="DO17" i="1"/>
  <c r="DM17" i="1"/>
  <c r="DK17" i="1"/>
  <c r="FD15" i="1" s="1"/>
  <c r="GW15" i="1" s="1"/>
  <c r="DI17" i="1"/>
  <c r="DG17" i="1"/>
  <c r="DE17" i="1"/>
  <c r="DC17" i="1"/>
  <c r="DA17" i="1"/>
  <c r="CY17" i="1"/>
  <c r="CW17" i="1"/>
  <c r="EH15" i="1"/>
  <c r="EF15" i="1"/>
  <c r="ED15" i="1"/>
  <c r="EB15" i="1"/>
  <c r="DZ15" i="1"/>
  <c r="DX15" i="1"/>
  <c r="DV15" i="1"/>
  <c r="DT15" i="1"/>
  <c r="DR15" i="1"/>
  <c r="DP15" i="1"/>
  <c r="DN15" i="1"/>
  <c r="DL15" i="1"/>
  <c r="DJ15" i="1"/>
  <c r="DH15" i="1"/>
  <c r="DF15" i="1"/>
  <c r="DD15" i="1"/>
  <c r="DB15" i="1"/>
  <c r="CZ15" i="1"/>
  <c r="CX15" i="1"/>
  <c r="CV15" i="1"/>
  <c r="EG10" i="1"/>
  <c r="EE10" i="1"/>
  <c r="EC10" i="1"/>
  <c r="EA10" i="1"/>
  <c r="DY10" i="1"/>
  <c r="DW10" i="1"/>
  <c r="DU10" i="1"/>
  <c r="DS10" i="1"/>
  <c r="DQ10" i="1"/>
  <c r="DO10" i="1"/>
  <c r="DM10" i="1"/>
  <c r="DK10" i="1"/>
  <c r="DI10" i="1"/>
  <c r="DG10" i="1"/>
  <c r="DE10" i="1"/>
  <c r="DC10" i="1"/>
  <c r="DA10" i="1"/>
  <c r="CY10" i="1"/>
  <c r="CW10" i="1"/>
  <c r="EG6" i="1"/>
  <c r="EE6" i="1"/>
  <c r="EC6" i="1"/>
  <c r="EA6" i="1"/>
  <c r="DY6" i="1"/>
  <c r="DW6" i="1"/>
  <c r="DU6" i="1"/>
  <c r="DS6" i="1"/>
  <c r="DQ6" i="1"/>
  <c r="DO6" i="1"/>
  <c r="DM6" i="1"/>
  <c r="DK6" i="1"/>
  <c r="DI6" i="1"/>
  <c r="DG6" i="1"/>
  <c r="DE6" i="1"/>
  <c r="DC6" i="1"/>
  <c r="DA6" i="1"/>
  <c r="CY6" i="1"/>
  <c r="CW6" i="1"/>
  <c r="FZ47" i="1"/>
  <c r="FX47" i="1"/>
  <c r="FV47" i="1"/>
  <c r="FT47" i="1"/>
  <c r="FR47" i="1"/>
  <c r="FP47" i="1"/>
  <c r="FN47" i="1"/>
  <c r="FL47" i="1"/>
  <c r="FJ47" i="1"/>
  <c r="FH47" i="1"/>
  <c r="FF47" i="1"/>
  <c r="FD47" i="1"/>
  <c r="FB47" i="1"/>
  <c r="EZ47" i="1"/>
  <c r="EX47" i="1"/>
  <c r="EV47" i="1"/>
  <c r="ET47" i="1"/>
  <c r="ER47" i="1"/>
  <c r="EP47" i="1"/>
  <c r="GA47" i="1"/>
  <c r="FY47" i="1"/>
  <c r="FW47" i="1"/>
  <c r="FU47" i="1"/>
  <c r="FS47" i="1"/>
  <c r="FQ47" i="1"/>
  <c r="FO47" i="1"/>
  <c r="FM47" i="1"/>
  <c r="FK47" i="1"/>
  <c r="FI47" i="1"/>
  <c r="FG47" i="1"/>
  <c r="FE47" i="1"/>
  <c r="FC47" i="1"/>
  <c r="FA47" i="1"/>
  <c r="EY47" i="1"/>
  <c r="EW47" i="1"/>
  <c r="EU47" i="1"/>
  <c r="ES47" i="1"/>
  <c r="EQ47" i="1"/>
  <c r="EO47" i="1"/>
  <c r="FY6" i="1"/>
  <c r="FQ6" i="1"/>
  <c r="FI6" i="1"/>
  <c r="ES6" i="1"/>
  <c r="FU39" i="1"/>
  <c r="HN39" i="1" s="1"/>
  <c r="FT6" i="1"/>
  <c r="FX39" i="1"/>
  <c r="HQ39" i="1" s="1"/>
  <c r="BB10" i="1"/>
  <c r="BB27" i="1"/>
  <c r="E23" i="2" s="1"/>
  <c r="BB29" i="1"/>
  <c r="E24" i="2" s="1"/>
  <c r="BB31" i="1"/>
  <c r="E25" i="2" s="1"/>
  <c r="BB33" i="1"/>
  <c r="BB35" i="1"/>
  <c r="BB37" i="1"/>
  <c r="E28" i="2" s="1"/>
  <c r="BB39" i="1"/>
  <c r="E29" i="2" s="1"/>
  <c r="BB41" i="1"/>
  <c r="E30" i="2" s="1"/>
  <c r="BB43" i="1"/>
  <c r="E31" i="2" s="1"/>
  <c r="BB45" i="1"/>
  <c r="E32" i="2" s="1"/>
  <c r="FE15" i="1" l="1"/>
  <c r="GX15" i="1" s="1"/>
  <c r="FX15" i="1"/>
  <c r="HQ15" i="1" s="1"/>
  <c r="M18" i="4"/>
  <c r="M19" i="4"/>
  <c r="M17" i="4"/>
  <c r="FD6" i="1"/>
  <c r="M15" i="4"/>
  <c r="M16" i="4"/>
  <c r="E28" i="4"/>
  <c r="F27" i="4" s="1"/>
  <c r="CU23" i="7"/>
  <c r="DO6" i="7" s="1"/>
  <c r="EI6" i="7" s="1"/>
  <c r="J19" i="10" s="1"/>
  <c r="CB23" i="7"/>
  <c r="ER6" i="1"/>
  <c r="GK6" i="1" s="1"/>
  <c r="EV6" i="1"/>
  <c r="EZ6" i="1"/>
  <c r="FH6" i="1"/>
  <c r="HA6" i="1" s="1"/>
  <c r="FL6" i="1"/>
  <c r="HE6" i="1" s="1"/>
  <c r="FX6" i="1"/>
  <c r="EZ39" i="1"/>
  <c r="GS39" i="1" s="1"/>
  <c r="FH39" i="1"/>
  <c r="HA39" i="1" s="1"/>
  <c r="EO15" i="1"/>
  <c r="GH15" i="1" s="1"/>
  <c r="FU15" i="1"/>
  <c r="HN15" i="1" s="1"/>
  <c r="EW39" i="1"/>
  <c r="GP39" i="1" s="1"/>
  <c r="FM39" i="1"/>
  <c r="HF39" i="1" s="1"/>
  <c r="EP15" i="1"/>
  <c r="GI15" i="1" s="1"/>
  <c r="FB39" i="1"/>
  <c r="GU39" i="1" s="1"/>
  <c r="AQ36" i="2"/>
  <c r="AQ37" i="2" s="1"/>
  <c r="G36" i="2"/>
  <c r="G37" i="2" s="1"/>
  <c r="G38" i="2" s="1"/>
  <c r="I36" i="2"/>
  <c r="I37" i="2" s="1"/>
  <c r="K36" i="2"/>
  <c r="K37" i="2" s="1"/>
  <c r="K38" i="2" s="1"/>
  <c r="U36" i="2"/>
  <c r="U37" i="2" s="1"/>
  <c r="W36" i="2"/>
  <c r="W37" i="2" s="1"/>
  <c r="W38" i="2" s="1"/>
  <c r="Y36" i="2"/>
  <c r="Y37" i="2" s="1"/>
  <c r="AA36" i="2"/>
  <c r="AA37" i="2" s="1"/>
  <c r="AA38" i="2" s="1"/>
  <c r="AC36" i="2"/>
  <c r="AC37" i="2" s="1"/>
  <c r="AE36" i="2"/>
  <c r="AE37" i="2" s="1"/>
  <c r="AE38" i="2" s="1"/>
  <c r="AM36" i="2"/>
  <c r="AM37" i="2" s="1"/>
  <c r="AO36" i="2"/>
  <c r="AO37" i="2" s="1"/>
  <c r="AO38" i="2" s="1"/>
  <c r="J36" i="2"/>
  <c r="J37" i="2" s="1"/>
  <c r="R36" i="2"/>
  <c r="R37" i="2" s="1"/>
  <c r="Z36" i="2"/>
  <c r="Z37" i="2" s="1"/>
  <c r="AH36" i="2"/>
  <c r="AH37" i="2" s="1"/>
  <c r="AH38" i="2" s="1"/>
  <c r="AP36" i="2"/>
  <c r="AP37" i="2" s="1"/>
  <c r="FP6" i="1"/>
  <c r="FP15" i="1"/>
  <c r="HI15" i="1" s="1"/>
  <c r="FT15" i="1"/>
  <c r="HM15" i="1" s="1"/>
  <c r="FP39" i="1"/>
  <c r="HI39" i="1" s="1"/>
  <c r="FR39" i="1"/>
  <c r="HK39" i="1" s="1"/>
  <c r="AG36" i="2"/>
  <c r="AG37" i="2" s="1"/>
  <c r="AI36" i="2"/>
  <c r="AI37" i="2" s="1"/>
  <c r="AI38" i="2" s="1"/>
  <c r="AK36" i="2"/>
  <c r="AK37" i="2" s="1"/>
  <c r="M36" i="2"/>
  <c r="M37" i="2" s="1"/>
  <c r="M38" i="2" s="1"/>
  <c r="O36" i="2"/>
  <c r="O37" i="2" s="1"/>
  <c r="Q36" i="2"/>
  <c r="Q37" i="2" s="1"/>
  <c r="Q38" i="2" s="1"/>
  <c r="S36" i="2"/>
  <c r="S37" i="2" s="1"/>
  <c r="F36" i="2"/>
  <c r="F37" i="2" s="1"/>
  <c r="F38" i="2" s="1"/>
  <c r="N36" i="2"/>
  <c r="N37" i="2" s="1"/>
  <c r="V36" i="2"/>
  <c r="V37" i="2" s="1"/>
  <c r="V38" i="2" s="1"/>
  <c r="AD36" i="2"/>
  <c r="AD37" i="2" s="1"/>
  <c r="AL36" i="2"/>
  <c r="AL37" i="2" s="1"/>
  <c r="AL38" i="2" s="1"/>
  <c r="C28" i="4"/>
  <c r="EP6" i="1"/>
  <c r="GI6" i="1" s="1"/>
  <c r="ET6" i="1"/>
  <c r="EX6" i="1"/>
  <c r="GQ6" i="1" s="1"/>
  <c r="FB6" i="1"/>
  <c r="GU6" i="1" s="1"/>
  <c r="FF6" i="1"/>
  <c r="GY6" i="1" s="1"/>
  <c r="FJ6" i="1"/>
  <c r="FN6" i="1"/>
  <c r="HG6" i="1" s="1"/>
  <c r="FR6" i="1"/>
  <c r="FV6" i="1"/>
  <c r="HO6" i="1" s="1"/>
  <c r="FZ6" i="1"/>
  <c r="ES15" i="1"/>
  <c r="GL15" i="1" s="1"/>
  <c r="EW15" i="1"/>
  <c r="GP15" i="1" s="1"/>
  <c r="FA15" i="1"/>
  <c r="GT15" i="1" s="1"/>
  <c r="FI15" i="1"/>
  <c r="HB15" i="1" s="1"/>
  <c r="FM15" i="1"/>
  <c r="HF15" i="1" s="1"/>
  <c r="FQ15" i="1"/>
  <c r="HJ15" i="1" s="1"/>
  <c r="FY15" i="1"/>
  <c r="HR15" i="1" s="1"/>
  <c r="ET15" i="1"/>
  <c r="GM15" i="1" s="1"/>
  <c r="EX15" i="1"/>
  <c r="GQ15" i="1" s="1"/>
  <c r="FB15" i="1"/>
  <c r="GU15" i="1" s="1"/>
  <c r="FJ15" i="1"/>
  <c r="HC15" i="1" s="1"/>
  <c r="ES39" i="1"/>
  <c r="GL39" i="1" s="1"/>
  <c r="FA39" i="1"/>
  <c r="GT39" i="1" s="1"/>
  <c r="FI39" i="1"/>
  <c r="HB39" i="1" s="1"/>
  <c r="FQ39" i="1"/>
  <c r="HJ39" i="1" s="1"/>
  <c r="FY39" i="1"/>
  <c r="HR39" i="1" s="1"/>
  <c r="ET39" i="1"/>
  <c r="GM39" i="1" s="1"/>
  <c r="FJ39" i="1"/>
  <c r="HC39" i="1" s="1"/>
  <c r="FZ39" i="1"/>
  <c r="HS39" i="1" s="1"/>
  <c r="H36" i="2"/>
  <c r="H37" i="2" s="1"/>
  <c r="L36" i="2"/>
  <c r="L37" i="2" s="1"/>
  <c r="P36" i="2"/>
  <c r="P37" i="2" s="1"/>
  <c r="T36" i="2"/>
  <c r="T37" i="2" s="1"/>
  <c r="X36" i="2"/>
  <c r="X37" i="2" s="1"/>
  <c r="X38" i="2" s="1"/>
  <c r="AB36" i="2"/>
  <c r="AB37" i="2" s="1"/>
  <c r="AF36" i="2"/>
  <c r="AF37" i="2" s="1"/>
  <c r="AJ36" i="2"/>
  <c r="AJ37" i="2" s="1"/>
  <c r="AN36" i="2"/>
  <c r="AN37" i="2" s="1"/>
  <c r="AN38" i="2" s="1"/>
  <c r="AR36" i="2"/>
  <c r="AR37" i="2" s="1"/>
  <c r="H38" i="2"/>
  <c r="E26" i="2"/>
  <c r="E27" i="2"/>
  <c r="R38" i="2"/>
  <c r="ER15" i="1"/>
  <c r="GK15" i="1" s="1"/>
  <c r="EV15" i="1"/>
  <c r="GO15" i="1" s="1"/>
  <c r="EZ15" i="1"/>
  <c r="GS15" i="1" s="1"/>
  <c r="FF15" i="1"/>
  <c r="GY15" i="1" s="1"/>
  <c r="FH15" i="1"/>
  <c r="HA15" i="1" s="1"/>
  <c r="FN15" i="1"/>
  <c r="HG15" i="1" s="1"/>
  <c r="FR15" i="1"/>
  <c r="HK15" i="1" s="1"/>
  <c r="FV15" i="1"/>
  <c r="HO15" i="1" s="1"/>
  <c r="FZ15" i="1"/>
  <c r="HS15" i="1" s="1"/>
  <c r="EQ15" i="1"/>
  <c r="GJ15" i="1" s="1"/>
  <c r="EU15" i="1"/>
  <c r="GN15" i="1" s="1"/>
  <c r="EY15" i="1"/>
  <c r="GR15" i="1" s="1"/>
  <c r="FC15" i="1"/>
  <c r="GV15" i="1" s="1"/>
  <c r="FG15" i="1"/>
  <c r="GZ15" i="1" s="1"/>
  <c r="FK15" i="1"/>
  <c r="HD15" i="1" s="1"/>
  <c r="FO15" i="1"/>
  <c r="HH15" i="1" s="1"/>
  <c r="FS15" i="1"/>
  <c r="HL15" i="1" s="1"/>
  <c r="FW15" i="1"/>
  <c r="HP15" i="1" s="1"/>
  <c r="GA15" i="1"/>
  <c r="HT15" i="1" s="1"/>
  <c r="EP39" i="1"/>
  <c r="GI39" i="1" s="1"/>
  <c r="EV39" i="1"/>
  <c r="GO39" i="1" s="1"/>
  <c r="EX39" i="1"/>
  <c r="GQ39" i="1" s="1"/>
  <c r="FD39" i="1"/>
  <c r="GW39" i="1" s="1"/>
  <c r="FF39" i="1"/>
  <c r="GY39" i="1" s="1"/>
  <c r="FL39" i="1"/>
  <c r="HE39" i="1" s="1"/>
  <c r="FN39" i="1"/>
  <c r="HG39" i="1" s="1"/>
  <c r="FT39" i="1"/>
  <c r="HM39" i="1" s="1"/>
  <c r="FV39" i="1"/>
  <c r="HO39" i="1" s="1"/>
  <c r="EQ39" i="1"/>
  <c r="GJ39" i="1" s="1"/>
  <c r="EU39" i="1"/>
  <c r="GN39" i="1" s="1"/>
  <c r="EY39" i="1"/>
  <c r="GR39" i="1" s="1"/>
  <c r="FC39" i="1"/>
  <c r="GV39" i="1" s="1"/>
  <c r="FG39" i="1"/>
  <c r="GZ39" i="1" s="1"/>
  <c r="FK39" i="1"/>
  <c r="HD39" i="1" s="1"/>
  <c r="FO39" i="1"/>
  <c r="HH39" i="1" s="1"/>
  <c r="FS39" i="1"/>
  <c r="HL39" i="1" s="1"/>
  <c r="FW39" i="1"/>
  <c r="HP39" i="1" s="1"/>
  <c r="GA39" i="1"/>
  <c r="HT39" i="1" s="1"/>
  <c r="CU45" i="1"/>
  <c r="CU37" i="1"/>
  <c r="CU29" i="1"/>
  <c r="CU41" i="1"/>
  <c r="CU33" i="1"/>
  <c r="E16" i="2"/>
  <c r="CU10" i="1"/>
  <c r="EN6" i="1" s="1"/>
  <c r="CU43" i="1"/>
  <c r="CU39" i="1"/>
  <c r="CU35" i="1"/>
  <c r="CU31" i="1"/>
  <c r="CU27" i="1"/>
  <c r="HB6" i="1"/>
  <c r="HC6" i="1"/>
  <c r="HR6" i="1"/>
  <c r="GM6" i="1"/>
  <c r="GO6" i="1"/>
  <c r="GW6" i="1"/>
  <c r="HI6" i="1"/>
  <c r="HK6" i="1"/>
  <c r="HM6" i="1"/>
  <c r="HQ6" i="1"/>
  <c r="HS6" i="1"/>
  <c r="GX6" i="1"/>
  <c r="HN6" i="1"/>
  <c r="GS6" i="1"/>
  <c r="HJ6" i="1"/>
  <c r="HF6" i="1"/>
  <c r="GH6" i="1"/>
  <c r="GJ6" i="1"/>
  <c r="GL6" i="1"/>
  <c r="GN6" i="1"/>
  <c r="GP6" i="1"/>
  <c r="GR6" i="1"/>
  <c r="GT6" i="1"/>
  <c r="GV6" i="1"/>
  <c r="GZ6" i="1"/>
  <c r="HD6" i="1"/>
  <c r="HH6" i="1"/>
  <c r="HL6" i="1"/>
  <c r="HP6" i="1"/>
  <c r="HT6" i="1"/>
  <c r="BB25" i="1"/>
  <c r="E22" i="2" s="1"/>
  <c r="BB23" i="1"/>
  <c r="E21" i="2" s="1"/>
  <c r="BB17" i="1"/>
  <c r="BB19" i="1"/>
  <c r="BB21" i="1"/>
  <c r="E20" i="2" s="1"/>
  <c r="BB15" i="1"/>
  <c r="F26" i="4" l="1"/>
  <c r="F25" i="4"/>
  <c r="CV23" i="7"/>
  <c r="DP6" i="7" s="1"/>
  <c r="EJ6" i="7" s="1"/>
  <c r="J20" i="10" s="1"/>
  <c r="CC23" i="7"/>
  <c r="B53" i="3"/>
  <c r="B54" i="3"/>
  <c r="B55" i="3"/>
  <c r="B56" i="3"/>
  <c r="B57" i="3"/>
  <c r="B52" i="3"/>
  <c r="K52" i="3" s="1"/>
  <c r="AR39" i="2"/>
  <c r="G52" i="3" s="1"/>
  <c r="H52" i="3" s="1"/>
  <c r="B44" i="3"/>
  <c r="K44" i="3" s="1"/>
  <c r="AJ39" i="2"/>
  <c r="G44" i="3" s="1"/>
  <c r="H44" i="3" s="1"/>
  <c r="B36" i="3"/>
  <c r="K36" i="3" s="1"/>
  <c r="AB39" i="2"/>
  <c r="G36" i="3" s="1"/>
  <c r="H36" i="3" s="1"/>
  <c r="B28" i="3"/>
  <c r="L28" i="3" s="1"/>
  <c r="T39" i="2"/>
  <c r="G28" i="3" s="1"/>
  <c r="H28" i="3" s="1"/>
  <c r="B20" i="3"/>
  <c r="L20" i="3" s="1"/>
  <c r="L39" i="2"/>
  <c r="G20" i="3" s="1"/>
  <c r="H20" i="3" s="1"/>
  <c r="B46" i="3"/>
  <c r="M46" i="3" s="1"/>
  <c r="AL39" i="2"/>
  <c r="G46" i="3" s="1"/>
  <c r="H46" i="3" s="1"/>
  <c r="B30" i="3"/>
  <c r="L30" i="3" s="1"/>
  <c r="V39" i="2"/>
  <c r="G30" i="3" s="1"/>
  <c r="H30" i="3" s="1"/>
  <c r="B14" i="3"/>
  <c r="M14" i="3" s="1"/>
  <c r="F39" i="2"/>
  <c r="G14" i="3" s="1"/>
  <c r="H14" i="3" s="1"/>
  <c r="B25" i="3"/>
  <c r="Q39" i="2"/>
  <c r="G25" i="3" s="1"/>
  <c r="H25" i="3" s="1"/>
  <c r="B21" i="3"/>
  <c r="M39" i="2"/>
  <c r="G21" i="3" s="1"/>
  <c r="H21" i="3" s="1"/>
  <c r="B43" i="3"/>
  <c r="L43" i="3" s="1"/>
  <c r="AI39" i="2"/>
  <c r="G43" i="3" s="1"/>
  <c r="H43" i="3" s="1"/>
  <c r="B42" i="3"/>
  <c r="M42" i="3" s="1"/>
  <c r="AH39" i="2"/>
  <c r="G42" i="3" s="1"/>
  <c r="H42" i="3" s="1"/>
  <c r="B26" i="3"/>
  <c r="K26" i="3" s="1"/>
  <c r="R39" i="2"/>
  <c r="G26" i="3" s="1"/>
  <c r="H26" i="3" s="1"/>
  <c r="B49" i="3"/>
  <c r="K49" i="3" s="1"/>
  <c r="AO39" i="2"/>
  <c r="G49" i="3" s="1"/>
  <c r="H49" i="3" s="1"/>
  <c r="B39" i="3"/>
  <c r="L39" i="3" s="1"/>
  <c r="AE39" i="2"/>
  <c r="G39" i="3" s="1"/>
  <c r="H39" i="3" s="1"/>
  <c r="B35" i="3"/>
  <c r="L35" i="3" s="1"/>
  <c r="AA39" i="2"/>
  <c r="G35" i="3" s="1"/>
  <c r="H35" i="3" s="1"/>
  <c r="B31" i="3"/>
  <c r="M31" i="3" s="1"/>
  <c r="W39" i="2"/>
  <c r="G31" i="3" s="1"/>
  <c r="H31" i="3" s="1"/>
  <c r="B19" i="3"/>
  <c r="L19" i="3" s="1"/>
  <c r="K39" i="2"/>
  <c r="G19" i="3" s="1"/>
  <c r="H19" i="3" s="1"/>
  <c r="B15" i="3"/>
  <c r="M15" i="3" s="1"/>
  <c r="G39" i="2"/>
  <c r="G15" i="3" s="1"/>
  <c r="H15" i="3" s="1"/>
  <c r="B48" i="3"/>
  <c r="K48" i="3" s="1"/>
  <c r="AN39" i="2"/>
  <c r="B40" i="3"/>
  <c r="K40" i="3" s="1"/>
  <c r="AF39" i="2"/>
  <c r="G40" i="3" s="1"/>
  <c r="H40" i="3" s="1"/>
  <c r="B32" i="3"/>
  <c r="L32" i="3" s="1"/>
  <c r="X39" i="2"/>
  <c r="B24" i="3"/>
  <c r="L24" i="3" s="1"/>
  <c r="P39" i="2"/>
  <c r="G24" i="3" s="1"/>
  <c r="H24" i="3" s="1"/>
  <c r="B16" i="3"/>
  <c r="L16" i="3" s="1"/>
  <c r="H39" i="2"/>
  <c r="B38" i="3"/>
  <c r="AD39" i="2"/>
  <c r="G38" i="3" s="1"/>
  <c r="H38" i="3" s="1"/>
  <c r="B22" i="3"/>
  <c r="K22" i="3" s="1"/>
  <c r="N39" i="2"/>
  <c r="G22" i="3" s="1"/>
  <c r="H22" i="3" s="1"/>
  <c r="B27" i="3"/>
  <c r="L27" i="3" s="1"/>
  <c r="S39" i="2"/>
  <c r="G27" i="3" s="1"/>
  <c r="H27" i="3" s="1"/>
  <c r="B23" i="3"/>
  <c r="M23" i="3" s="1"/>
  <c r="O39" i="2"/>
  <c r="B45" i="3"/>
  <c r="K45" i="3" s="1"/>
  <c r="AK39" i="2"/>
  <c r="G45" i="3" s="1"/>
  <c r="H45" i="3" s="1"/>
  <c r="B41" i="3"/>
  <c r="K41" i="3" s="1"/>
  <c r="AG39" i="2"/>
  <c r="B50" i="3"/>
  <c r="M50" i="3" s="1"/>
  <c r="AP39" i="2"/>
  <c r="G50" i="3" s="1"/>
  <c r="H50" i="3" s="1"/>
  <c r="B34" i="3"/>
  <c r="Z39" i="2"/>
  <c r="B18" i="3"/>
  <c r="L18" i="3" s="1"/>
  <c r="J39" i="2"/>
  <c r="G18" i="3" s="1"/>
  <c r="H18" i="3" s="1"/>
  <c r="B47" i="3"/>
  <c r="K47" i="3" s="1"/>
  <c r="AM39" i="2"/>
  <c r="G47" i="3" s="1"/>
  <c r="B37" i="3"/>
  <c r="K37" i="3" s="1"/>
  <c r="AC39" i="2"/>
  <c r="G37" i="3" s="1"/>
  <c r="H37" i="3" s="1"/>
  <c r="B33" i="3"/>
  <c r="L33" i="3" s="1"/>
  <c r="Y39" i="2"/>
  <c r="B29" i="3"/>
  <c r="L29" i="3" s="1"/>
  <c r="U39" i="2"/>
  <c r="G29" i="3" s="1"/>
  <c r="H29" i="3" s="1"/>
  <c r="B17" i="3"/>
  <c r="L17" i="3" s="1"/>
  <c r="I39" i="2"/>
  <c r="G17" i="3" s="1"/>
  <c r="H17" i="3" s="1"/>
  <c r="B51" i="3"/>
  <c r="M51" i="3" s="1"/>
  <c r="AQ39" i="2"/>
  <c r="G51" i="3" s="1"/>
  <c r="H51" i="3" s="1"/>
  <c r="K43" i="3"/>
  <c r="AQ38" i="2"/>
  <c r="S38" i="2"/>
  <c r="U38" i="2"/>
  <c r="M27" i="3"/>
  <c r="AM38" i="2"/>
  <c r="Z38" i="2"/>
  <c r="G33" i="3"/>
  <c r="H33" i="3" s="1"/>
  <c r="M33" i="3"/>
  <c r="O38" i="2"/>
  <c r="AP38" i="2"/>
  <c r="G34" i="3"/>
  <c r="H34" i="3" s="1"/>
  <c r="J38" i="2"/>
  <c r="AG38" i="2"/>
  <c r="AC38" i="2"/>
  <c r="Y38" i="2"/>
  <c r="I38" i="2"/>
  <c r="G48" i="3"/>
  <c r="H48" i="3" s="1"/>
  <c r="AF38" i="2"/>
  <c r="G32" i="3"/>
  <c r="H32" i="3" s="1"/>
  <c r="P38" i="2"/>
  <c r="G16" i="3"/>
  <c r="H16" i="3" s="1"/>
  <c r="AK38" i="2"/>
  <c r="G41" i="3"/>
  <c r="H41" i="3" s="1"/>
  <c r="G23" i="3"/>
  <c r="H23" i="3" s="1"/>
  <c r="AD38" i="2"/>
  <c r="N38" i="2"/>
  <c r="AR38" i="2"/>
  <c r="AJ38" i="2"/>
  <c r="AB38" i="2"/>
  <c r="T38" i="2"/>
  <c r="L38" i="2"/>
  <c r="M21" i="4"/>
  <c r="EN39" i="1"/>
  <c r="GG39" i="1" s="1"/>
  <c r="L52" i="3"/>
  <c r="L36" i="3"/>
  <c r="K20" i="3"/>
  <c r="CU21" i="1"/>
  <c r="E18" i="2"/>
  <c r="CU17" i="1"/>
  <c r="CU25" i="1"/>
  <c r="E17" i="2"/>
  <c r="CU15" i="1"/>
  <c r="E19" i="2"/>
  <c r="CU19" i="1"/>
  <c r="CU23" i="1"/>
  <c r="GG6" i="1"/>
  <c r="K14" i="3" l="1"/>
  <c r="L26" i="3"/>
  <c r="N26" i="3" s="1"/>
  <c r="L48" i="3"/>
  <c r="K28" i="3"/>
  <c r="L44" i="3"/>
  <c r="M16" i="3"/>
  <c r="L46" i="3"/>
  <c r="CW23" i="7"/>
  <c r="DQ6" i="7" s="1"/>
  <c r="EK6" i="7" s="1"/>
  <c r="J21" i="10" s="1"/>
  <c r="CD23" i="7"/>
  <c r="K32" i="3"/>
  <c r="M45" i="3"/>
  <c r="K24" i="3"/>
  <c r="L40" i="3"/>
  <c r="M38" i="3"/>
  <c r="L41" i="3"/>
  <c r="K29" i="3"/>
  <c r="M26" i="3"/>
  <c r="M30" i="3"/>
  <c r="M43" i="3"/>
  <c r="K35" i="3"/>
  <c r="M20" i="3"/>
  <c r="M28" i="3"/>
  <c r="K16" i="3"/>
  <c r="M24" i="3"/>
  <c r="N24" i="3" s="1"/>
  <c r="M32" i="3"/>
  <c r="M22" i="3"/>
  <c r="L38" i="3"/>
  <c r="K50" i="3"/>
  <c r="M37" i="3"/>
  <c r="M34" i="3"/>
  <c r="K31" i="3"/>
  <c r="M25" i="3"/>
  <c r="M19" i="3"/>
  <c r="L25" i="3"/>
  <c r="L23" i="3"/>
  <c r="N20" i="3"/>
  <c r="M36" i="3"/>
  <c r="N36" i="3" s="1"/>
  <c r="M44" i="3"/>
  <c r="M52" i="3"/>
  <c r="N52" i="3" s="1"/>
  <c r="M40" i="3"/>
  <c r="M48" i="3"/>
  <c r="L14" i="3"/>
  <c r="L22" i="3"/>
  <c r="K38" i="3"/>
  <c r="K46" i="3"/>
  <c r="K23" i="3"/>
  <c r="L45" i="3"/>
  <c r="N45" i="3" s="1"/>
  <c r="M47" i="3"/>
  <c r="K27" i="3"/>
  <c r="N27" i="3" s="1"/>
  <c r="K33" i="3"/>
  <c r="N33" i="3" s="1"/>
  <c r="M41" i="3"/>
  <c r="N41" i="3" s="1"/>
  <c r="M18" i="3"/>
  <c r="L50" i="3"/>
  <c r="K30" i="3"/>
  <c r="K15" i="3"/>
  <c r="K42" i="3"/>
  <c r="M21" i="3"/>
  <c r="L49" i="3"/>
  <c r="L15" i="3"/>
  <c r="M39" i="3"/>
  <c r="L42" i="3"/>
  <c r="M35" i="3"/>
  <c r="L21" i="3"/>
  <c r="K39" i="3"/>
  <c r="K25" i="3"/>
  <c r="K18" i="3"/>
  <c r="M17" i="3"/>
  <c r="K21" i="3"/>
  <c r="K17" i="3"/>
  <c r="L47" i="3"/>
  <c r="N43" i="3"/>
  <c r="K19" i="3"/>
  <c r="M29" i="3"/>
  <c r="N29" i="3" s="1"/>
  <c r="L31" i="3"/>
  <c r="M49" i="3"/>
  <c r="K51" i="3"/>
  <c r="L51" i="3"/>
  <c r="L37" i="3"/>
  <c r="L34" i="3"/>
  <c r="K34" i="3"/>
  <c r="N28" i="3"/>
  <c r="EN21" i="1"/>
  <c r="E36" i="2"/>
  <c r="E37" i="2" s="1"/>
  <c r="EN15" i="1"/>
  <c r="GG15" i="1" s="1"/>
  <c r="N18" i="3" l="1"/>
  <c r="N30" i="3"/>
  <c r="N14" i="3"/>
  <c r="N44" i="3"/>
  <c r="N17" i="3"/>
  <c r="N23" i="3"/>
  <c r="N46" i="3"/>
  <c r="N32" i="3"/>
  <c r="N16" i="3"/>
  <c r="N48" i="3"/>
  <c r="CX23" i="7"/>
  <c r="DR6" i="7" s="1"/>
  <c r="EL6" i="7" s="1"/>
  <c r="J22" i="10" s="1"/>
  <c r="CE23" i="7"/>
  <c r="N38" i="3"/>
  <c r="GG21" i="1"/>
  <c r="N15" i="3"/>
  <c r="N40" i="3"/>
  <c r="N31" i="3"/>
  <c r="N50" i="3"/>
  <c r="N19" i="3"/>
  <c r="N21" i="3"/>
  <c r="N22" i="3"/>
  <c r="N25" i="3"/>
  <c r="N49" i="3"/>
  <c r="N47" i="3"/>
  <c r="N42" i="3"/>
  <c r="N39" i="3"/>
  <c r="N35" i="3"/>
  <c r="N34" i="3"/>
  <c r="N37" i="3"/>
  <c r="B13" i="3"/>
  <c r="E39" i="2"/>
  <c r="G13" i="3" s="1"/>
  <c r="N51" i="3"/>
  <c r="EO21" i="1"/>
  <c r="EP21" i="1" s="1"/>
  <c r="K13" i="3"/>
  <c r="E38" i="2"/>
  <c r="HZ6" i="1"/>
  <c r="JS6" i="1" s="1"/>
  <c r="J13" i="3" s="1"/>
  <c r="CY23" i="7" l="1"/>
  <c r="DS6" i="7" s="1"/>
  <c r="EM6" i="7" s="1"/>
  <c r="J23" i="10" s="1"/>
  <c r="CF23" i="7"/>
  <c r="C16" i="4"/>
  <c r="E16" i="4" s="1"/>
  <c r="C17" i="4"/>
  <c r="E17" i="4" s="1"/>
  <c r="C15" i="4"/>
  <c r="E15" i="4" s="1"/>
  <c r="GH21" i="1"/>
  <c r="IA6" i="1" s="1"/>
  <c r="JT6" i="1" s="1"/>
  <c r="J14" i="3" s="1"/>
  <c r="M13" i="3"/>
  <c r="L13" i="3"/>
  <c r="H13" i="3"/>
  <c r="GI21" i="1"/>
  <c r="IB6" i="1" s="1"/>
  <c r="JU6" i="1" s="1"/>
  <c r="J15" i="3" s="1"/>
  <c r="EQ21" i="1"/>
  <c r="CZ23" i="7" l="1"/>
  <c r="DT6" i="7" s="1"/>
  <c r="EN6" i="7" s="1"/>
  <c r="J24" i="10" s="1"/>
  <c r="CG23" i="7"/>
  <c r="N13" i="3"/>
  <c r="C18" i="4"/>
  <c r="E18" i="4" s="1"/>
  <c r="F15" i="4" s="1"/>
  <c r="GJ21" i="1"/>
  <c r="IC6" i="1" s="1"/>
  <c r="JV6" i="1" s="1"/>
  <c r="J16" i="3" s="1"/>
  <c r="ER21" i="1"/>
  <c r="F16" i="4" l="1"/>
  <c r="F17" i="4"/>
  <c r="DA23" i="7"/>
  <c r="DU6" i="7" s="1"/>
  <c r="EO6" i="7" s="1"/>
  <c r="J25" i="10" s="1"/>
  <c r="CH23" i="7"/>
  <c r="GK21" i="1"/>
  <c r="ID6" i="1" s="1"/>
  <c r="JW6" i="1" s="1"/>
  <c r="J17" i="3" s="1"/>
  <c r="ES21" i="1"/>
  <c r="E17" i="6" l="1"/>
  <c r="DB23" i="7"/>
  <c r="DV6" i="7" s="1"/>
  <c r="EP6" i="7" s="1"/>
  <c r="J26" i="10" s="1"/>
  <c r="CI23" i="7"/>
  <c r="F28" i="4"/>
  <c r="F18" i="4"/>
  <c r="E18" i="6" s="1"/>
  <c r="GL21" i="1"/>
  <c r="IE6" i="1" s="1"/>
  <c r="JX6" i="1" s="1"/>
  <c r="J18" i="3" s="1"/>
  <c r="ET21" i="1"/>
  <c r="E19" i="6" l="1"/>
  <c r="B22" i="6" s="1"/>
  <c r="DC23" i="7"/>
  <c r="DW6" i="7" s="1"/>
  <c r="EQ6" i="7" s="1"/>
  <c r="J27" i="10" s="1"/>
  <c r="CJ23" i="7"/>
  <c r="GM21" i="1"/>
  <c r="IF6" i="1" s="1"/>
  <c r="JY6" i="1" s="1"/>
  <c r="J19" i="3" s="1"/>
  <c r="EU21" i="1"/>
  <c r="EV21" i="1" s="1"/>
  <c r="GO21" i="1" s="1"/>
  <c r="IH6" i="1" s="1"/>
  <c r="KA6" i="1" s="1"/>
  <c r="J21" i="3" s="1"/>
  <c r="DD23" i="7" l="1"/>
  <c r="DX6" i="7" s="1"/>
  <c r="ER6" i="7" s="1"/>
  <c r="J28" i="10" s="1"/>
  <c r="EW21" i="1"/>
  <c r="EX21" i="1" s="1"/>
  <c r="GN21" i="1"/>
  <c r="IG6" i="1" s="1"/>
  <c r="JZ6" i="1" s="1"/>
  <c r="J20" i="3" s="1"/>
  <c r="GQ21" i="1" l="1"/>
  <c r="IJ6" i="1" s="1"/>
  <c r="KC6" i="1" s="1"/>
  <c r="J23" i="3" s="1"/>
  <c r="EY21" i="1"/>
  <c r="GR21" i="1" s="1"/>
  <c r="IK6" i="1" s="1"/>
  <c r="KD6" i="1" s="1"/>
  <c r="J24" i="3" s="1"/>
  <c r="GP21" i="1"/>
  <c r="II6" i="1" s="1"/>
  <c r="KB6" i="1" s="1"/>
  <c r="J22" i="3" s="1"/>
  <c r="EZ21" i="1" l="1"/>
  <c r="FA21" i="1" s="1"/>
  <c r="GT21" i="1" s="1"/>
  <c r="IM6" i="1" s="1"/>
  <c r="KF6" i="1" s="1"/>
  <c r="J26" i="3" s="1"/>
  <c r="GS21" i="1" l="1"/>
  <c r="IL6" i="1" s="1"/>
  <c r="KE6" i="1" s="1"/>
  <c r="J25" i="3" s="1"/>
  <c r="FB21" i="1"/>
  <c r="GU21" i="1" s="1"/>
  <c r="IN6" i="1" s="1"/>
  <c r="KG6" i="1" s="1"/>
  <c r="J27" i="3" s="1"/>
  <c r="FC21" i="1" l="1"/>
  <c r="FD21" i="1" s="1"/>
  <c r="GV21" i="1" l="1"/>
  <c r="IO6" i="1" s="1"/>
  <c r="KH6" i="1" s="1"/>
  <c r="J28" i="3" s="1"/>
  <c r="GW21" i="1"/>
  <c r="IP6" i="1" s="1"/>
  <c r="KI6" i="1" s="1"/>
  <c r="J29" i="3" s="1"/>
  <c r="FE21" i="1"/>
  <c r="GX21" i="1" s="1"/>
  <c r="IQ6" i="1" s="1"/>
  <c r="KJ6" i="1" s="1"/>
  <c r="J30" i="3" s="1"/>
  <c r="FF21" i="1" l="1"/>
  <c r="GY21" i="1" l="1"/>
  <c r="IR6" i="1" s="1"/>
  <c r="KK6" i="1" s="1"/>
  <c r="J31" i="3" s="1"/>
  <c r="FG21" i="1"/>
  <c r="GZ21" i="1" l="1"/>
  <c r="IS6" i="1" s="1"/>
  <c r="KL6" i="1" s="1"/>
  <c r="J32" i="3" s="1"/>
  <c r="FH21" i="1"/>
  <c r="HA21" i="1" s="1"/>
  <c r="IT6" i="1" s="1"/>
  <c r="KM6" i="1" s="1"/>
  <c r="J33" i="3" s="1"/>
  <c r="FI21" i="1" l="1"/>
  <c r="HB21" i="1" l="1"/>
  <c r="IU6" i="1" s="1"/>
  <c r="KN6" i="1" s="1"/>
  <c r="J34" i="3" s="1"/>
  <c r="FJ21" i="1"/>
  <c r="HC21" i="1" l="1"/>
  <c r="IV6" i="1" s="1"/>
  <c r="KO6" i="1" s="1"/>
  <c r="J35" i="3" s="1"/>
  <c r="FK21" i="1"/>
  <c r="HD21" i="1" s="1"/>
  <c r="IW6" i="1" s="1"/>
  <c r="KP6" i="1" s="1"/>
  <c r="J36" i="3" s="1"/>
  <c r="FL21" i="1" l="1"/>
  <c r="HE21" i="1" s="1"/>
  <c r="IX6" i="1" s="1"/>
  <c r="KQ6" i="1" s="1"/>
  <c r="J37" i="3" s="1"/>
  <c r="FM21" i="1" l="1"/>
  <c r="HF21" i="1" s="1"/>
  <c r="IY6" i="1" s="1"/>
  <c r="KR6" i="1" s="1"/>
  <c r="J38" i="3" s="1"/>
  <c r="FN21" i="1" l="1"/>
  <c r="HG21" i="1" s="1"/>
  <c r="IZ6" i="1" s="1"/>
  <c r="KS6" i="1" s="1"/>
  <c r="J39" i="3" s="1"/>
  <c r="FO21" i="1" l="1"/>
  <c r="HH21" i="1" s="1"/>
  <c r="JA6" i="1" s="1"/>
  <c r="KT6" i="1" s="1"/>
  <c r="J40" i="3" s="1"/>
  <c r="FP21" i="1" l="1"/>
  <c r="HI21" i="1" s="1"/>
  <c r="JB6" i="1" s="1"/>
  <c r="KU6" i="1" s="1"/>
  <c r="J41" i="3" s="1"/>
  <c r="FQ21" i="1" l="1"/>
  <c r="HJ21" i="1" s="1"/>
  <c r="JC6" i="1" s="1"/>
  <c r="KV6" i="1" s="1"/>
  <c r="J42" i="3" s="1"/>
  <c r="FR21" i="1" l="1"/>
  <c r="HK21" i="1" s="1"/>
  <c r="JD6" i="1" s="1"/>
  <c r="KW6" i="1" s="1"/>
  <c r="J43" i="3" s="1"/>
  <c r="FS21" i="1" l="1"/>
  <c r="HL21" i="1" s="1"/>
  <c r="JE6" i="1" s="1"/>
  <c r="KX6" i="1" s="1"/>
  <c r="J44" i="3" s="1"/>
  <c r="FT21" i="1" l="1"/>
  <c r="HM21" i="1" s="1"/>
  <c r="JF6" i="1" s="1"/>
  <c r="KY6" i="1" s="1"/>
  <c r="J45" i="3" s="1"/>
  <c r="FU21" i="1" l="1"/>
  <c r="HN21" i="1" s="1"/>
  <c r="JG6" i="1" s="1"/>
  <c r="KZ6" i="1" s="1"/>
  <c r="J46" i="3" s="1"/>
  <c r="FV21" i="1" l="1"/>
  <c r="HO21" i="1" s="1"/>
  <c r="JH6" i="1" s="1"/>
  <c r="LA6" i="1" s="1"/>
  <c r="J47" i="3" s="1"/>
  <c r="H47" i="3" s="1"/>
  <c r="FW21" i="1" l="1"/>
  <c r="HP21" i="1" s="1"/>
  <c r="JI6" i="1" s="1"/>
  <c r="LB6" i="1" s="1"/>
  <c r="J48" i="3" s="1"/>
  <c r="FX21" i="1" l="1"/>
  <c r="HQ21" i="1" s="1"/>
  <c r="JJ6" i="1" s="1"/>
  <c r="LC6" i="1" s="1"/>
  <c r="J49" i="3" s="1"/>
  <c r="FY21" i="1" l="1"/>
  <c r="HR21" i="1" s="1"/>
  <c r="JK6" i="1" s="1"/>
  <c r="LD6" i="1" s="1"/>
  <c r="J50" i="3" s="1"/>
  <c r="FZ21" i="1" l="1"/>
  <c r="HS21" i="1" s="1"/>
  <c r="JL6" i="1" s="1"/>
  <c r="LE6" i="1" s="1"/>
  <c r="J51" i="3" s="1"/>
  <c r="GA21" i="1" l="1"/>
  <c r="HT21" i="1" l="1"/>
  <c r="JM6" i="1" s="1"/>
  <c r="LF6" i="1" s="1"/>
  <c r="J52" i="3" s="1"/>
  <c r="GB21" i="1"/>
  <c r="GC21" i="1" l="1"/>
  <c r="HU21" i="1"/>
  <c r="JN6" i="1" s="1"/>
  <c r="LG6" i="1" s="1"/>
  <c r="J53" i="3" s="1"/>
  <c r="HV21" i="1" l="1"/>
  <c r="JO6" i="1" s="1"/>
  <c r="LH6" i="1" s="1"/>
  <c r="J54" i="3" s="1"/>
  <c r="GD21" i="1"/>
  <c r="HW21" i="1" l="1"/>
  <c r="JP6" i="1" s="1"/>
  <c r="LI6" i="1" s="1"/>
  <c r="J55" i="3" s="1"/>
  <c r="GE21" i="1"/>
  <c r="GF21" i="1" l="1"/>
  <c r="HX21" i="1"/>
  <c r="JQ6" i="1" s="1"/>
  <c r="LJ6" i="1" s="1"/>
  <c r="J56" i="3" s="1"/>
  <c r="H56" i="3" s="1"/>
  <c r="HY21" i="1" l="1"/>
  <c r="JR6" i="1" s="1"/>
  <c r="LK6" i="1" s="1"/>
  <c r="J57" i="3" s="1"/>
</calcChain>
</file>

<file path=xl/sharedStrings.xml><?xml version="1.0" encoding="utf-8"?>
<sst xmlns="http://schemas.openxmlformats.org/spreadsheetml/2006/main" count="3933" uniqueCount="298">
  <si>
    <t>A.</t>
  </si>
  <si>
    <t>MATERI</t>
  </si>
  <si>
    <t xml:space="preserve">pilihan jawaban homogin </t>
  </si>
  <si>
    <t>menanyakan perilaku dan materi yang akan diukur</t>
  </si>
  <si>
    <t>mempunyai satu jawaban benar</t>
  </si>
  <si>
    <t>bentuk soal pilihan ganda dengan 5 opsi</t>
  </si>
  <si>
    <t>B.</t>
  </si>
  <si>
    <t>KONSTRUKSI</t>
  </si>
  <si>
    <t>Panjang rumusan pilihan jawaban harus relatif sama.</t>
  </si>
  <si>
    <t>Pilihan jawaban jangan mengandung pernyataan, “Semua pilihan jawaban di atas salah” atau “Semua pilihan jawabandi atas benar”.</t>
  </si>
  <si>
    <t>Pilihan jawaban yang berbentuk angka atau waktu harus disusun berdasarkan urutan besar kecilnya nilai angka tersebut atau kronologisnya.</t>
  </si>
  <si>
    <t>Gambar, grafik, tabel, diagram, dan sejenisnya yang terdapat pada soal harus jelas dan berfungsi.</t>
  </si>
  <si>
    <t>pokok soal tidak membingungkan peserta ujian</t>
  </si>
  <si>
    <t>pokok soal dirumuskan tegas</t>
  </si>
  <si>
    <t>pokok soal merupakan pernyataan yang diperlukan</t>
  </si>
  <si>
    <t>pokok soal tidak memuat kata atau kalimat yang menunjuk ke arah jawaban benar</t>
  </si>
  <si>
    <t xml:space="preserve">pokok soal tidak memuat kata "tidak" dan "kecuali" </t>
  </si>
  <si>
    <t>rumusan pilihan tidak terkesan memberi informasi yang lengkap</t>
  </si>
  <si>
    <t>Pilihan jawaban tidak memuat pernyataan “Semua pilihan jawaban di atas salah” atau “Semua pilihan jawaban di atas benar”.</t>
  </si>
  <si>
    <t xml:space="preserve">Pilihan jawaban dirumuskan agar peserta didik mengetahui akan jawaban dan tidak terkesan kurang atau lebih </t>
  </si>
  <si>
    <t>Pilihan jawaban diurutkan dari besar ke kecil atau kecil ke besar</t>
  </si>
  <si>
    <t>Pilihan jawaban mempermudah peserta didik memilih pilihan jawaban</t>
  </si>
  <si>
    <t>Antara gambar dan pilihan jawaban terhubung dengan kalimat yang sesuai</t>
  </si>
  <si>
    <t>Ukuran pada gambar tidak boleh ada yang kurang sehingga peserta didik tidak bisa menjawab</t>
  </si>
  <si>
    <t>C.</t>
  </si>
  <si>
    <t>BAHASA</t>
  </si>
  <si>
    <t>Setiap soal harus menggunakan bahasa yang sesuai dengan kaidah bahasa Indonesia.</t>
  </si>
  <si>
    <t>Jangan menggunakan bahasa yang berlaku setempat jika soal akan digunakan untuk daerah lain atau nasional.</t>
  </si>
  <si>
    <t>Setiap soal harus menggunakan bahasa yang komunikatif.</t>
  </si>
  <si>
    <t>Setiap pilihan jawaban jangan mengulang kata atau frase yang bukan merupakan satu kesatuan pengertian</t>
  </si>
  <si>
    <t>Tidak memuat kata atau kalimat dengan bahasa daerah tertentu</t>
  </si>
  <si>
    <t>Soal tidak merugikan peserta didik karena tidak tahu bahasa daerah tertentu</t>
  </si>
  <si>
    <t>Tidak memuat kata atau kalimat yang merupakan bahasa tulisan</t>
  </si>
  <si>
    <t>Soal menggunakan bahasa Indonesia sesuai EYD</t>
  </si>
  <si>
    <t>Pilihan jawaban tidak memuat kata atau kalimat yang diulang-ulang</t>
  </si>
  <si>
    <t xml:space="preserve">Pilihan jawaban tidak menyita waktu peserta didik untuk membaca </t>
  </si>
  <si>
    <t>KAIDAH PENULISAN SOAL</t>
  </si>
  <si>
    <t>HOTS</t>
  </si>
  <si>
    <t>II.</t>
  </si>
  <si>
    <t>III.</t>
  </si>
  <si>
    <t xml:space="preserve">I. </t>
  </si>
  <si>
    <t xml:space="preserve">B. </t>
  </si>
  <si>
    <t>tidak menyinggung suku</t>
  </si>
  <si>
    <t>tidak menyinggung agama</t>
  </si>
  <si>
    <t>tidak menyinggung ras</t>
  </si>
  <si>
    <t>tidak menyinggung antar golongan</t>
  </si>
  <si>
    <t>tidak bermuatan politik</t>
  </si>
  <si>
    <t>tidak bermuatan pornografi</t>
  </si>
  <si>
    <t>tidak bermuatan promosi</t>
  </si>
  <si>
    <t>tidak bermuatan kekerasan</t>
  </si>
  <si>
    <t>tidak menimbulkann efek negatif lainnya</t>
  </si>
  <si>
    <t>skor soal</t>
  </si>
  <si>
    <t>rekomendasi No.</t>
  </si>
  <si>
    <t>kategori</t>
  </si>
  <si>
    <t>aspek lemah</t>
  </si>
  <si>
    <t xml:space="preserve">Soal mengukur cara berfikir logis atau proses penalaran </t>
  </si>
  <si>
    <t>●</t>
  </si>
  <si>
    <t>Peserta didik mentransfer informasi tersebut dari satu konteks ke konteks lainnya</t>
  </si>
  <si>
    <t>Peserta didik memproses dan menerapkan informasi</t>
  </si>
  <si>
    <t>Peserta didik melihat keterkaitan antara informasi yang berbeda-beda</t>
  </si>
  <si>
    <t>Peserta didik menggunakan informasi untuk menyelesaikan masalah</t>
  </si>
  <si>
    <t>Peserta didik secara kritis mengkaji/menelaah ide atau gagasan dan informasi</t>
  </si>
  <si>
    <t>Soal memuat pertanyaan dan jawaban;</t>
  </si>
  <si>
    <t>Soal mendorong melakukan eksplorasi dan analisis;</t>
  </si>
  <si>
    <t>Peserta didik bernalar ketika memperoleh informasi, bukan mengingatnya kembali;</t>
  </si>
  <si>
    <t>Peserta didik memecahkan, menilai, mengkritik dan menerjemahkan;</t>
  </si>
  <si>
    <t>Soal mengukur proses kognitif antara lain analisis, sintesis, dan evaluasi</t>
  </si>
  <si>
    <t>HAL-HAL PENTING</t>
  </si>
  <si>
    <t>sesuai kisi-kisi soal yang ditetapkan</t>
  </si>
  <si>
    <t>Mata Pelajaran</t>
  </si>
  <si>
    <t>Jumlah Soal</t>
  </si>
  <si>
    <t>Soal mempunyai satu jawaban yang benar atau yang paling benar.</t>
  </si>
  <si>
    <t xml:space="preserve">Pilihan jawaban homogen dan logis </t>
  </si>
  <si>
    <t>Soal sesuai dengan indikator.</t>
  </si>
  <si>
    <t xml:space="preserve">pilihan jawaban logis </t>
  </si>
  <si>
    <t>Pokok soal dirumuskan secara jelas dan tegas.</t>
  </si>
  <si>
    <t>Pokok soal dan pilihan jawaban merupakan pernyataan yang diperlukan</t>
  </si>
  <si>
    <t>pilihan jawaban merupakan pernyataan yang diperlukan</t>
  </si>
  <si>
    <t>Pokok soal tidak memberi petunjuk ke arah jawaban benar.</t>
  </si>
  <si>
    <t>Pokok soal memiliki jawaban benar</t>
  </si>
  <si>
    <t>Pokok soal tidak mengandung pernyataan yang bersifat negatif ganda.</t>
  </si>
  <si>
    <t>pokok soal yang memuat kata "tidak" atau "bukan" diberi tanda khusus</t>
  </si>
  <si>
    <t>pilihan jawaban merupakan kata yang diperlukan saja</t>
  </si>
  <si>
    <t>Butir soal tidak bergantung pada jawaban soal sebelumnya.</t>
  </si>
  <si>
    <t>Soal tidak bergantung pada pilihan jawaban soal sebelumnya</t>
  </si>
  <si>
    <t>Jawaban yang benar tidak terkait dengan pokok soal lainnya</t>
  </si>
  <si>
    <t>menggunakan aturan penulisan kalimat yang benar</t>
  </si>
  <si>
    <t>menggunakan ejaan, kata dan kalimat yang baku</t>
  </si>
  <si>
    <t>Soal tidak menyinggung SARA</t>
  </si>
  <si>
    <t>Penulis Soal</t>
  </si>
  <si>
    <t>Penelaah Soal</t>
  </si>
  <si>
    <t>KOMPONEN</t>
  </si>
  <si>
    <t>NO</t>
  </si>
  <si>
    <t>INDIKATOR</t>
  </si>
  <si>
    <t>NOMOR SOAL</t>
  </si>
  <si>
    <t>INSTRUMEN TELAAH SOAL PILIHAN GANDA</t>
  </si>
  <si>
    <t>A</t>
  </si>
  <si>
    <t>B</t>
  </si>
  <si>
    <t xml:space="preserve">Soal tidak bermuatan politik, pornografi, promosi produk komersil (iklan), kekerasan, dan bentuk lainnya yang dapat menimbulkan efek negatif </t>
  </si>
  <si>
    <t>C</t>
  </si>
  <si>
    <t>D</t>
  </si>
  <si>
    <t>E</t>
  </si>
  <si>
    <t>Soal memuat stimulus (pernyataan, tabel, grafik, hasil dari percobaan yang dilakukan, laporan, bahan bacaan, hasil observasi, dll) menarik dan kontekstual</t>
  </si>
  <si>
    <t>F</t>
  </si>
  <si>
    <t>IV.</t>
  </si>
  <si>
    <t>Memahami</t>
  </si>
  <si>
    <t>Mengaplikasikan</t>
  </si>
  <si>
    <t>Menganalisis</t>
  </si>
  <si>
    <t>Mengevaluasi</t>
  </si>
  <si>
    <t>Mengkreasi</t>
  </si>
  <si>
    <t>DIMENSI PROSES KOGNITIF</t>
  </si>
  <si>
    <t>Mengingat</t>
  </si>
  <si>
    <t>C1</t>
  </si>
  <si>
    <t>C2</t>
  </si>
  <si>
    <t>C3</t>
  </si>
  <si>
    <t>C4</t>
  </si>
  <si>
    <t>C5</t>
  </si>
  <si>
    <t>C6</t>
  </si>
  <si>
    <t>mengenali</t>
  </si>
  <si>
    <t>mengingat kembali</t>
  </si>
  <si>
    <t>menafsirkan</t>
  </si>
  <si>
    <t>mencontohkan</t>
  </si>
  <si>
    <t>mengklasifikasikan</t>
  </si>
  <si>
    <t>merangkum</t>
  </si>
  <si>
    <t>menyimpulkan</t>
  </si>
  <si>
    <t>membandingkan</t>
  </si>
  <si>
    <t>menjelaskan</t>
  </si>
  <si>
    <t>mengeksekusi</t>
  </si>
  <si>
    <t>mengimplemenatsikan</t>
  </si>
  <si>
    <t>membedakan</t>
  </si>
  <si>
    <t>mengorganisasikan</t>
  </si>
  <si>
    <t>mengatribusikan</t>
  </si>
  <si>
    <t>memeriksa</t>
  </si>
  <si>
    <t>mengkritik</t>
  </si>
  <si>
    <t>merumuskan</t>
  </si>
  <si>
    <t>merencanakan</t>
  </si>
  <si>
    <t>memproduksi</t>
  </si>
  <si>
    <t>Soal mengambil pengetahuan dari memori jangka panjang, ditandai dengan kata kerja operasional</t>
  </si>
  <si>
    <t>Soal mengkonstruk makna dari materi pembelajaran, termasuk apa yang diucapkan, ditulis, dan digambar oleh guru dengan kata kerja operasional</t>
  </si>
  <si>
    <t>Soal menerapkan atau menggunakan suatu prosedur dalam keadaan tertentu dengan kata kerja operasional</t>
  </si>
  <si>
    <t>Soal memecah-mecah materi jadi bagian-bagian penyusunnya dan menentukan hubungan-hubungan antarbagian itu dan hubungan antara bagian-bagian tersebut dan keseluruhan struktur atau tujuan</t>
  </si>
  <si>
    <t>Soal mengambil keputusan berdasarkan kriteria dan atau standar</t>
  </si>
  <si>
    <t>Soal memadukan bagian-bagian untuk membentuk sesuatu yang baru dan koheren atau untuk membuat suatu produk yang orisinal</t>
  </si>
  <si>
    <t>:</t>
  </si>
  <si>
    <t>Jumlah Skor Hasil Telaan</t>
  </si>
  <si>
    <t>Mengetahui</t>
  </si>
  <si>
    <t>Pembina</t>
  </si>
  <si>
    <t>NIP</t>
  </si>
  <si>
    <t>Penanggung Jawab/Pendamping</t>
  </si>
  <si>
    <t>Keterangan</t>
  </si>
  <si>
    <t>Kategori *)</t>
  </si>
  <si>
    <t>Tindak Lanjut **)</t>
  </si>
  <si>
    <t>Ditolak</t>
  </si>
  <si>
    <t>Diperbaiki</t>
  </si>
  <si>
    <t>Nilai Akhir</t>
  </si>
  <si>
    <t>NA &lt;81</t>
  </si>
  <si>
    <t xml:space="preserve">Diterima </t>
  </si>
  <si>
    <t>Jumlah Butir Soal</t>
  </si>
  <si>
    <t>Penelaah</t>
  </si>
  <si>
    <t>Butir Soal</t>
  </si>
  <si>
    <t>Rekomendasi</t>
  </si>
  <si>
    <t/>
  </si>
  <si>
    <t>REKAPITULASI HASIL TELAAH BUTIR SOAL PILIHAN GANDA</t>
  </si>
  <si>
    <t>Pengawas Pembina</t>
  </si>
  <si>
    <t>REKAPITULASI HASIL TELAAH BUTIR SOAL</t>
  </si>
  <si>
    <t>No.</t>
  </si>
  <si>
    <t>Jumlah</t>
  </si>
  <si>
    <t>%</t>
  </si>
  <si>
    <t>Dimensi</t>
  </si>
  <si>
    <t>Digunakan</t>
  </si>
  <si>
    <t>Menerapkan</t>
  </si>
  <si>
    <t>Dimensi Kognitif</t>
  </si>
  <si>
    <t>Proses Kognitif</t>
  </si>
  <si>
    <t>Level Kognitif</t>
  </si>
  <si>
    <t>REKOMENDASI</t>
  </si>
  <si>
    <t>LEVEL KOGNITIF</t>
  </si>
  <si>
    <t>Level 1</t>
  </si>
  <si>
    <t>Level 2</t>
  </si>
  <si>
    <t>Level 3</t>
  </si>
  <si>
    <t>ASPEK</t>
  </si>
  <si>
    <t>DESKRIPTOR</t>
  </si>
  <si>
    <t>NA ≥ 91</t>
  </si>
  <si>
    <t>81 ≤ NA &lt; 91</t>
  </si>
  <si>
    <t>Penyusun Kisi-kisi dan Soal</t>
  </si>
  <si>
    <t>Sekolah</t>
  </si>
  <si>
    <t>Alamat</t>
  </si>
  <si>
    <t>Kurikulum</t>
  </si>
  <si>
    <t>Pelaksanaan Telaah</t>
  </si>
  <si>
    <t>Kabupaten</t>
  </si>
  <si>
    <t>Provinsi</t>
  </si>
  <si>
    <t xml:space="preserve">Level </t>
  </si>
  <si>
    <t xml:space="preserve">Petunjuk </t>
  </si>
  <si>
    <t>telaah soal</t>
  </si>
  <si>
    <t>Isilah kolom telaah soal dengan tanda "V" untuk yang sesuai atau tanda "X" untuk yang tidak sesuai pada setiap cel yang diblok warna hijau</t>
  </si>
  <si>
    <t>Penulis Kisi-kisi dan Soal</t>
  </si>
  <si>
    <t>butir</t>
  </si>
  <si>
    <t>gabungan aspek lemah</t>
  </si>
  <si>
    <t xml:space="preserve">BIODATA ANALISIS KUALITATIF BUTIR SOAL </t>
  </si>
  <si>
    <t>KOP SEKOLAH</t>
  </si>
  <si>
    <t>BERITA ACARA</t>
  </si>
  <si>
    <t xml:space="preserve">a. </t>
  </si>
  <si>
    <t>b.</t>
  </si>
  <si>
    <t>Catatan selama pelaksanaan kegiatan :</t>
  </si>
  <si>
    <t xml:space="preserve">Kurikulum </t>
  </si>
  <si>
    <t>Hari Telaah</t>
  </si>
  <si>
    <t>Tahun Pelajaran</t>
  </si>
  <si>
    <t>Tindak Lanjut</t>
  </si>
  <si>
    <t>Yang melakukan telaah</t>
  </si>
  <si>
    <t>Tim Penelaah</t>
  </si>
  <si>
    <t>Guru</t>
  </si>
  <si>
    <t>Berita Acara ini dibuat sesungguhnya dengan instrumen telaah terlampir</t>
  </si>
  <si>
    <t>Isi materi sesuai dengan tujuan pengukuran</t>
  </si>
  <si>
    <t>Buatlah petunjuk yang jelas tentang cara mengerjakan soal</t>
  </si>
  <si>
    <t>Buatlah pedoman penskoran segera setelah soal ditulis</t>
  </si>
  <si>
    <t>Rumusan soal sudah mempertimbangkan segi bahasa dan budaya</t>
  </si>
  <si>
    <t>Jangan menggunakan bahasa yang berlaku setempat</t>
  </si>
  <si>
    <t>ruang lingkup pertanyaan jelas</t>
  </si>
  <si>
    <t>ruang lingkup jawaban jelas</t>
  </si>
  <si>
    <t>Batasan pertanyaan dan jawaban yang diharapkan jelas</t>
  </si>
  <si>
    <t>menanyakan kompetensi sesuai mata pelajaran</t>
  </si>
  <si>
    <t>materi sesuai tujuan pengukuran</t>
  </si>
  <si>
    <t>mengukur tingkat kompetensi sesuai jenjang sekolah</t>
  </si>
  <si>
    <t>mengukur tingkat kompetensi sesuai tingkat kelas</t>
  </si>
  <si>
    <t>Isi materi yang ditanyakan sudah sesuai dengan jenjang dan tingkat kelas</t>
  </si>
  <si>
    <t>Rumusan pertanyaan menggunakan kata-kata tanya yang menuntut jawaban terurai</t>
  </si>
  <si>
    <t>menggunakan kata tanya: mengapa,
uraikan, jelaskan, bandingkan, hubungkan, tafsirkan, buktikan,
hitunglah</t>
  </si>
  <si>
    <t>tidak menggunakan kata tanya: siapa, di mana, kapan</t>
  </si>
  <si>
    <t>petunjuk mengerjakan soal jelas</t>
  </si>
  <si>
    <t>petunjuk mengerjakan menggunakan tanda seru</t>
  </si>
  <si>
    <t>memuat cara menguraikan komponen yang akan dinilai atau kriteria penskoran</t>
  </si>
  <si>
    <t xml:space="preserve">memuat rentang skor yang dapat diperoleh
untuk setiap kriteria dalam soal yang bersangkutan.   </t>
  </si>
  <si>
    <t>memuat kalimat dan kata-kata yang sederhana</t>
  </si>
  <si>
    <t>Soal menggunakan bahasa yang sederhana dan komunikatif</t>
  </si>
  <si>
    <t>memuat kalimat dan kata-kata yang mudah dipahami</t>
  </si>
  <si>
    <t>Soal tidak menyinggung perasaan peserta didik atau kelompok tertentu</t>
  </si>
  <si>
    <t>Tabel, gambar, grafik, peta, atau yang sejenisnya harus disajikan dengan jelas, berfungsi, dan terbaca</t>
  </si>
  <si>
    <t xml:space="preserve">Soal tidak menggunakan kata-kata yang menimbulkan penafsiran ganda </t>
  </si>
  <si>
    <t>Soal menggunakan Bahasa Indonesia yang baik dan benar</t>
  </si>
  <si>
    <t>tidak memuat kata-kata yang menghina</t>
  </si>
  <si>
    <t>tidak memuat kata-kata yang diskriminatif</t>
  </si>
  <si>
    <t>tidak memuat kata-kata yang menjebak</t>
  </si>
  <si>
    <t>tidak memuat kata-kata yang menimbulkan salah pengertian</t>
  </si>
  <si>
    <t>mempertimbangkan segi bahasa</t>
  </si>
  <si>
    <t>mempertimbangkan segi budaya</t>
  </si>
  <si>
    <t>stimulus diasjikan seara jelas dan terbaca</t>
  </si>
  <si>
    <t>stimulus disajikan secara berfungsi</t>
  </si>
  <si>
    <t>INSTRUMEN TELAAH SOAL URAIAN</t>
  </si>
  <si>
    <t>Jumlah Soal Uraian</t>
  </si>
  <si>
    <t>Penanggung Jawab/ Pendamping</t>
  </si>
  <si>
    <t>PG</t>
  </si>
  <si>
    <t>URAIAN</t>
  </si>
  <si>
    <t>Jenis Soal</t>
  </si>
  <si>
    <t>REKAPITULASI HASIL TELAAH BUTIR SOAL URAIAN</t>
  </si>
  <si>
    <t>Petunjuk Pengisian</t>
  </si>
  <si>
    <t>Pengisian Biodata</t>
  </si>
  <si>
    <t>Isilah sheet 'Biodata" dengan data yang sesuai</t>
  </si>
  <si>
    <t>Pengisian data hasil telaah soal Pilihan Ganda (PG)</t>
  </si>
  <si>
    <t>Isilah kolom yang diblok warna hijau dengan tanda "V" untuk yang sesuai dan tanda "X" untuk yang tidak sesuai</t>
  </si>
  <si>
    <t>Pengisian data hasil telaah soal Uraian  (UR)</t>
  </si>
  <si>
    <t xml:space="preserve">Mencetak laporan hasil telaah soal </t>
  </si>
  <si>
    <t>Cetaklah sheet 'Rekap'</t>
  </si>
  <si>
    <t>Cetaklah sheet 'Ins_PG' untuk Instrumen telaah soal Pilihan Ganda</t>
  </si>
  <si>
    <t>Cetaklah sheet 'Ins_UR' untuk Instrumen telaah soal Uraian</t>
  </si>
  <si>
    <t>Cetaklah sheet 'Hasil_PG' untuk hasil telaah soal Pilihan Ganda</t>
  </si>
  <si>
    <t>Cetaklah sheet 'Hasil_UR' untuk hasil telaah soal Uraian</t>
  </si>
  <si>
    <t>Cetaklah sheet 'BA' untuk berita acara telaah soal</t>
  </si>
  <si>
    <t>Editorial</t>
  </si>
  <si>
    <t>Jumlah Soal Pilihan Ganda</t>
  </si>
  <si>
    <t>Untuk kepentingan menyesuaikan jumlah soal format dapat menyesuaikan dengan cara kolom di-'hidden'</t>
  </si>
  <si>
    <t>v</t>
  </si>
  <si>
    <t>Jawa Tengah</t>
  </si>
  <si>
    <t>Wonogiri</t>
  </si>
  <si>
    <t>Pilihan ganda</t>
  </si>
  <si>
    <t>Uraian</t>
  </si>
  <si>
    <t>Penyusun  Soal</t>
  </si>
  <si>
    <t>Penyusun Soal</t>
  </si>
  <si>
    <t>2013 Rev</t>
  </si>
  <si>
    <t>Tim Penyusun Soal US</t>
  </si>
  <si>
    <t xml:space="preserve">Tim Penyusun Soal US </t>
  </si>
  <si>
    <t>Ketua Tim Teaching</t>
  </si>
  <si>
    <t>UJIAN SEKOLAH (US) SEKOLAH MENENGAH KEJURUAN</t>
  </si>
  <si>
    <t>UJIAN SEKOLAH (US)</t>
  </si>
  <si>
    <t>TELAAH SOAL UJIAN SEKOLAH (US)</t>
  </si>
  <si>
    <t>Bahasa Inggris</t>
  </si>
  <si>
    <t>Indah Darmawati, SE, M.Pd</t>
  </si>
  <si>
    <t>19770316 200701 2 002</t>
  </si>
  <si>
    <t>-</t>
  </si>
  <si>
    <t>SMK NEGERI 1 JATIROTO</t>
  </si>
  <si>
    <t>Jl. Raya Jatiroto, Janggan, Kec. Jatiroto, Kab. Wonogiri</t>
  </si>
  <si>
    <t>Drs. Suyono, M.Si</t>
  </si>
  <si>
    <t>19630329 199512 1 003</t>
  </si>
  <si>
    <t>2020/2021</t>
  </si>
  <si>
    <t>Selasa</t>
  </si>
  <si>
    <t>16 Maret 2021</t>
  </si>
  <si>
    <t>Ade Setiyawan, S.Kom.</t>
  </si>
  <si>
    <t>Bhekti Tulus Martani, S.Pd.</t>
  </si>
  <si>
    <t>Galuh Wury Prabaningrum, S.Pd.</t>
  </si>
  <si>
    <t>19770321 200801 2 012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</si>
</sst>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1"/>
      <color theme="1"/>
      <name val="Calibri"/>
      <family val="2"/>
      <scheme val="minor"/>
    </font>
    <font>
      <b/>
      <sz val="14"/>
      <color theme="1"/>
      <name val="Bookman Old Style"/>
      <family val="1"/>
    </font>
    <font>
      <sz val="11"/>
      <color theme="1"/>
      <name val="Bookman Old Style"/>
      <family val="1"/>
    </font>
    <font>
      <sz val="12"/>
      <color theme="1"/>
      <name val="Bookman Old Style"/>
      <family val="1"/>
    </font>
    <font>
      <sz val="9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6"/>
      <color theme="1"/>
      <name val="Bookman Old Style"/>
      <family val="1"/>
    </font>
    <font>
      <sz val="14"/>
      <color theme="1"/>
      <name val="Bookman Old Style"/>
      <family val="1"/>
    </font>
    <font>
      <sz val="12"/>
      <color rgb="FF000000"/>
      <name val="Bookman Old Style"/>
      <family val="1"/>
    </font>
    <font>
      <sz val="12"/>
      <name val="Bookman Old Style"/>
      <family val="1"/>
    </font>
    <font>
      <b/>
      <sz val="15"/>
      <color theme="1"/>
      <name val="Bookman Old Style"/>
      <family val="1"/>
    </font>
    <font>
      <b/>
      <sz val="15"/>
      <name val="Bookman Old Style"/>
      <family val="1"/>
    </font>
    <font>
      <b/>
      <sz val="15"/>
      <color theme="0"/>
      <name val="Bookman Old Style"/>
      <family val="1"/>
    </font>
    <font>
      <sz val="11"/>
      <color theme="0"/>
      <name val="Bookman Old Style"/>
      <family val="1"/>
    </font>
    <font>
      <sz val="11"/>
      <name val="Bookman Old Style"/>
      <family val="1"/>
    </font>
    <font>
      <sz val="11"/>
      <color rgb="FFFF0000"/>
      <name val="Bookman Old Style"/>
      <family val="1"/>
    </font>
    <font>
      <b/>
      <sz val="12"/>
      <name val="Bookman Old Style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6"/>
      <color theme="1"/>
      <name val="Bookman Old Style"/>
      <family val="1"/>
    </font>
    <font>
      <sz val="10"/>
      <color theme="1"/>
      <name val="Bookman Old Style"/>
      <family val="1"/>
    </font>
    <font>
      <u/>
      <sz val="20"/>
      <color theme="1"/>
      <name val="Bookman Old Style"/>
      <family val="1"/>
    </font>
    <font>
      <sz val="12"/>
      <color theme="0"/>
      <name val="Bookman Old Style"/>
      <family val="1"/>
    </font>
    <font>
      <b/>
      <u/>
      <sz val="12"/>
      <color theme="1"/>
      <name val="Bookman Old Style"/>
      <family val="1"/>
    </font>
    <font>
      <b/>
      <u/>
      <sz val="11"/>
      <color theme="1"/>
      <name val="Bookman Old Style"/>
      <family val="1"/>
    </font>
    <font>
      <b/>
      <u/>
      <sz val="12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quotePrefix="1" applyFont="1" applyAlignment="1">
      <alignment horizontal="center" vertical="top"/>
    </xf>
    <xf numFmtId="0" fontId="2" fillId="0" borderId="0" xfId="0" quotePrefix="1" applyFont="1" applyAlignment="1">
      <alignment horizontal="center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 textRotation="90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0" xfId="0" applyFont="1"/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 wrapText="1"/>
      <protection hidden="1"/>
    </xf>
    <xf numFmtId="0" fontId="9" fillId="0" borderId="1" xfId="0" applyFont="1" applyBorder="1" applyAlignment="1">
      <alignment vertical="center"/>
    </xf>
    <xf numFmtId="0" fontId="13" fillId="0" borderId="0" xfId="0" quotePrefix="1" applyFont="1"/>
    <xf numFmtId="1" fontId="3" fillId="0" borderId="1" xfId="0" applyNumberFormat="1" applyFont="1" applyFill="1" applyBorder="1" applyAlignment="1" applyProtection="1">
      <alignment horizontal="left" vertical="center"/>
      <protection hidden="1"/>
    </xf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 applyProtection="1">
      <alignment horizontal="center"/>
      <protection hidden="1"/>
    </xf>
    <xf numFmtId="2" fontId="3" fillId="0" borderId="1" xfId="0" applyNumberFormat="1" applyFont="1" applyBorder="1" applyAlignment="1" applyProtection="1">
      <alignment horizontal="center"/>
      <protection hidden="1"/>
    </xf>
    <xf numFmtId="0" fontId="3" fillId="0" borderId="1" xfId="0" applyFont="1" applyBorder="1"/>
    <xf numFmtId="0" fontId="5" fillId="0" borderId="0" xfId="0" applyFont="1" applyAlignment="1">
      <alignment horizontal="left"/>
    </xf>
    <xf numFmtId="0" fontId="9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 applyAlignment="1"/>
    <xf numFmtId="0" fontId="3" fillId="2" borderId="1" xfId="0" applyFont="1" applyFill="1" applyBorder="1"/>
    <xf numFmtId="0" fontId="17" fillId="0" borderId="0" xfId="0" applyFont="1"/>
    <xf numFmtId="0" fontId="17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top" wrapText="1"/>
    </xf>
    <xf numFmtId="0" fontId="19" fillId="0" borderId="0" xfId="0" applyFont="1" applyAlignment="1">
      <alignment horizontal="left" vertical="center"/>
    </xf>
    <xf numFmtId="0" fontId="17" fillId="0" borderId="0" xfId="0" quotePrefix="1" applyFont="1" applyAlignment="1">
      <alignment horizontal="center"/>
    </xf>
    <xf numFmtId="0" fontId="21" fillId="8" borderId="0" xfId="0" quotePrefix="1" applyFont="1" applyFill="1" applyAlignment="1">
      <alignment horizontal="left"/>
    </xf>
    <xf numFmtId="0" fontId="18" fillId="8" borderId="0" xfId="0" quotePrefix="1" applyFont="1" applyFill="1" applyAlignment="1">
      <alignment horizontal="left"/>
    </xf>
    <xf numFmtId="0" fontId="22" fillId="0" borderId="0" xfId="0" applyFont="1" applyAlignment="1">
      <alignment horizontal="left" vertical="center"/>
    </xf>
    <xf numFmtId="0" fontId="17" fillId="0" borderId="0" xfId="0" quotePrefix="1" applyFont="1"/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left"/>
    </xf>
    <xf numFmtId="0" fontId="23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1" fontId="3" fillId="0" borderId="1" xfId="0" applyNumberFormat="1" applyFont="1" applyFill="1" applyBorder="1" applyAlignment="1" applyProtection="1">
      <alignment vertical="center"/>
      <protection hidden="1"/>
    </xf>
    <xf numFmtId="0" fontId="19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1" fillId="8" borderId="0" xfId="0" quotePrefix="1" applyFont="1" applyFill="1" applyAlignment="1">
      <alignment horizontal="left"/>
    </xf>
    <xf numFmtId="0" fontId="19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4" borderId="1" xfId="0" applyFont="1" applyFill="1" applyBorder="1" applyAlignment="1">
      <alignment horizontal="center" vertical="top"/>
    </xf>
    <xf numFmtId="0" fontId="3" fillId="0" borderId="0" xfId="0" applyFont="1" applyAlignment="1"/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7" fillId="8" borderId="1" xfId="0" applyFont="1" applyFill="1" applyBorder="1"/>
    <xf numFmtId="0" fontId="7" fillId="8" borderId="1" xfId="0" quotePrefix="1" applyFont="1" applyFill="1" applyBorder="1"/>
    <xf numFmtId="0" fontId="19" fillId="0" borderId="0" xfId="0" quotePrefix="1" applyFont="1" applyAlignment="1">
      <alignment horizontal="center"/>
    </xf>
    <xf numFmtId="0" fontId="19" fillId="0" borderId="0" xfId="0" applyFont="1"/>
    <xf numFmtId="0" fontId="2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top"/>
    </xf>
    <xf numFmtId="0" fontId="17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6" fillId="0" borderId="1" xfId="0" applyFont="1" applyBorder="1" applyAlignment="1">
      <alignment horizontal="center" vertical="center"/>
    </xf>
    <xf numFmtId="0" fontId="3" fillId="4" borderId="5" xfId="0" applyFont="1" applyFill="1" applyBorder="1"/>
    <xf numFmtId="0" fontId="3" fillId="4" borderId="11" xfId="0" applyFont="1" applyFill="1" applyBorder="1"/>
    <xf numFmtId="0" fontId="3" fillId="4" borderId="6" xfId="0" applyFont="1" applyFill="1" applyBorder="1"/>
    <xf numFmtId="0" fontId="3" fillId="4" borderId="1" xfId="0" applyFont="1" applyFill="1" applyBorder="1" applyAlignment="1">
      <alignment horizontal="left"/>
    </xf>
    <xf numFmtId="0" fontId="3" fillId="8" borderId="1" xfId="0" applyFont="1" applyFill="1" applyBorder="1"/>
    <xf numFmtId="0" fontId="3" fillId="8" borderId="1" xfId="0" quotePrefix="1" applyFont="1" applyFill="1" applyBorder="1"/>
    <xf numFmtId="0" fontId="3" fillId="4" borderId="1" xfId="0" applyFont="1" applyFill="1" applyBorder="1"/>
    <xf numFmtId="0" fontId="3" fillId="4" borderId="1" xfId="0" quotePrefix="1" applyFont="1" applyFill="1" applyBorder="1"/>
    <xf numFmtId="0" fontId="27" fillId="0" borderId="0" xfId="0" applyFont="1"/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top" textRotation="90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 textRotation="90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 vertical="top" textRotation="90"/>
    </xf>
    <xf numFmtId="0" fontId="3" fillId="6" borderId="1" xfId="0" applyFont="1" applyFill="1" applyBorder="1" applyAlignment="1">
      <alignment horizontal="center" vertical="top" textRotation="90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top" textRotation="90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textRotation="90"/>
    </xf>
    <xf numFmtId="0" fontId="3" fillId="2" borderId="4" xfId="0" applyFont="1" applyFill="1" applyBorder="1" applyAlignment="1">
      <alignment horizontal="center" vertical="top" textRotation="90"/>
    </xf>
    <xf numFmtId="0" fontId="3" fillId="2" borderId="3" xfId="0" applyFont="1" applyFill="1" applyBorder="1" applyAlignment="1">
      <alignment horizontal="center" vertical="top" textRotation="90"/>
    </xf>
    <xf numFmtId="0" fontId="3" fillId="2" borderId="2" xfId="0" applyFont="1" applyFill="1" applyBorder="1" applyAlignment="1">
      <alignment horizontal="center" vertical="top" textRotation="90" wrapText="1"/>
    </xf>
    <xf numFmtId="0" fontId="3" fillId="2" borderId="4" xfId="0" applyFont="1" applyFill="1" applyBorder="1" applyAlignment="1">
      <alignment horizontal="center" vertical="top" textRotation="90" wrapText="1"/>
    </xf>
    <xf numFmtId="0" fontId="3" fillId="2" borderId="3" xfId="0" applyFont="1" applyFill="1" applyBorder="1" applyAlignment="1">
      <alignment horizontal="center" vertical="top" textRotation="90" wrapText="1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9" borderId="1" xfId="0" applyFont="1" applyFill="1" applyBorder="1" applyAlignment="1">
      <alignment horizontal="center" vertical="top"/>
    </xf>
    <xf numFmtId="0" fontId="3" fillId="9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shrinkToFit="1"/>
    </xf>
    <xf numFmtId="0" fontId="3" fillId="0" borderId="0" xfId="0" applyFont="1" applyAlignment="1">
      <alignment horizontal="left" vertical="top" wrapText="1"/>
    </xf>
    <xf numFmtId="1" fontId="26" fillId="0" borderId="5" xfId="0" applyNumberFormat="1" applyFont="1" applyBorder="1" applyAlignment="1">
      <alignment horizontal="center" vertical="center"/>
    </xf>
    <xf numFmtId="1" fontId="26" fillId="0" borderId="6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1" fillId="8" borderId="0" xfId="0" applyFont="1" applyFill="1" applyAlignment="1">
      <alignment horizontal="justify" vertical="center" wrapText="1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vertical="center"/>
    </xf>
    <xf numFmtId="0" fontId="29" fillId="8" borderId="0" xfId="0" quotePrefix="1" applyFont="1" applyFill="1" applyAlignment="1">
      <alignment horizontal="left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justify" vertical="top" wrapText="1"/>
    </xf>
    <xf numFmtId="0" fontId="19" fillId="0" borderId="0" xfId="0" applyFont="1" applyAlignment="1">
      <alignment horizontal="left" vertical="top" wrapText="1"/>
    </xf>
    <xf numFmtId="0" fontId="17" fillId="8" borderId="0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Ins_UR!A1"/><Relationship Id="rId3" Type="http://schemas.openxmlformats.org/officeDocument/2006/relationships/hyperlink" Target="#Hasil_PG!A1"/><Relationship Id="rId7" Type="http://schemas.openxmlformats.org/officeDocument/2006/relationships/hyperlink" Target="#Telaah_UR!A1"/><Relationship Id="rId2" Type="http://schemas.openxmlformats.org/officeDocument/2006/relationships/hyperlink" Target="#Ins_PG!A1"/><Relationship Id="rId1" Type="http://schemas.openxmlformats.org/officeDocument/2006/relationships/hyperlink" Target="#Biodata!A1"/><Relationship Id="rId6" Type="http://schemas.openxmlformats.org/officeDocument/2006/relationships/hyperlink" Target="#Telaah_PG!A1"/><Relationship Id="rId5" Type="http://schemas.openxmlformats.org/officeDocument/2006/relationships/hyperlink" Target="#Hasil_UR!A1"/><Relationship Id="rId10" Type="http://schemas.openxmlformats.org/officeDocument/2006/relationships/hyperlink" Target="#Petunjuk!A1"/><Relationship Id="rId4" Type="http://schemas.openxmlformats.org/officeDocument/2006/relationships/hyperlink" Target="#Rekap!A1"/><Relationship Id="rId9" Type="http://schemas.openxmlformats.org/officeDocument/2006/relationships/hyperlink" Target="#BA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137160</xdr:rowOff>
    </xdr:from>
    <xdr:to>
      <xdr:col>11</xdr:col>
      <xdr:colOff>236220</xdr:colOff>
      <xdr:row>15</xdr:row>
      <xdr:rowOff>68580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" y="502920"/>
          <a:ext cx="6941819" cy="2674620"/>
        </a:xfrm>
        <a:prstGeom prst="rect">
          <a:avLst/>
        </a:prstGeom>
        <a:solidFill>
          <a:srgbClr val="660033"/>
        </a:solidFill>
        <a:ln>
          <a:solidFill>
            <a:srgbClr val="7030A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1800">
              <a:latin typeface="Berlin Sans FB Demi" pitchFamily="34" charset="0"/>
            </a:rPr>
            <a:t>APLIKASI INSTRUMEN </a:t>
          </a:r>
          <a:r>
            <a:rPr lang="en-US" sz="1800">
              <a:latin typeface="Berlin Sans FB Demi" pitchFamily="34" charset="0"/>
            </a:rPr>
            <a:t>TELAAH</a:t>
          </a:r>
          <a:r>
            <a:rPr lang="en-US" sz="1800" baseline="0">
              <a:latin typeface="Berlin Sans FB Demi" pitchFamily="34" charset="0"/>
            </a:rPr>
            <a:t> SOAL</a:t>
          </a:r>
          <a:endParaRPr lang="id-ID" sz="1800">
            <a:latin typeface="Berlin Sans FB Demi" pitchFamily="34" charset="0"/>
          </a:endParaRPr>
        </a:p>
        <a:p>
          <a:pPr algn="ctr"/>
          <a:r>
            <a:rPr lang="en-US" sz="1800" baseline="0">
              <a:latin typeface="Berlin Sans FB Demi" pitchFamily="34" charset="0"/>
            </a:rPr>
            <a:t>UJIAN SEKOLAH </a:t>
          </a:r>
          <a:endParaRPr lang="id-ID" sz="1800" baseline="0">
            <a:latin typeface="Berlin Sans FB Demi" pitchFamily="34" charset="0"/>
          </a:endParaRPr>
        </a:p>
      </xdr:txBody>
    </xdr:sp>
    <xdr:clientData/>
  </xdr:twoCellAnchor>
  <xdr:twoCellAnchor>
    <xdr:from>
      <xdr:col>0</xdr:col>
      <xdr:colOff>118111</xdr:colOff>
      <xdr:row>7</xdr:row>
      <xdr:rowOff>7620</xdr:rowOff>
    </xdr:from>
    <xdr:to>
      <xdr:col>2</xdr:col>
      <xdr:colOff>556261</xdr:colOff>
      <xdr:row>9</xdr:row>
      <xdr:rowOff>45720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18111" y="1653540"/>
          <a:ext cx="1657350" cy="403860"/>
        </a:xfrm>
        <a:prstGeom prst="rect">
          <a:avLst/>
        </a:prstGeom>
        <a:solidFill>
          <a:srgbClr val="00FFFF"/>
        </a:solidFill>
        <a:ln>
          <a:solidFill>
            <a:srgbClr val="00FF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800">
              <a:ln>
                <a:solidFill>
                  <a:srgbClr val="FF0000"/>
                </a:solidFill>
              </a:ln>
              <a:solidFill>
                <a:srgbClr val="FF0000"/>
              </a:solidFill>
              <a:latin typeface="Forte" pitchFamily="66" charset="0"/>
            </a:rPr>
            <a:t>Input </a:t>
          </a:r>
          <a:r>
            <a:rPr lang="en-US" sz="1800">
              <a:ln>
                <a:solidFill>
                  <a:srgbClr val="FF0000"/>
                </a:solidFill>
              </a:ln>
              <a:solidFill>
                <a:srgbClr val="FF0000"/>
              </a:solidFill>
              <a:latin typeface="Forte" pitchFamily="66" charset="0"/>
            </a:rPr>
            <a:t>Biod</a:t>
          </a:r>
          <a:r>
            <a:rPr lang="id-ID" sz="1800">
              <a:ln>
                <a:solidFill>
                  <a:srgbClr val="FF0000"/>
                </a:solidFill>
              </a:ln>
              <a:solidFill>
                <a:srgbClr val="FF0000"/>
              </a:solidFill>
              <a:latin typeface="Forte" pitchFamily="66" charset="0"/>
            </a:rPr>
            <a:t>ata</a:t>
          </a:r>
          <a:r>
            <a:rPr lang="id-ID" sz="1800" baseline="0">
              <a:ln>
                <a:solidFill>
                  <a:srgbClr val="FF0000"/>
                </a:solidFill>
              </a:ln>
              <a:solidFill>
                <a:srgbClr val="FF0000"/>
              </a:solidFill>
              <a:latin typeface="Forte" pitchFamily="66" charset="0"/>
            </a:rPr>
            <a:t> </a:t>
          </a:r>
          <a:endParaRPr lang="id-ID" sz="1800">
            <a:ln>
              <a:solidFill>
                <a:srgbClr val="FF0000"/>
              </a:solidFill>
            </a:ln>
            <a:solidFill>
              <a:srgbClr val="FF0000"/>
            </a:solidFill>
            <a:latin typeface="Forte" pitchFamily="66" charset="0"/>
          </a:endParaRPr>
        </a:p>
      </xdr:txBody>
    </xdr:sp>
    <xdr:clientData/>
  </xdr:twoCellAnchor>
  <xdr:twoCellAnchor>
    <xdr:from>
      <xdr:col>3</xdr:col>
      <xdr:colOff>127636</xdr:colOff>
      <xdr:row>4</xdr:row>
      <xdr:rowOff>66674</xdr:rowOff>
    </xdr:from>
    <xdr:to>
      <xdr:col>5</xdr:col>
      <xdr:colOff>388620</xdr:colOff>
      <xdr:row>6</xdr:row>
      <xdr:rowOff>95249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956436" y="1163954"/>
          <a:ext cx="1480184" cy="394335"/>
        </a:xfrm>
        <a:prstGeom prst="rect">
          <a:avLst/>
        </a:prstGeom>
        <a:solidFill>
          <a:srgbClr val="00FFFF"/>
        </a:solidFill>
        <a:ln>
          <a:solidFill>
            <a:srgbClr val="00FF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800" b="1">
              <a:solidFill>
                <a:srgbClr val="FF0000"/>
              </a:solidFill>
              <a:latin typeface="Forte" pitchFamily="66" charset="0"/>
            </a:rPr>
            <a:t>Ins</a:t>
          </a:r>
          <a:r>
            <a:rPr lang="en-US" sz="1800" b="1">
              <a:solidFill>
                <a:srgbClr val="FF0000"/>
              </a:solidFill>
              <a:latin typeface="Forte" pitchFamily="66" charset="0"/>
            </a:rPr>
            <a:t>. PG</a:t>
          </a:r>
          <a:endParaRPr lang="id-ID" sz="1800" b="1">
            <a:solidFill>
              <a:srgbClr val="FF0000"/>
            </a:solidFill>
            <a:latin typeface="Forte" pitchFamily="66" charset="0"/>
          </a:endParaRPr>
        </a:p>
      </xdr:txBody>
    </xdr:sp>
    <xdr:clientData/>
  </xdr:twoCellAnchor>
  <xdr:twoCellAnchor>
    <xdr:from>
      <xdr:col>5</xdr:col>
      <xdr:colOff>550546</xdr:colOff>
      <xdr:row>4</xdr:row>
      <xdr:rowOff>72390</xdr:rowOff>
    </xdr:from>
    <xdr:to>
      <xdr:col>8</xdr:col>
      <xdr:colOff>266700</xdr:colOff>
      <xdr:row>6</xdr:row>
      <xdr:rowOff>100965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598546" y="1169670"/>
          <a:ext cx="1544954" cy="394335"/>
        </a:xfrm>
        <a:prstGeom prst="rect">
          <a:avLst/>
        </a:prstGeom>
        <a:solidFill>
          <a:srgbClr val="00FFFF"/>
        </a:solidFill>
        <a:ln>
          <a:solidFill>
            <a:srgbClr val="00FF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rgbClr val="FF0000"/>
              </a:solidFill>
              <a:latin typeface="Forte" pitchFamily="66" charset="0"/>
            </a:rPr>
            <a:t>Hasil PG</a:t>
          </a:r>
          <a:endParaRPr lang="id-ID" sz="1800" b="1">
            <a:solidFill>
              <a:srgbClr val="FF0000"/>
            </a:solidFill>
            <a:latin typeface="Forte" pitchFamily="66" charset="0"/>
          </a:endParaRPr>
        </a:p>
      </xdr:txBody>
    </xdr:sp>
    <xdr:clientData/>
  </xdr:twoCellAnchor>
  <xdr:twoCellAnchor>
    <xdr:from>
      <xdr:col>8</xdr:col>
      <xdr:colOff>430531</xdr:colOff>
      <xdr:row>4</xdr:row>
      <xdr:rowOff>60960</xdr:rowOff>
    </xdr:from>
    <xdr:to>
      <xdr:col>11</xdr:col>
      <xdr:colOff>60961</xdr:colOff>
      <xdr:row>6</xdr:row>
      <xdr:rowOff>99060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307331" y="1158240"/>
          <a:ext cx="1459230" cy="403860"/>
        </a:xfrm>
        <a:prstGeom prst="rect">
          <a:avLst/>
        </a:prstGeom>
        <a:solidFill>
          <a:srgbClr val="00FFFF"/>
        </a:solidFill>
        <a:ln>
          <a:solidFill>
            <a:srgbClr val="00FF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n>
                <a:solidFill>
                  <a:srgbClr val="FF0000"/>
                </a:solidFill>
              </a:ln>
              <a:solidFill>
                <a:srgbClr val="FF0000"/>
              </a:solidFill>
              <a:latin typeface="Forte" pitchFamily="66" charset="0"/>
            </a:rPr>
            <a:t>Rekap Hasil</a:t>
          </a:r>
          <a:endParaRPr lang="id-ID" sz="1800">
            <a:ln>
              <a:solidFill>
                <a:srgbClr val="FF0000"/>
              </a:solidFill>
            </a:ln>
            <a:solidFill>
              <a:srgbClr val="FF0000"/>
            </a:solidFill>
            <a:latin typeface="Forte" pitchFamily="66" charset="0"/>
          </a:endParaRPr>
        </a:p>
      </xdr:txBody>
    </xdr:sp>
    <xdr:clientData/>
  </xdr:twoCellAnchor>
  <xdr:twoCellAnchor>
    <xdr:from>
      <xdr:col>5</xdr:col>
      <xdr:colOff>558165</xdr:colOff>
      <xdr:row>7</xdr:row>
      <xdr:rowOff>20955</xdr:rowOff>
    </xdr:from>
    <xdr:to>
      <xdr:col>8</xdr:col>
      <xdr:colOff>251460</xdr:colOff>
      <xdr:row>9</xdr:row>
      <xdr:rowOff>59055</xdr:rowOff>
    </xdr:to>
    <xdr:sp macro="" textlink="">
      <xdr:nvSpPr>
        <xdr:cNvPr id="7" name="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606165" y="1666875"/>
          <a:ext cx="1522095" cy="403860"/>
        </a:xfrm>
        <a:prstGeom prst="rect">
          <a:avLst/>
        </a:prstGeom>
        <a:solidFill>
          <a:srgbClr val="00FFFF"/>
        </a:solidFill>
        <a:ln>
          <a:solidFill>
            <a:srgbClr val="00FF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n>
                <a:solidFill>
                  <a:srgbClr val="FF0000"/>
                </a:solidFill>
              </a:ln>
              <a:solidFill>
                <a:srgbClr val="FF0000"/>
              </a:solidFill>
              <a:latin typeface="Forte" pitchFamily="66" charset="0"/>
            </a:rPr>
            <a:t>Hasil Uraian</a:t>
          </a:r>
          <a:endParaRPr lang="id-ID" sz="1800">
            <a:ln>
              <a:solidFill>
                <a:srgbClr val="FF0000"/>
              </a:solidFill>
            </a:ln>
            <a:solidFill>
              <a:srgbClr val="FF0000"/>
            </a:solidFill>
            <a:latin typeface="Forte" pitchFamily="66" charset="0"/>
          </a:endParaRPr>
        </a:p>
      </xdr:txBody>
    </xdr:sp>
    <xdr:clientData/>
  </xdr:twoCellAnchor>
  <xdr:twoCellAnchor>
    <xdr:from>
      <xdr:col>0</xdr:col>
      <xdr:colOff>114300</xdr:colOff>
      <xdr:row>9</xdr:row>
      <xdr:rowOff>129540</xdr:rowOff>
    </xdr:from>
    <xdr:to>
      <xdr:col>2</xdr:col>
      <xdr:colOff>556259</xdr:colOff>
      <xdr:row>11</xdr:row>
      <xdr:rowOff>167640</xdr:rowOff>
    </xdr:to>
    <xdr:sp macro="" textlink="">
      <xdr:nvSpPr>
        <xdr:cNvPr id="8" name="Rectang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14300" y="2141220"/>
          <a:ext cx="1661159" cy="403860"/>
        </a:xfrm>
        <a:prstGeom prst="rect">
          <a:avLst/>
        </a:prstGeom>
        <a:solidFill>
          <a:srgbClr val="00FFFF"/>
        </a:solidFill>
        <a:ln>
          <a:solidFill>
            <a:srgbClr val="00FF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n>
                <a:solidFill>
                  <a:srgbClr val="FF0000"/>
                </a:solidFill>
              </a:ln>
              <a:solidFill>
                <a:srgbClr val="FF0000"/>
              </a:solidFill>
              <a:latin typeface="Forte" pitchFamily="66" charset="0"/>
            </a:rPr>
            <a:t>Telaah PG</a:t>
          </a:r>
          <a:endParaRPr lang="id-ID" sz="1800">
            <a:ln>
              <a:solidFill>
                <a:srgbClr val="FF0000"/>
              </a:solidFill>
            </a:ln>
            <a:solidFill>
              <a:srgbClr val="FF0000"/>
            </a:solidFill>
            <a:latin typeface="Forte" pitchFamily="66" charset="0"/>
          </a:endParaRPr>
        </a:p>
      </xdr:txBody>
    </xdr:sp>
    <xdr:clientData/>
  </xdr:twoCellAnchor>
  <xdr:twoCellAnchor>
    <xdr:from>
      <xdr:col>0</xdr:col>
      <xdr:colOff>108585</xdr:colOff>
      <xdr:row>12</xdr:row>
      <xdr:rowOff>74294</xdr:rowOff>
    </xdr:from>
    <xdr:to>
      <xdr:col>2</xdr:col>
      <xdr:colOff>548640</xdr:colOff>
      <xdr:row>14</xdr:row>
      <xdr:rowOff>112394</xdr:rowOff>
    </xdr:to>
    <xdr:sp macro="" textlink="">
      <xdr:nvSpPr>
        <xdr:cNvPr id="10" name="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08585" y="2634614"/>
          <a:ext cx="1659255" cy="403860"/>
        </a:xfrm>
        <a:prstGeom prst="rect">
          <a:avLst/>
        </a:prstGeom>
        <a:solidFill>
          <a:srgbClr val="00FFFF"/>
        </a:solidFill>
        <a:ln>
          <a:solidFill>
            <a:srgbClr val="00FF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n>
                <a:solidFill>
                  <a:srgbClr val="FF0000"/>
                </a:solidFill>
              </a:ln>
              <a:solidFill>
                <a:srgbClr val="FF0000"/>
              </a:solidFill>
              <a:latin typeface="Forte" pitchFamily="66" charset="0"/>
            </a:rPr>
            <a:t>Telaah Uraian</a:t>
          </a:r>
          <a:endParaRPr lang="id-ID" sz="1800">
            <a:ln>
              <a:solidFill>
                <a:srgbClr val="FF0000"/>
              </a:solidFill>
            </a:ln>
            <a:solidFill>
              <a:srgbClr val="FF0000"/>
            </a:solidFill>
            <a:latin typeface="Forte" pitchFamily="66" charset="0"/>
          </a:endParaRPr>
        </a:p>
      </xdr:txBody>
    </xdr:sp>
    <xdr:clientData/>
  </xdr:twoCellAnchor>
  <xdr:twoCellAnchor>
    <xdr:from>
      <xdr:col>3</xdr:col>
      <xdr:colOff>123825</xdr:colOff>
      <xdr:row>7</xdr:row>
      <xdr:rowOff>20954</xdr:rowOff>
    </xdr:from>
    <xdr:to>
      <xdr:col>5</xdr:col>
      <xdr:colOff>381000</xdr:colOff>
      <xdr:row>9</xdr:row>
      <xdr:rowOff>59054</xdr:rowOff>
    </xdr:to>
    <xdr:sp macro="" textlink="">
      <xdr:nvSpPr>
        <xdr:cNvPr id="11" name="Rectangl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952625" y="1666874"/>
          <a:ext cx="1476375" cy="403860"/>
        </a:xfrm>
        <a:prstGeom prst="rect">
          <a:avLst/>
        </a:prstGeom>
        <a:solidFill>
          <a:srgbClr val="00FFFF"/>
        </a:solidFill>
        <a:ln>
          <a:solidFill>
            <a:srgbClr val="00FF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n>
                <a:solidFill>
                  <a:srgbClr val="FF0000"/>
                </a:solidFill>
              </a:ln>
              <a:solidFill>
                <a:srgbClr val="FF0000"/>
              </a:solidFill>
              <a:latin typeface="Forte" pitchFamily="66" charset="0"/>
            </a:rPr>
            <a:t>Ins. Uraian</a:t>
          </a:r>
          <a:endParaRPr lang="id-ID" sz="1800">
            <a:ln>
              <a:solidFill>
                <a:srgbClr val="FF0000"/>
              </a:solidFill>
            </a:ln>
            <a:solidFill>
              <a:srgbClr val="FF0000"/>
            </a:solidFill>
            <a:latin typeface="Forte" pitchFamily="66" charset="0"/>
          </a:endParaRPr>
        </a:p>
      </xdr:txBody>
    </xdr:sp>
    <xdr:clientData/>
  </xdr:twoCellAnchor>
  <xdr:twoCellAnchor>
    <xdr:from>
      <xdr:col>8</xdr:col>
      <xdr:colOff>438151</xdr:colOff>
      <xdr:row>7</xdr:row>
      <xdr:rowOff>7620</xdr:rowOff>
    </xdr:from>
    <xdr:to>
      <xdr:col>11</xdr:col>
      <xdr:colOff>68581</xdr:colOff>
      <xdr:row>9</xdr:row>
      <xdr:rowOff>45720</xdr:rowOff>
    </xdr:to>
    <xdr:sp macro="" textlink="">
      <xdr:nvSpPr>
        <xdr:cNvPr id="12" name="Rectangl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314951" y="1653540"/>
          <a:ext cx="1459230" cy="403860"/>
        </a:xfrm>
        <a:prstGeom prst="rect">
          <a:avLst/>
        </a:prstGeom>
        <a:solidFill>
          <a:srgbClr val="00FFFF"/>
        </a:solidFill>
        <a:ln>
          <a:solidFill>
            <a:srgbClr val="00FF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n>
                <a:solidFill>
                  <a:srgbClr val="FF0000"/>
                </a:solidFill>
              </a:ln>
              <a:solidFill>
                <a:srgbClr val="FF0000"/>
              </a:solidFill>
              <a:latin typeface="Forte" pitchFamily="66" charset="0"/>
            </a:rPr>
            <a:t>Berita Acara</a:t>
          </a:r>
          <a:endParaRPr lang="id-ID" sz="1800">
            <a:ln>
              <a:solidFill>
                <a:srgbClr val="FF0000"/>
              </a:solidFill>
            </a:ln>
            <a:solidFill>
              <a:srgbClr val="FF0000"/>
            </a:solidFill>
            <a:latin typeface="Forte" pitchFamily="66" charset="0"/>
          </a:endParaRPr>
        </a:p>
      </xdr:txBody>
    </xdr:sp>
    <xdr:clientData/>
  </xdr:twoCellAnchor>
  <xdr:twoCellAnchor>
    <xdr:from>
      <xdr:col>0</xdr:col>
      <xdr:colOff>123824</xdr:colOff>
      <xdr:row>4</xdr:row>
      <xdr:rowOff>66674</xdr:rowOff>
    </xdr:from>
    <xdr:to>
      <xdr:col>2</xdr:col>
      <xdr:colOff>556260</xdr:colOff>
      <xdr:row>6</xdr:row>
      <xdr:rowOff>104774</xdr:rowOff>
    </xdr:to>
    <xdr:sp macro="" textlink="">
      <xdr:nvSpPr>
        <xdr:cNvPr id="13" name="Rectangle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23824" y="1163954"/>
          <a:ext cx="1651636" cy="403860"/>
        </a:xfrm>
        <a:prstGeom prst="rect">
          <a:avLst/>
        </a:prstGeom>
        <a:solidFill>
          <a:srgbClr val="00FFFF"/>
        </a:solidFill>
        <a:ln>
          <a:solidFill>
            <a:srgbClr val="00FF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n>
                <a:solidFill>
                  <a:srgbClr val="FF0000"/>
                </a:solidFill>
              </a:ln>
              <a:solidFill>
                <a:srgbClr val="FF0000"/>
              </a:solidFill>
              <a:latin typeface="Forte" pitchFamily="66" charset="0"/>
            </a:rPr>
            <a:t>Petunjuk</a:t>
          </a:r>
          <a:endParaRPr lang="id-ID" sz="1800">
            <a:ln>
              <a:solidFill>
                <a:srgbClr val="FF0000"/>
              </a:solidFill>
            </a:ln>
            <a:solidFill>
              <a:srgbClr val="FF0000"/>
            </a:solidFill>
            <a:latin typeface="Forte" pitchFamily="66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6</xdr:col>
      <xdr:colOff>266700</xdr:colOff>
      <xdr:row>1</xdr:row>
      <xdr:rowOff>68580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476500" y="0"/>
          <a:ext cx="876300" cy="396240"/>
        </a:xfrm>
        <a:prstGeom prst="roundRect">
          <a:avLst/>
        </a:prstGeom>
        <a:solidFill>
          <a:srgbClr val="FF0000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MENU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876300</xdr:colOff>
      <xdr:row>1</xdr:row>
      <xdr:rowOff>129540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0" y="0"/>
          <a:ext cx="876300" cy="396240"/>
        </a:xfrm>
        <a:prstGeom prst="roundRect">
          <a:avLst/>
        </a:prstGeom>
        <a:solidFill>
          <a:srgbClr val="FF0000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MENU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324</xdr:col>
      <xdr:colOff>0</xdr:colOff>
      <xdr:row>0</xdr:row>
      <xdr:rowOff>0</xdr:rowOff>
    </xdr:from>
    <xdr:to>
      <xdr:col>325</xdr:col>
      <xdr:colOff>266700</xdr:colOff>
      <xdr:row>2</xdr:row>
      <xdr:rowOff>0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6474440" y="0"/>
          <a:ext cx="876300" cy="396240"/>
        </a:xfrm>
        <a:prstGeom prst="roundRect">
          <a:avLst/>
        </a:prstGeom>
        <a:solidFill>
          <a:srgbClr val="FF0000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MENU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149</xdr:col>
      <xdr:colOff>0</xdr:colOff>
      <xdr:row>0</xdr:row>
      <xdr:rowOff>0</xdr:rowOff>
    </xdr:from>
    <xdr:to>
      <xdr:col>150</xdr:col>
      <xdr:colOff>266700</xdr:colOff>
      <xdr:row>2</xdr:row>
      <xdr:rowOff>0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1711940" y="0"/>
          <a:ext cx="876300" cy="396240"/>
        </a:xfrm>
        <a:prstGeom prst="roundRect">
          <a:avLst/>
        </a:prstGeom>
        <a:solidFill>
          <a:srgbClr val="FF0000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MENU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0</xdr:colOff>
      <xdr:row>0</xdr:row>
      <xdr:rowOff>0</xdr:rowOff>
    </xdr:from>
    <xdr:to>
      <xdr:col>50</xdr:col>
      <xdr:colOff>876300</xdr:colOff>
      <xdr:row>1</xdr:row>
      <xdr:rowOff>167640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2664440" y="0"/>
          <a:ext cx="876300" cy="396240"/>
        </a:xfrm>
        <a:prstGeom prst="roundRect">
          <a:avLst/>
        </a:prstGeom>
        <a:solidFill>
          <a:srgbClr val="FF0000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MENU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0</xdr:row>
      <xdr:rowOff>0</xdr:rowOff>
    </xdr:from>
    <xdr:to>
      <xdr:col>25</xdr:col>
      <xdr:colOff>876300</xdr:colOff>
      <xdr:row>1</xdr:row>
      <xdr:rowOff>167640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9456420" y="0"/>
          <a:ext cx="876300" cy="396240"/>
        </a:xfrm>
        <a:prstGeom prst="roundRect">
          <a:avLst/>
        </a:prstGeom>
        <a:solidFill>
          <a:srgbClr val="FF0000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MENU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30480</xdr:rowOff>
    </xdr:from>
    <xdr:to>
      <xdr:col>8</xdr:col>
      <xdr:colOff>0</xdr:colOff>
      <xdr:row>8</xdr:row>
      <xdr:rowOff>38100</xdr:rowOff>
    </xdr:to>
    <xdr:grpSp>
      <xdr:nvGrpSpPr>
        <xdr:cNvPr id="2" name="Group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>
          <a:grpSpLocks/>
        </xdr:cNvGrpSpPr>
      </xdr:nvGrpSpPr>
      <xdr:grpSpPr bwMode="auto">
        <a:xfrm>
          <a:off x="9548813" y="1125855"/>
          <a:ext cx="0" cy="579120"/>
          <a:chOff x="3753908" y="52917"/>
          <a:chExt cx="3895725" cy="583721"/>
        </a:xfrm>
      </xdr:grpSpPr>
      <xdr:pic>
        <xdr:nvPicPr>
          <xdr:cNvPr id="3" name="Picture 4" descr="i4iam6nedndw28vebgsc.png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753908" y="52917"/>
            <a:ext cx="552450" cy="5837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Picture 4" descr="Direktorat copy.jpg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349801" y="100542"/>
            <a:ext cx="3299832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876300</xdr:colOff>
      <xdr:row>1</xdr:row>
      <xdr:rowOff>152400</xdr:rowOff>
    </xdr:to>
    <xdr:sp macro="" textlink="">
      <xdr:nvSpPr>
        <xdr:cNvPr id="6" name="Rounded 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2824460" y="0"/>
          <a:ext cx="876300" cy="396240"/>
        </a:xfrm>
        <a:prstGeom prst="roundRect">
          <a:avLst/>
        </a:prstGeom>
        <a:solidFill>
          <a:srgbClr val="FF0000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MENU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30480</xdr:rowOff>
    </xdr:from>
    <xdr:to>
      <xdr:col>8</xdr:col>
      <xdr:colOff>0</xdr:colOff>
      <xdr:row>8</xdr:row>
      <xdr:rowOff>38100</xdr:rowOff>
    </xdr:to>
    <xdr:grpSp>
      <xdr:nvGrpSpPr>
        <xdr:cNvPr id="2" name="Group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>
          <a:grpSpLocks/>
        </xdr:cNvGrpSpPr>
      </xdr:nvGrpSpPr>
      <xdr:grpSpPr bwMode="auto">
        <a:xfrm>
          <a:off x="9470571" y="1159873"/>
          <a:ext cx="0" cy="619941"/>
          <a:chOff x="3753908" y="52917"/>
          <a:chExt cx="3895725" cy="583721"/>
        </a:xfrm>
      </xdr:grpSpPr>
      <xdr:pic>
        <xdr:nvPicPr>
          <xdr:cNvPr id="3" name="Picture 4" descr="i4iam6nedndw28vebgsc.png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753908" y="52917"/>
            <a:ext cx="552450" cy="5837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Picture 4" descr="Direktorat copy.jpg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349801" y="100542"/>
            <a:ext cx="3299832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876300</xdr:colOff>
      <xdr:row>1</xdr:row>
      <xdr:rowOff>152400</xdr:rowOff>
    </xdr:to>
    <xdr:sp macro="" textlink="">
      <xdr:nvSpPr>
        <xdr:cNvPr id="6" name="Rounded 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2824460" y="0"/>
          <a:ext cx="876300" cy="396240"/>
        </a:xfrm>
        <a:prstGeom prst="roundRect">
          <a:avLst/>
        </a:prstGeom>
        <a:solidFill>
          <a:srgbClr val="FF0000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MENU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262</xdr:col>
      <xdr:colOff>0</xdr:colOff>
      <xdr:row>0</xdr:row>
      <xdr:rowOff>0</xdr:rowOff>
    </xdr:from>
    <xdr:to>
      <xdr:col>263</xdr:col>
      <xdr:colOff>22860</xdr:colOff>
      <xdr:row>2</xdr:row>
      <xdr:rowOff>0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0142220" y="0"/>
          <a:ext cx="876300" cy="396240"/>
        </a:xfrm>
        <a:prstGeom prst="roundRect">
          <a:avLst/>
        </a:prstGeom>
        <a:solidFill>
          <a:srgbClr val="FF0000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MENU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8</xdr:row>
      <xdr:rowOff>0</xdr:rowOff>
    </xdr:from>
    <xdr:to>
      <xdr:col>13</xdr:col>
      <xdr:colOff>251460</xdr:colOff>
      <xdr:row>9</xdr:row>
      <xdr:rowOff>175260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7056120" y="1668780"/>
          <a:ext cx="876300" cy="396240"/>
        </a:xfrm>
        <a:prstGeom prst="roundRect">
          <a:avLst/>
        </a:prstGeom>
        <a:solidFill>
          <a:srgbClr val="FF0000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MENU</a:t>
          </a:r>
        </a:p>
      </xdr:txBody>
    </xdr:sp>
    <xdr:clientData/>
  </xdr:twoCellAnchor>
  <xdr:twoCellAnchor>
    <xdr:from>
      <xdr:col>0</xdr:col>
      <xdr:colOff>0</xdr:colOff>
      <xdr:row>0</xdr:row>
      <xdr:rowOff>95</xdr:rowOff>
    </xdr:from>
    <xdr:to>
      <xdr:col>11</xdr:col>
      <xdr:colOff>78105</xdr:colOff>
      <xdr:row>7</xdr:row>
      <xdr:rowOff>77471</xdr:rowOff>
    </xdr:to>
    <xdr:grpSp>
      <xdr:nvGrpSpPr>
        <xdr:cNvPr id="4" name="Group 3"/>
        <xdr:cNvGrpSpPr>
          <a:grpSpLocks/>
        </xdr:cNvGrpSpPr>
      </xdr:nvGrpSpPr>
      <xdr:grpSpPr bwMode="auto">
        <a:xfrm>
          <a:off x="0" y="95"/>
          <a:ext cx="6717030" cy="1544226"/>
          <a:chOff x="1677" y="338"/>
          <a:chExt cx="9000" cy="2722"/>
        </a:xfrm>
      </xdr:grpSpPr>
      <xdr:sp macro="" textlink="">
        <xdr:nvSpPr>
          <xdr:cNvPr id="6" name="Rectangle 5"/>
          <xdr:cNvSpPr>
            <a:spLocks noChangeArrowheads="1"/>
          </xdr:cNvSpPr>
        </xdr:nvSpPr>
        <xdr:spPr bwMode="auto">
          <a:xfrm>
            <a:off x="2009" y="338"/>
            <a:ext cx="8662" cy="263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2700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12700" tIns="12700" rIns="12700" bIns="12700" anchor="t" anchorCtr="0" upright="1">
            <a:noAutofit/>
          </a:bodyPr>
          <a:lstStyle/>
          <a:p>
            <a:pPr algn="ctr">
              <a:lnSpc>
                <a:spcPct val="107000"/>
              </a:lnSpc>
              <a:spcAft>
                <a:spcPts val="0"/>
              </a:spcAft>
            </a:pPr>
            <a:r>
              <a:rPr lang="id-ID" sz="11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PEMERINTAH PROVINSI JAWA TENGAH</a:t>
            </a:r>
            <a:endPara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algn="ctr">
              <a:lnSpc>
                <a:spcPct val="107000"/>
              </a:lnSpc>
              <a:spcAft>
                <a:spcPts val="0"/>
              </a:spcAft>
            </a:pPr>
            <a:r>
              <a:rPr lang="id-ID" sz="11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DINAS PENDIDIKAN DAN KEBUDAYAAN</a:t>
            </a:r>
            <a:endPara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algn="ctr">
              <a:lnSpc>
                <a:spcPct val="107000"/>
              </a:lnSpc>
              <a:spcAft>
                <a:spcPts val="0"/>
              </a:spcAft>
            </a:pPr>
            <a:r>
              <a:rPr lang="id-ID" sz="11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 SEKOLAH MENENGAH KEJURUAN NEGERI 1 JATIROTO</a:t>
            </a:r>
            <a:endPara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algn="ctr">
              <a:lnSpc>
                <a:spcPct val="107000"/>
              </a:lnSpc>
              <a:spcAft>
                <a:spcPts val="0"/>
              </a:spcAft>
            </a:pPr>
            <a:r>
              <a:rPr lang="id-ID" sz="11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KABUPATEN WONOGIRI</a:t>
            </a:r>
            <a:endPara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algn="ctr">
              <a:spcAft>
                <a:spcPts val="0"/>
              </a:spcAft>
            </a:pPr>
            <a:r>
              <a:rPr lang="en-US" sz="900" i="1"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Alamat : Jalan Raya Jatiroto, Janggan, Jatiroto, Wonogiri, Tlp. (0273) 4131124 Kode Pos   57692</a:t>
            </a:r>
            <a:endPara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algn="ctr">
              <a:spcAft>
                <a:spcPts val="0"/>
              </a:spcAft>
            </a:pPr>
            <a:r>
              <a:rPr lang="en-US" sz="900" b="1" i="1"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Website : smkn1jatiroto.sch.id  Email : smkn1jatiroto@yahoo.co.id</a:t>
            </a:r>
            <a:endPara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>
              <a:spcAft>
                <a:spcPts val="0"/>
              </a:spcAft>
            </a:pPr>
            <a:r>
              <a:rPr lang="en-US" sz="1000"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 </a:t>
            </a:r>
            <a:endPara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cxnSp macro="">
        <xdr:nvCxnSpPr>
          <xdr:cNvPr id="7" name="Line 4"/>
          <xdr:cNvCxnSpPr>
            <a:cxnSpLocks noChangeShapeType="1"/>
          </xdr:cNvCxnSpPr>
        </xdr:nvCxnSpPr>
        <xdr:spPr bwMode="auto">
          <a:xfrm>
            <a:off x="1677" y="3060"/>
            <a:ext cx="9000" cy="0"/>
          </a:xfrm>
          <a:prstGeom prst="line">
            <a:avLst/>
          </a:prstGeom>
          <a:noFill/>
          <a:ln w="57150" cmpd="thickThin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 editAs="oneCell">
    <xdr:from>
      <xdr:col>0</xdr:col>
      <xdr:colOff>200025</xdr:colOff>
      <xdr:row>1</xdr:row>
      <xdr:rowOff>1</xdr:rowOff>
    </xdr:from>
    <xdr:to>
      <xdr:col>1</xdr:col>
      <xdr:colOff>647700</xdr:colOff>
      <xdr:row>5</xdr:row>
      <xdr:rowOff>38100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09551"/>
          <a:ext cx="752475" cy="8762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TELAAH%20SOAL%20KUALITATIF%20URAIAN%2010%20Mei%20201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INDAHAN%20C\Downloads\aplikasi%20instrumen%20telaah%20soal%20US_2020%20Kab%20Wonogiri%20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duan"/>
      <sheetName val="Biodata"/>
      <sheetName val="Instrumen"/>
      <sheetName val="hasil"/>
      <sheetName val="Rekap"/>
      <sheetName val="Grafis"/>
      <sheetName val="Lihat_Data"/>
      <sheetName val="Sheet1"/>
    </sheetNames>
    <sheetDataSet>
      <sheetData sheetId="0"/>
      <sheetData sheetId="1"/>
      <sheetData sheetId="2">
        <row r="11">
          <cell r="O11">
            <v>1</v>
          </cell>
          <cell r="P11">
            <v>2</v>
          </cell>
          <cell r="Q11">
            <v>3</v>
          </cell>
          <cell r="R11">
            <v>4</v>
          </cell>
          <cell r="S11">
            <v>5</v>
          </cell>
          <cell r="T11">
            <v>6</v>
          </cell>
          <cell r="U11">
            <v>7</v>
          </cell>
          <cell r="V11">
            <v>8</v>
          </cell>
          <cell r="W11">
            <v>9</v>
          </cell>
          <cell r="X11">
            <v>10</v>
          </cell>
          <cell r="Y11">
            <v>11</v>
          </cell>
          <cell r="Z11">
            <v>12</v>
          </cell>
          <cell r="AA11">
            <v>13</v>
          </cell>
          <cell r="AB11">
            <v>14</v>
          </cell>
          <cell r="AC11">
            <v>15</v>
          </cell>
          <cell r="AD11">
            <v>16</v>
          </cell>
          <cell r="AE11">
            <v>17</v>
          </cell>
          <cell r="AF11">
            <v>18</v>
          </cell>
          <cell r="AG11">
            <v>19</v>
          </cell>
          <cell r="AH11">
            <v>20</v>
          </cell>
          <cell r="AI11">
            <v>21</v>
          </cell>
          <cell r="AJ11">
            <v>22</v>
          </cell>
          <cell r="AK11">
            <v>23</v>
          </cell>
          <cell r="AL11">
            <v>24</v>
          </cell>
          <cell r="AM11">
            <v>25</v>
          </cell>
          <cell r="AN11">
            <v>26</v>
          </cell>
          <cell r="AO11">
            <v>27</v>
          </cell>
          <cell r="AP11">
            <v>28</v>
          </cell>
          <cell r="AQ11">
            <v>29</v>
          </cell>
          <cell r="AR11">
            <v>30</v>
          </cell>
          <cell r="AS11">
            <v>31</v>
          </cell>
          <cell r="AT11">
            <v>32</v>
          </cell>
          <cell r="AU11">
            <v>33</v>
          </cell>
          <cell r="AV11">
            <v>34</v>
          </cell>
          <cell r="AW11">
            <v>35</v>
          </cell>
          <cell r="AX11">
            <v>36</v>
          </cell>
          <cell r="AY11">
            <v>37</v>
          </cell>
          <cell r="AZ11">
            <v>38</v>
          </cell>
          <cell r="BA11">
            <v>39</v>
          </cell>
          <cell r="BB11">
            <v>40</v>
          </cell>
          <cell r="BC11">
            <v>41</v>
          </cell>
          <cell r="BD11">
            <v>42</v>
          </cell>
          <cell r="BE11">
            <v>43</v>
          </cell>
          <cell r="BF11">
            <v>44</v>
          </cell>
          <cell r="BG11">
            <v>45</v>
          </cell>
          <cell r="BH11">
            <v>46</v>
          </cell>
          <cell r="BI11">
            <v>47</v>
          </cell>
          <cell r="BJ11">
            <v>48</v>
          </cell>
          <cell r="BK11">
            <v>49</v>
          </cell>
          <cell r="BL11">
            <v>50</v>
          </cell>
        </row>
        <row r="60"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</row>
        <row r="64">
          <cell r="O64">
            <v>0</v>
          </cell>
          <cell r="P64">
            <v>0</v>
          </cell>
          <cell r="Q64">
            <v>0</v>
          </cell>
        </row>
        <row r="74"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</row>
        <row r="75"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  <cell r="AR75" t="str">
            <v/>
          </cell>
          <cell r="AS75" t="str">
            <v/>
          </cell>
          <cell r="AT75" t="str">
            <v/>
          </cell>
          <cell r="AU75" t="str">
            <v/>
          </cell>
          <cell r="AV75" t="str">
            <v/>
          </cell>
          <cell r="AW75" t="str">
            <v/>
          </cell>
          <cell r="AX75" t="str">
            <v/>
          </cell>
          <cell r="AY75" t="str">
            <v/>
          </cell>
          <cell r="AZ75" t="str">
            <v/>
          </cell>
          <cell r="BA75" t="str">
            <v/>
          </cell>
          <cell r="BB75" t="str">
            <v/>
          </cell>
          <cell r="BC75" t="str">
            <v/>
          </cell>
          <cell r="BD75" t="str">
            <v/>
          </cell>
          <cell r="BE75" t="str">
            <v/>
          </cell>
          <cell r="BF75" t="str">
            <v/>
          </cell>
          <cell r="BG75" t="str">
            <v/>
          </cell>
          <cell r="BH75" t="str">
            <v/>
          </cell>
          <cell r="BI75" t="str">
            <v/>
          </cell>
          <cell r="BJ75" t="str">
            <v/>
          </cell>
          <cell r="BK75" t="str">
            <v/>
          </cell>
          <cell r="BL75" t="str">
            <v/>
          </cell>
        </row>
        <row r="76"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  <cell r="AP76" t="str">
            <v/>
          </cell>
          <cell r="AQ76" t="str">
            <v/>
          </cell>
          <cell r="AR76" t="str">
            <v/>
          </cell>
          <cell r="AS76" t="str">
            <v/>
          </cell>
          <cell r="AT76" t="str">
            <v/>
          </cell>
          <cell r="AU76" t="str">
            <v/>
          </cell>
          <cell r="AV76" t="str">
            <v/>
          </cell>
          <cell r="AW76" t="str">
            <v/>
          </cell>
          <cell r="AX76" t="str">
            <v/>
          </cell>
          <cell r="AY76" t="str">
            <v/>
          </cell>
          <cell r="AZ76" t="str">
            <v/>
          </cell>
          <cell r="BA76" t="str">
            <v/>
          </cell>
          <cell r="BB76" t="str">
            <v/>
          </cell>
          <cell r="BC76" t="str">
            <v/>
          </cell>
          <cell r="BD76" t="str">
            <v/>
          </cell>
          <cell r="BE76" t="str">
            <v/>
          </cell>
          <cell r="BF76" t="str">
            <v/>
          </cell>
          <cell r="BG76" t="str">
            <v/>
          </cell>
          <cell r="BH76" t="str">
            <v/>
          </cell>
          <cell r="BI76" t="str">
            <v/>
          </cell>
          <cell r="BJ76" t="str">
            <v/>
          </cell>
          <cell r="BK76" t="str">
            <v/>
          </cell>
          <cell r="BL76" t="str">
            <v/>
          </cell>
        </row>
        <row r="77"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  <cell r="AR77" t="str">
            <v/>
          </cell>
          <cell r="AS77" t="str">
            <v/>
          </cell>
          <cell r="AT77" t="str">
            <v/>
          </cell>
          <cell r="AU77" t="str">
            <v/>
          </cell>
          <cell r="AV77" t="str">
            <v/>
          </cell>
          <cell r="AW77" t="str">
            <v/>
          </cell>
          <cell r="AX77" t="str">
            <v/>
          </cell>
          <cell r="AY77" t="str">
            <v/>
          </cell>
          <cell r="AZ77" t="str">
            <v/>
          </cell>
          <cell r="BA77" t="str">
            <v/>
          </cell>
          <cell r="BB77" t="str">
            <v/>
          </cell>
          <cell r="BC77" t="str">
            <v/>
          </cell>
          <cell r="BD77" t="str">
            <v/>
          </cell>
          <cell r="BE77" t="str">
            <v/>
          </cell>
          <cell r="BF77" t="str">
            <v/>
          </cell>
          <cell r="BG77" t="str">
            <v/>
          </cell>
          <cell r="BH77" t="str">
            <v/>
          </cell>
          <cell r="BI77" t="str">
            <v/>
          </cell>
          <cell r="BJ77" t="str">
            <v/>
          </cell>
          <cell r="BK77" t="str">
            <v/>
          </cell>
          <cell r="BL77" t="str">
            <v/>
          </cell>
        </row>
        <row r="78"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  <cell r="AR78" t="str">
            <v/>
          </cell>
          <cell r="AS78" t="str">
            <v/>
          </cell>
          <cell r="AT78" t="str">
            <v/>
          </cell>
          <cell r="AU78" t="str">
            <v/>
          </cell>
          <cell r="AV78" t="str">
            <v/>
          </cell>
          <cell r="AW78" t="str">
            <v/>
          </cell>
          <cell r="AX78" t="str">
            <v/>
          </cell>
          <cell r="AY78" t="str">
            <v/>
          </cell>
          <cell r="AZ78" t="str">
            <v/>
          </cell>
          <cell r="BA78" t="str">
            <v/>
          </cell>
          <cell r="BB78" t="str">
            <v/>
          </cell>
          <cell r="BC78" t="str">
            <v/>
          </cell>
          <cell r="BD78" t="str">
            <v/>
          </cell>
          <cell r="BE78" t="str">
            <v/>
          </cell>
          <cell r="BF78" t="str">
            <v/>
          </cell>
          <cell r="BG78" t="str">
            <v/>
          </cell>
          <cell r="BH78" t="str">
            <v/>
          </cell>
          <cell r="BI78" t="str">
            <v/>
          </cell>
          <cell r="BJ78" t="str">
            <v/>
          </cell>
          <cell r="BK78" t="str">
            <v/>
          </cell>
          <cell r="BL78" t="str">
            <v/>
          </cell>
        </row>
        <row r="79"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  <cell r="AR79" t="str">
            <v/>
          </cell>
          <cell r="AS79" t="str">
            <v/>
          </cell>
          <cell r="AT79" t="str">
            <v/>
          </cell>
          <cell r="AU79" t="str">
            <v/>
          </cell>
          <cell r="AV79" t="str">
            <v/>
          </cell>
          <cell r="AW79" t="str">
            <v/>
          </cell>
          <cell r="AX79" t="str">
            <v/>
          </cell>
          <cell r="AY79" t="str">
            <v/>
          </cell>
          <cell r="AZ79" t="str">
            <v/>
          </cell>
          <cell r="BA79" t="str">
            <v/>
          </cell>
          <cell r="BB79" t="str">
            <v/>
          </cell>
          <cell r="BC79" t="str">
            <v/>
          </cell>
          <cell r="BD79" t="str">
            <v/>
          </cell>
          <cell r="BE79" t="str">
            <v/>
          </cell>
          <cell r="BF79" t="str">
            <v/>
          </cell>
          <cell r="BG79" t="str">
            <v/>
          </cell>
          <cell r="BH79" t="str">
            <v/>
          </cell>
          <cell r="BI79" t="str">
            <v/>
          </cell>
          <cell r="BJ79" t="str">
            <v/>
          </cell>
          <cell r="BK79" t="str">
            <v/>
          </cell>
          <cell r="BL79" t="str">
            <v/>
          </cell>
        </row>
        <row r="80"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  <cell r="AR80" t="str">
            <v/>
          </cell>
          <cell r="AS80" t="str">
            <v/>
          </cell>
          <cell r="AT80" t="str">
            <v/>
          </cell>
          <cell r="AU80" t="str">
            <v/>
          </cell>
          <cell r="AV80" t="str">
            <v/>
          </cell>
          <cell r="AW80" t="str">
            <v/>
          </cell>
          <cell r="AX80" t="str">
            <v/>
          </cell>
          <cell r="AY80" t="str">
            <v/>
          </cell>
          <cell r="AZ80" t="str">
            <v/>
          </cell>
          <cell r="BA80" t="str">
            <v/>
          </cell>
          <cell r="BB80" t="str">
            <v/>
          </cell>
          <cell r="BC80" t="str">
            <v/>
          </cell>
          <cell r="BD80" t="str">
            <v/>
          </cell>
          <cell r="BE80" t="str">
            <v/>
          </cell>
          <cell r="BF80" t="str">
            <v/>
          </cell>
          <cell r="BG80" t="str">
            <v/>
          </cell>
          <cell r="BH80" t="str">
            <v/>
          </cell>
          <cell r="BI80" t="str">
            <v/>
          </cell>
          <cell r="BJ80" t="str">
            <v/>
          </cell>
          <cell r="BK80" t="str">
            <v/>
          </cell>
          <cell r="BL80" t="str">
            <v/>
          </cell>
        </row>
        <row r="81"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  <cell r="AR81" t="str">
            <v/>
          </cell>
          <cell r="AS81" t="str">
            <v/>
          </cell>
          <cell r="AT81" t="str">
            <v/>
          </cell>
          <cell r="AU81" t="str">
            <v/>
          </cell>
          <cell r="AV81" t="str">
            <v/>
          </cell>
          <cell r="AW81" t="str">
            <v/>
          </cell>
          <cell r="AX81" t="str">
            <v/>
          </cell>
          <cell r="AY81" t="str">
            <v/>
          </cell>
          <cell r="AZ81" t="str">
            <v/>
          </cell>
          <cell r="BA81" t="str">
            <v/>
          </cell>
          <cell r="BB81" t="str">
            <v/>
          </cell>
          <cell r="BC81" t="str">
            <v/>
          </cell>
          <cell r="BD81" t="str">
            <v/>
          </cell>
          <cell r="BE81" t="str">
            <v/>
          </cell>
          <cell r="BF81" t="str">
            <v/>
          </cell>
          <cell r="BG81" t="str">
            <v/>
          </cell>
          <cell r="BH81" t="str">
            <v/>
          </cell>
          <cell r="BI81" t="str">
            <v/>
          </cell>
          <cell r="BJ81" t="str">
            <v/>
          </cell>
          <cell r="BK81" t="str">
            <v/>
          </cell>
          <cell r="BL81" t="str">
            <v/>
          </cell>
        </row>
        <row r="82"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  <cell r="AR82" t="str">
            <v/>
          </cell>
          <cell r="AS82" t="str">
            <v/>
          </cell>
          <cell r="AT82" t="str">
            <v/>
          </cell>
          <cell r="AU82" t="str">
            <v/>
          </cell>
          <cell r="AV82" t="str">
            <v/>
          </cell>
          <cell r="AW82" t="str">
            <v/>
          </cell>
          <cell r="AX82" t="str">
            <v/>
          </cell>
          <cell r="AY82" t="str">
            <v/>
          </cell>
          <cell r="AZ82" t="str">
            <v/>
          </cell>
          <cell r="BA82" t="str">
            <v/>
          </cell>
          <cell r="BB82" t="str">
            <v/>
          </cell>
          <cell r="BC82" t="str">
            <v/>
          </cell>
          <cell r="BD82" t="str">
            <v/>
          </cell>
          <cell r="BE82" t="str">
            <v/>
          </cell>
          <cell r="BF82" t="str">
            <v/>
          </cell>
          <cell r="BG82" t="str">
            <v/>
          </cell>
          <cell r="BH82" t="str">
            <v/>
          </cell>
          <cell r="BI82" t="str">
            <v/>
          </cell>
          <cell r="BJ82" t="str">
            <v/>
          </cell>
          <cell r="BK82" t="str">
            <v/>
          </cell>
          <cell r="BL82" t="str">
            <v/>
          </cell>
        </row>
        <row r="83"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  <cell r="AR83" t="str">
            <v/>
          </cell>
          <cell r="AS83" t="str">
            <v/>
          </cell>
          <cell r="AT83" t="str">
            <v/>
          </cell>
          <cell r="AU83" t="str">
            <v/>
          </cell>
          <cell r="AV83" t="str">
            <v/>
          </cell>
          <cell r="AW83" t="str">
            <v/>
          </cell>
          <cell r="AX83" t="str">
            <v/>
          </cell>
          <cell r="AY83" t="str">
            <v/>
          </cell>
          <cell r="AZ83" t="str">
            <v/>
          </cell>
          <cell r="BA83" t="str">
            <v/>
          </cell>
          <cell r="BB83" t="str">
            <v/>
          </cell>
          <cell r="BC83" t="str">
            <v/>
          </cell>
          <cell r="BD83" t="str">
            <v/>
          </cell>
          <cell r="BE83" t="str">
            <v/>
          </cell>
          <cell r="BF83" t="str">
            <v/>
          </cell>
          <cell r="BG83" t="str">
            <v/>
          </cell>
          <cell r="BH83" t="str">
            <v/>
          </cell>
          <cell r="BI83" t="str">
            <v/>
          </cell>
          <cell r="BJ83" t="str">
            <v/>
          </cell>
          <cell r="BK83" t="str">
            <v/>
          </cell>
          <cell r="BL83" t="str">
            <v/>
          </cell>
        </row>
        <row r="84"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  <cell r="AR84" t="str">
            <v/>
          </cell>
          <cell r="AS84" t="str">
            <v/>
          </cell>
          <cell r="AT84" t="str">
            <v/>
          </cell>
          <cell r="AU84" t="str">
            <v/>
          </cell>
          <cell r="AV84" t="str">
            <v/>
          </cell>
          <cell r="AW84" t="str">
            <v/>
          </cell>
          <cell r="AX84" t="str">
            <v/>
          </cell>
          <cell r="AY84" t="str">
            <v/>
          </cell>
          <cell r="AZ84" t="str">
            <v/>
          </cell>
          <cell r="BA84" t="str">
            <v/>
          </cell>
          <cell r="BB84" t="str">
            <v/>
          </cell>
          <cell r="BC84" t="str">
            <v/>
          </cell>
          <cell r="BD84" t="str">
            <v/>
          </cell>
          <cell r="BE84" t="str">
            <v/>
          </cell>
          <cell r="BF84" t="str">
            <v/>
          </cell>
          <cell r="BG84" t="str">
            <v/>
          </cell>
          <cell r="BH84" t="str">
            <v/>
          </cell>
          <cell r="BI84" t="str">
            <v/>
          </cell>
          <cell r="BJ84" t="str">
            <v/>
          </cell>
          <cell r="BK84" t="str">
            <v/>
          </cell>
          <cell r="BL84" t="str">
            <v/>
          </cell>
        </row>
        <row r="85"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  <cell r="AR85" t="str">
            <v/>
          </cell>
          <cell r="AS85" t="str">
            <v/>
          </cell>
          <cell r="AT85" t="str">
            <v/>
          </cell>
          <cell r="AU85" t="str">
            <v/>
          </cell>
          <cell r="AV85" t="str">
            <v/>
          </cell>
          <cell r="AW85" t="str">
            <v/>
          </cell>
          <cell r="AX85" t="str">
            <v/>
          </cell>
          <cell r="AY85" t="str">
            <v/>
          </cell>
          <cell r="AZ85" t="str">
            <v/>
          </cell>
          <cell r="BA85" t="str">
            <v/>
          </cell>
          <cell r="BB85" t="str">
            <v/>
          </cell>
          <cell r="BC85" t="str">
            <v/>
          </cell>
          <cell r="BD85" t="str">
            <v/>
          </cell>
          <cell r="BE85" t="str">
            <v/>
          </cell>
          <cell r="BF85" t="str">
            <v/>
          </cell>
          <cell r="BG85" t="str">
            <v/>
          </cell>
          <cell r="BH85" t="str">
            <v/>
          </cell>
          <cell r="BI85" t="str">
            <v/>
          </cell>
          <cell r="BJ85" t="str">
            <v/>
          </cell>
          <cell r="BK85" t="str">
            <v/>
          </cell>
          <cell r="BL85" t="str">
            <v/>
          </cell>
        </row>
        <row r="86"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  <cell r="AR86" t="str">
            <v/>
          </cell>
          <cell r="AS86" t="str">
            <v/>
          </cell>
          <cell r="AT86" t="str">
            <v/>
          </cell>
          <cell r="AU86" t="str">
            <v/>
          </cell>
          <cell r="AV86" t="str">
            <v/>
          </cell>
          <cell r="AW86" t="str">
            <v/>
          </cell>
          <cell r="AX86" t="str">
            <v/>
          </cell>
          <cell r="AY86" t="str">
            <v/>
          </cell>
          <cell r="AZ86" t="str">
            <v/>
          </cell>
          <cell r="BA86" t="str">
            <v/>
          </cell>
          <cell r="BB86" t="str">
            <v/>
          </cell>
          <cell r="BC86" t="str">
            <v/>
          </cell>
          <cell r="BD86" t="str">
            <v/>
          </cell>
          <cell r="BE86" t="str">
            <v/>
          </cell>
          <cell r="BF86" t="str">
            <v/>
          </cell>
          <cell r="BG86" t="str">
            <v/>
          </cell>
          <cell r="BH86" t="str">
            <v/>
          </cell>
          <cell r="BI86" t="str">
            <v/>
          </cell>
          <cell r="BJ86" t="str">
            <v/>
          </cell>
          <cell r="BK86" t="str">
            <v/>
          </cell>
          <cell r="BL86" t="str">
            <v/>
          </cell>
        </row>
        <row r="87"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  <cell r="AR87" t="str">
            <v/>
          </cell>
          <cell r="AS87" t="str">
            <v/>
          </cell>
          <cell r="AT87" t="str">
            <v/>
          </cell>
          <cell r="AU87" t="str">
            <v/>
          </cell>
          <cell r="AV87" t="str">
            <v/>
          </cell>
          <cell r="AW87" t="str">
            <v/>
          </cell>
          <cell r="AX87" t="str">
            <v/>
          </cell>
          <cell r="AY87" t="str">
            <v/>
          </cell>
          <cell r="AZ87" t="str">
            <v/>
          </cell>
          <cell r="BA87" t="str">
            <v/>
          </cell>
          <cell r="BB87" t="str">
            <v/>
          </cell>
          <cell r="BC87" t="str">
            <v/>
          </cell>
          <cell r="BD87" t="str">
            <v/>
          </cell>
          <cell r="BE87" t="str">
            <v/>
          </cell>
          <cell r="BF87" t="str">
            <v/>
          </cell>
          <cell r="BG87" t="str">
            <v/>
          </cell>
          <cell r="BH87" t="str">
            <v/>
          </cell>
          <cell r="BI87" t="str">
            <v/>
          </cell>
          <cell r="BJ87" t="str">
            <v/>
          </cell>
          <cell r="BK87" t="str">
            <v/>
          </cell>
          <cell r="BL87" t="str">
            <v/>
          </cell>
        </row>
        <row r="88"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  <cell r="AR88" t="str">
            <v/>
          </cell>
          <cell r="AS88" t="str">
            <v/>
          </cell>
          <cell r="AT88" t="str">
            <v/>
          </cell>
          <cell r="AU88" t="str">
            <v/>
          </cell>
          <cell r="AV88" t="str">
            <v/>
          </cell>
          <cell r="AW88" t="str">
            <v/>
          </cell>
          <cell r="AX88" t="str">
            <v/>
          </cell>
          <cell r="AY88" t="str">
            <v/>
          </cell>
          <cell r="AZ88" t="str">
            <v/>
          </cell>
          <cell r="BA88" t="str">
            <v/>
          </cell>
          <cell r="BB88" t="str">
            <v/>
          </cell>
          <cell r="BC88" t="str">
            <v/>
          </cell>
          <cell r="BD88" t="str">
            <v/>
          </cell>
          <cell r="BE88" t="str">
            <v/>
          </cell>
          <cell r="BF88" t="str">
            <v/>
          </cell>
          <cell r="BG88" t="str">
            <v/>
          </cell>
          <cell r="BH88" t="str">
            <v/>
          </cell>
          <cell r="BI88" t="str">
            <v/>
          </cell>
          <cell r="BJ88" t="str">
            <v/>
          </cell>
          <cell r="BK88" t="str">
            <v/>
          </cell>
          <cell r="BL88" t="str">
            <v/>
          </cell>
        </row>
        <row r="89"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  <cell r="AR89" t="str">
            <v/>
          </cell>
          <cell r="AS89" t="str">
            <v/>
          </cell>
          <cell r="AT89" t="str">
            <v/>
          </cell>
          <cell r="AU89" t="str">
            <v/>
          </cell>
          <cell r="AV89" t="str">
            <v/>
          </cell>
          <cell r="AW89" t="str">
            <v/>
          </cell>
          <cell r="AX89" t="str">
            <v/>
          </cell>
          <cell r="AY89" t="str">
            <v/>
          </cell>
          <cell r="AZ89" t="str">
            <v/>
          </cell>
          <cell r="BA89" t="str">
            <v/>
          </cell>
          <cell r="BB89" t="str">
            <v/>
          </cell>
          <cell r="BC89" t="str">
            <v/>
          </cell>
          <cell r="BD89" t="str">
            <v/>
          </cell>
          <cell r="BE89" t="str">
            <v/>
          </cell>
          <cell r="BF89" t="str">
            <v/>
          </cell>
          <cell r="BG89" t="str">
            <v/>
          </cell>
          <cell r="BH89" t="str">
            <v/>
          </cell>
          <cell r="BI89" t="str">
            <v/>
          </cell>
          <cell r="BJ89" t="str">
            <v/>
          </cell>
          <cell r="BK89" t="str">
            <v/>
          </cell>
          <cell r="BL89" t="str">
            <v/>
          </cell>
        </row>
        <row r="90"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  <cell r="AR90" t="str">
            <v/>
          </cell>
          <cell r="AS90" t="str">
            <v/>
          </cell>
          <cell r="AT90" t="str">
            <v/>
          </cell>
          <cell r="AU90" t="str">
            <v/>
          </cell>
          <cell r="AV90" t="str">
            <v/>
          </cell>
          <cell r="AW90" t="str">
            <v/>
          </cell>
          <cell r="AX90" t="str">
            <v/>
          </cell>
          <cell r="AY90" t="str">
            <v/>
          </cell>
          <cell r="AZ90" t="str">
            <v/>
          </cell>
          <cell r="BA90" t="str">
            <v/>
          </cell>
          <cell r="BB90" t="str">
            <v/>
          </cell>
          <cell r="BC90" t="str">
            <v/>
          </cell>
          <cell r="BD90" t="str">
            <v/>
          </cell>
          <cell r="BE90" t="str">
            <v/>
          </cell>
          <cell r="BF90" t="str">
            <v/>
          </cell>
          <cell r="BG90" t="str">
            <v/>
          </cell>
          <cell r="BH90" t="str">
            <v/>
          </cell>
          <cell r="BI90" t="str">
            <v/>
          </cell>
          <cell r="BJ90" t="str">
            <v/>
          </cell>
          <cell r="BK90" t="str">
            <v/>
          </cell>
          <cell r="BL90" t="str">
            <v/>
          </cell>
        </row>
        <row r="91"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  <cell r="AR91" t="str">
            <v/>
          </cell>
          <cell r="AS91" t="str">
            <v/>
          </cell>
          <cell r="AT91" t="str">
            <v/>
          </cell>
          <cell r="AU91" t="str">
            <v/>
          </cell>
          <cell r="AV91" t="str">
            <v/>
          </cell>
          <cell r="AW91" t="str">
            <v/>
          </cell>
          <cell r="AX91" t="str">
            <v/>
          </cell>
          <cell r="AY91" t="str">
            <v/>
          </cell>
          <cell r="AZ91" t="str">
            <v/>
          </cell>
          <cell r="BA91" t="str">
            <v/>
          </cell>
          <cell r="BB91" t="str">
            <v/>
          </cell>
          <cell r="BC91" t="str">
            <v/>
          </cell>
          <cell r="BD91" t="str">
            <v/>
          </cell>
          <cell r="BE91" t="str">
            <v/>
          </cell>
          <cell r="BF91" t="str">
            <v/>
          </cell>
          <cell r="BG91" t="str">
            <v/>
          </cell>
          <cell r="BH91" t="str">
            <v/>
          </cell>
          <cell r="BI91" t="str">
            <v/>
          </cell>
          <cell r="BJ91" t="str">
            <v/>
          </cell>
          <cell r="BK91" t="str">
            <v/>
          </cell>
          <cell r="BL91" t="str">
            <v/>
          </cell>
        </row>
        <row r="92"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  <cell r="AR92" t="str">
            <v/>
          </cell>
          <cell r="AS92" t="str">
            <v/>
          </cell>
          <cell r="AT92" t="str">
            <v/>
          </cell>
          <cell r="AU92" t="str">
            <v/>
          </cell>
          <cell r="AV92" t="str">
            <v/>
          </cell>
          <cell r="AW92" t="str">
            <v/>
          </cell>
          <cell r="AX92" t="str">
            <v/>
          </cell>
          <cell r="AY92" t="str">
            <v/>
          </cell>
          <cell r="AZ92" t="str">
            <v/>
          </cell>
          <cell r="BA92" t="str">
            <v/>
          </cell>
          <cell r="BB92" t="str">
            <v/>
          </cell>
          <cell r="BC92" t="str">
            <v/>
          </cell>
          <cell r="BD92" t="str">
            <v/>
          </cell>
          <cell r="BE92" t="str">
            <v/>
          </cell>
          <cell r="BF92" t="str">
            <v/>
          </cell>
          <cell r="BG92" t="str">
            <v/>
          </cell>
          <cell r="BH92" t="str">
            <v/>
          </cell>
          <cell r="BI92" t="str">
            <v/>
          </cell>
          <cell r="BJ92" t="str">
            <v/>
          </cell>
          <cell r="BK92" t="str">
            <v/>
          </cell>
          <cell r="BL92" t="str">
            <v/>
          </cell>
        </row>
        <row r="93"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  <cell r="AR93" t="str">
            <v/>
          </cell>
          <cell r="AS93" t="str">
            <v/>
          </cell>
          <cell r="AT93" t="str">
            <v/>
          </cell>
          <cell r="AU93" t="str">
            <v/>
          </cell>
          <cell r="AV93" t="str">
            <v/>
          </cell>
          <cell r="AW93" t="str">
            <v/>
          </cell>
          <cell r="AX93" t="str">
            <v/>
          </cell>
          <cell r="AY93" t="str">
            <v/>
          </cell>
          <cell r="AZ93" t="str">
            <v/>
          </cell>
          <cell r="BA93" t="str">
            <v/>
          </cell>
          <cell r="BB93" t="str">
            <v/>
          </cell>
          <cell r="BC93" t="str">
            <v/>
          </cell>
          <cell r="BD93" t="str">
            <v/>
          </cell>
          <cell r="BE93" t="str">
            <v/>
          </cell>
          <cell r="BF93" t="str">
            <v/>
          </cell>
          <cell r="BG93" t="str">
            <v/>
          </cell>
          <cell r="BH93" t="str">
            <v/>
          </cell>
          <cell r="BI93" t="str">
            <v/>
          </cell>
          <cell r="BJ93" t="str">
            <v/>
          </cell>
          <cell r="BK93" t="str">
            <v/>
          </cell>
          <cell r="BL93" t="str">
            <v/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etunjuk"/>
      <sheetName val="Biodata"/>
      <sheetName val="Telaah_PG"/>
      <sheetName val="Telaah_UR"/>
      <sheetName val="Ins_PG"/>
      <sheetName val="Ins_UR"/>
      <sheetName val="Hasil_PG"/>
      <sheetName val="Hasil_UR"/>
      <sheetName val="Rekap"/>
      <sheetName val="BA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MATA PELAJARAN</v>
          </cell>
          <cell r="B1" t="str">
            <v>NAMA PENYUSUN</v>
          </cell>
          <cell r="C1" t="str">
            <v>PILGAN</v>
          </cell>
          <cell r="D1" t="str">
            <v>URAIAN</v>
          </cell>
        </row>
        <row r="2">
          <cell r="A2" t="str">
            <v>Administrasi Umum</v>
          </cell>
          <cell r="B2" t="str">
            <v>Intan Tripalupi, S.Pd</v>
          </cell>
          <cell r="C2">
            <v>40</v>
          </cell>
          <cell r="D2">
            <v>5</v>
          </cell>
        </row>
        <row r="3">
          <cell r="A3" t="str">
            <v>Bahasa Indonesia</v>
          </cell>
          <cell r="B3" t="str">
            <v>Dra. Sri Hartati</v>
          </cell>
          <cell r="C3">
            <v>40</v>
          </cell>
          <cell r="D3">
            <v>5</v>
          </cell>
        </row>
        <row r="4">
          <cell r="A4" t="str">
            <v>Bahasa Inggris</v>
          </cell>
          <cell r="B4" t="str">
            <v>Galuh Wuri P, S.Pd</v>
          </cell>
          <cell r="C4">
            <v>40</v>
          </cell>
          <cell r="D4">
            <v>5</v>
          </cell>
        </row>
        <row r="5">
          <cell r="A5" t="str">
            <v xml:space="preserve">Bahasa Jawa </v>
          </cell>
          <cell r="B5" t="str">
            <v>Dewi Parwanti, S.Pd</v>
          </cell>
          <cell r="C5">
            <v>40</v>
          </cell>
          <cell r="D5">
            <v>5</v>
          </cell>
        </row>
        <row r="6">
          <cell r="A6" t="str">
            <v>Dasar Program Keahlian</v>
          </cell>
          <cell r="B6" t="str">
            <v>Diyan Wahyudi, S.Pd</v>
          </cell>
          <cell r="C6">
            <v>40</v>
          </cell>
          <cell r="D6">
            <v>5</v>
          </cell>
        </row>
        <row r="7">
          <cell r="A7" t="str">
            <v>Dasar Program Keahlian</v>
          </cell>
          <cell r="B7" t="str">
            <v>Bekti Tulus Martani, S. Pd</v>
          </cell>
          <cell r="C7">
            <v>40</v>
          </cell>
          <cell r="D7">
            <v>5</v>
          </cell>
        </row>
        <row r="8">
          <cell r="A8" t="str">
            <v>Dasar Program Keahlian</v>
          </cell>
          <cell r="B8" t="str">
            <v>Dina Kristiana, S.Pd</v>
          </cell>
          <cell r="C8">
            <v>40</v>
          </cell>
          <cell r="D8">
            <v>5</v>
          </cell>
        </row>
        <row r="9">
          <cell r="A9" t="str">
            <v>Ekonomi Bisnis</v>
          </cell>
          <cell r="B9" t="str">
            <v>Bahrudin, S.Pd</v>
          </cell>
          <cell r="C9">
            <v>40</v>
          </cell>
          <cell r="D9">
            <v>5</v>
          </cell>
        </row>
        <row r="10">
          <cell r="A10" t="str">
            <v>Fisika</v>
          </cell>
          <cell r="B10" t="str">
            <v>Putri Yuli Purwaningrum,S.Pd</v>
          </cell>
          <cell r="C10">
            <v>40</v>
          </cell>
          <cell r="D10">
            <v>5</v>
          </cell>
        </row>
        <row r="11">
          <cell r="A11" t="str">
            <v>Ilmu Pengetahuan Alam</v>
          </cell>
          <cell r="B11" t="str">
            <v>Emi Rukmana, S.Pd</v>
          </cell>
          <cell r="C11">
            <v>40</v>
          </cell>
          <cell r="D11">
            <v>5</v>
          </cell>
        </row>
        <row r="12">
          <cell r="A12" t="str">
            <v>Kimia</v>
          </cell>
          <cell r="B12" t="str">
            <v>Lilis Sofiyatul Asna, S.Pd</v>
          </cell>
          <cell r="C12">
            <v>40</v>
          </cell>
          <cell r="D12">
            <v>5</v>
          </cell>
        </row>
        <row r="13">
          <cell r="A13" t="str">
            <v>Matematika</v>
          </cell>
          <cell r="B13" t="str">
            <v>Indira Prasetya Ardi, S.Pd</v>
          </cell>
          <cell r="C13">
            <v>30</v>
          </cell>
          <cell r="D13">
            <v>5</v>
          </cell>
        </row>
        <row r="14">
          <cell r="A14" t="str">
            <v>Pendidikan Agama Islam dan BP</v>
          </cell>
          <cell r="B14" t="str">
            <v>Sutrisno, S.Pd.I</v>
          </cell>
          <cell r="C14">
            <v>40</v>
          </cell>
          <cell r="D14">
            <v>5</v>
          </cell>
        </row>
        <row r="15">
          <cell r="A15" t="str">
            <v>Pendidikan Agama Kristen dan BP</v>
          </cell>
          <cell r="B15" t="str">
            <v>Dra. Sri Hartati</v>
          </cell>
          <cell r="C15">
            <v>40</v>
          </cell>
          <cell r="D15">
            <v>5</v>
          </cell>
        </row>
        <row r="16">
          <cell r="A16" t="str">
            <v>Penjasorkes</v>
          </cell>
          <cell r="B16" t="str">
            <v>Maryono, S.Pd</v>
          </cell>
          <cell r="C16">
            <v>40</v>
          </cell>
          <cell r="D16">
            <v>5</v>
          </cell>
        </row>
        <row r="17">
          <cell r="A17" t="str">
            <v>PPKn</v>
          </cell>
          <cell r="B17" t="str">
            <v>Tri Budi Santoso, S.Pd</v>
          </cell>
          <cell r="C17">
            <v>40</v>
          </cell>
          <cell r="D17">
            <v>5</v>
          </cell>
        </row>
        <row r="18">
          <cell r="A18" t="str">
            <v>Sejarah Indonesia</v>
          </cell>
          <cell r="B18" t="str">
            <v>Warastuti Sunarto Ady, S.Pd</v>
          </cell>
          <cell r="C18">
            <v>40</v>
          </cell>
          <cell r="D18">
            <v>5</v>
          </cell>
        </row>
        <row r="19">
          <cell r="A19" t="str">
            <v>Seni Budaya</v>
          </cell>
          <cell r="B19" t="str">
            <v>Nur Muaffah Zakiyati, S.Pd</v>
          </cell>
          <cell r="C19">
            <v>40</v>
          </cell>
          <cell r="D19">
            <v>5</v>
          </cell>
        </row>
        <row r="20">
          <cell r="A20" t="str">
            <v>Simulasi dan Komunikasi Digital</v>
          </cell>
          <cell r="B20" t="str">
            <v>Wahyu Widia Pangestika, S.Pd</v>
          </cell>
          <cell r="C20">
            <v>40</v>
          </cell>
          <cell r="D20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"/>
  <sheetViews>
    <sheetView showGridLines="0" workbookViewId="0">
      <selection activeCell="D18" sqref="D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7"/>
  <sheetViews>
    <sheetView showGridLines="0" topLeftCell="A5" workbookViewId="0">
      <selection activeCell="B10" sqref="B10"/>
    </sheetView>
  </sheetViews>
  <sheetFormatPr defaultColWidth="8.85546875" defaultRowHeight="18" x14ac:dyDescent="0.25"/>
  <cols>
    <col min="1" max="1" width="3.5703125" style="94" customWidth="1"/>
    <col min="2" max="2" width="5.85546875" style="93" customWidth="1"/>
    <col min="3" max="16384" width="8.85546875" style="18"/>
  </cols>
  <sheetData>
    <row r="1" spans="1:13" ht="25.5" x14ac:dyDescent="0.35">
      <c r="A1" s="92" t="s">
        <v>253</v>
      </c>
    </row>
    <row r="3" spans="1:13" x14ac:dyDescent="0.25">
      <c r="A3" s="94">
        <v>1</v>
      </c>
      <c r="B3" s="93" t="s">
        <v>254</v>
      </c>
    </row>
    <row r="4" spans="1:13" x14ac:dyDescent="0.25">
      <c r="B4" s="93">
        <v>1.1000000000000001</v>
      </c>
      <c r="C4" s="18" t="s">
        <v>255</v>
      </c>
    </row>
    <row r="5" spans="1:13" x14ac:dyDescent="0.25">
      <c r="A5" s="94">
        <v>2</v>
      </c>
      <c r="B5" s="93" t="s">
        <v>256</v>
      </c>
    </row>
    <row r="6" spans="1:13" ht="33.6" customHeight="1" x14ac:dyDescent="0.25">
      <c r="B6" s="95">
        <v>2.1</v>
      </c>
      <c r="C6" s="110" t="s">
        <v>257</v>
      </c>
      <c r="D6" s="110"/>
      <c r="E6" s="110"/>
      <c r="F6" s="110"/>
      <c r="G6" s="110"/>
      <c r="H6" s="110"/>
      <c r="I6" s="110"/>
      <c r="J6" s="110"/>
      <c r="K6" s="110"/>
      <c r="L6" s="110"/>
      <c r="M6" s="110"/>
    </row>
    <row r="7" spans="1:13" x14ac:dyDescent="0.25">
      <c r="A7" s="94">
        <v>3</v>
      </c>
      <c r="B7" s="93" t="s">
        <v>258</v>
      </c>
    </row>
    <row r="8" spans="1:13" ht="34.9" customHeight="1" x14ac:dyDescent="0.25">
      <c r="B8" s="95">
        <v>3.1</v>
      </c>
      <c r="C8" s="111" t="s">
        <v>257</v>
      </c>
      <c r="D8" s="111"/>
      <c r="E8" s="111"/>
      <c r="F8" s="111"/>
      <c r="G8" s="111"/>
      <c r="H8" s="111"/>
      <c r="I8" s="111"/>
      <c r="J8" s="111"/>
      <c r="K8" s="111"/>
      <c r="L8" s="111"/>
      <c r="M8" s="111"/>
    </row>
    <row r="9" spans="1:13" x14ac:dyDescent="0.25">
      <c r="A9" s="94">
        <v>4</v>
      </c>
      <c r="B9" s="93" t="s">
        <v>259</v>
      </c>
    </row>
    <row r="10" spans="1:13" x14ac:dyDescent="0.25">
      <c r="B10" s="93">
        <v>4.0999999999999996</v>
      </c>
      <c r="C10" s="18" t="s">
        <v>261</v>
      </c>
    </row>
    <row r="11" spans="1:13" x14ac:dyDescent="0.25">
      <c r="B11" s="93">
        <v>4.2</v>
      </c>
      <c r="C11" s="18" t="s">
        <v>262</v>
      </c>
    </row>
    <row r="12" spans="1:13" x14ac:dyDescent="0.25">
      <c r="B12" s="93">
        <v>4.3</v>
      </c>
      <c r="C12" s="18" t="s">
        <v>263</v>
      </c>
    </row>
    <row r="13" spans="1:13" x14ac:dyDescent="0.25">
      <c r="B13" s="93">
        <v>4.4000000000000004</v>
      </c>
      <c r="C13" s="18" t="s">
        <v>264</v>
      </c>
    </row>
    <row r="14" spans="1:13" x14ac:dyDescent="0.25">
      <c r="B14" s="93">
        <v>4.5</v>
      </c>
      <c r="C14" s="18" t="s">
        <v>260</v>
      </c>
    </row>
    <row r="15" spans="1:13" x14ac:dyDescent="0.25">
      <c r="B15" s="93">
        <v>4.5999999999999996</v>
      </c>
      <c r="C15" s="18" t="s">
        <v>265</v>
      </c>
    </row>
    <row r="16" spans="1:13" x14ac:dyDescent="0.25">
      <c r="A16" s="94">
        <v>5</v>
      </c>
      <c r="B16" s="93" t="s">
        <v>266</v>
      </c>
    </row>
    <row r="17" spans="2:3" x14ac:dyDescent="0.25">
      <c r="B17" s="93">
        <v>5.0999999999999996</v>
      </c>
      <c r="C17" s="18" t="s">
        <v>268</v>
      </c>
    </row>
  </sheetData>
  <mergeCells count="2">
    <mergeCell ref="C6:M6"/>
    <mergeCell ref="C8:M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0"/>
  <sheetViews>
    <sheetView showGridLines="0" topLeftCell="A7" workbookViewId="0">
      <selection activeCell="F14" sqref="F13:F14"/>
    </sheetView>
  </sheetViews>
  <sheetFormatPr defaultColWidth="8.85546875" defaultRowHeight="15.75" x14ac:dyDescent="0.25"/>
  <cols>
    <col min="1" max="1" width="45.7109375" style="2" customWidth="1"/>
    <col min="2" max="2" width="2.5703125" style="2" customWidth="1"/>
    <col min="3" max="3" width="40.140625" style="2" customWidth="1"/>
    <col min="4" max="4" width="6.42578125" style="2" customWidth="1"/>
    <col min="5" max="5" width="2.5703125" style="2" customWidth="1"/>
    <col min="6" max="6" width="30.7109375" style="2" customWidth="1"/>
    <col min="7" max="16384" width="8.85546875" style="2"/>
  </cols>
  <sheetData>
    <row r="1" spans="1:6" ht="20.25" x14ac:dyDescent="0.3">
      <c r="A1" s="112" t="s">
        <v>197</v>
      </c>
      <c r="B1" s="112"/>
      <c r="C1" s="112"/>
      <c r="D1" s="112"/>
      <c r="E1" s="112"/>
      <c r="F1" s="112"/>
    </row>
    <row r="4" spans="1:6" ht="18" x14ac:dyDescent="0.25">
      <c r="A4" s="88" t="s">
        <v>184</v>
      </c>
      <c r="B4" s="89" t="s">
        <v>143</v>
      </c>
      <c r="C4" s="99" t="s">
        <v>287</v>
      </c>
      <c r="D4" s="100"/>
      <c r="E4" s="100"/>
      <c r="F4" s="101"/>
    </row>
    <row r="5" spans="1:6" ht="18" x14ac:dyDescent="0.25">
      <c r="A5" s="88" t="s">
        <v>185</v>
      </c>
      <c r="B5" s="89" t="s">
        <v>143</v>
      </c>
      <c r="C5" s="99" t="s">
        <v>288</v>
      </c>
      <c r="D5" s="100"/>
      <c r="E5" s="100"/>
      <c r="F5" s="101"/>
    </row>
    <row r="6" spans="1:6" ht="18" x14ac:dyDescent="0.25">
      <c r="A6" s="88" t="s">
        <v>69</v>
      </c>
      <c r="B6" s="89" t="s">
        <v>143</v>
      </c>
      <c r="C6" s="99" t="s">
        <v>283</v>
      </c>
      <c r="D6" s="100"/>
      <c r="E6" s="100"/>
      <c r="F6" s="101"/>
    </row>
    <row r="7" spans="1:6" ht="18" x14ac:dyDescent="0.25">
      <c r="A7" s="88" t="s">
        <v>163</v>
      </c>
      <c r="B7" s="89" t="s">
        <v>143</v>
      </c>
      <c r="C7" s="102" t="s">
        <v>284</v>
      </c>
      <c r="D7" s="103" t="s">
        <v>147</v>
      </c>
      <c r="E7" s="104" t="s">
        <v>143</v>
      </c>
      <c r="F7" s="105" t="s">
        <v>285</v>
      </c>
    </row>
    <row r="8" spans="1:6" ht="18" x14ac:dyDescent="0.25">
      <c r="A8" s="88" t="s">
        <v>148</v>
      </c>
      <c r="B8" s="89" t="s">
        <v>143</v>
      </c>
      <c r="C8" s="102" t="s">
        <v>289</v>
      </c>
      <c r="D8" s="103" t="s">
        <v>147</v>
      </c>
      <c r="E8" s="104" t="s">
        <v>143</v>
      </c>
      <c r="F8" s="105" t="s">
        <v>290</v>
      </c>
    </row>
    <row r="9" spans="1:6" ht="18" x14ac:dyDescent="0.25">
      <c r="A9" s="88" t="s">
        <v>279</v>
      </c>
      <c r="B9" s="89" t="s">
        <v>143</v>
      </c>
      <c r="C9" s="102" t="s">
        <v>296</v>
      </c>
      <c r="D9" s="103" t="s">
        <v>147</v>
      </c>
      <c r="E9" s="104" t="s">
        <v>143</v>
      </c>
      <c r="F9" s="105" t="s">
        <v>297</v>
      </c>
    </row>
    <row r="10" spans="1:6" ht="18" x14ac:dyDescent="0.25">
      <c r="A10" s="88" t="s">
        <v>183</v>
      </c>
      <c r="B10" s="89" t="s">
        <v>143</v>
      </c>
      <c r="C10" s="102" t="s">
        <v>295</v>
      </c>
      <c r="D10" s="103" t="s">
        <v>147</v>
      </c>
      <c r="E10" s="104" t="s">
        <v>143</v>
      </c>
      <c r="F10" s="105" t="s">
        <v>286</v>
      </c>
    </row>
    <row r="11" spans="1:6" ht="18" x14ac:dyDescent="0.25">
      <c r="A11" s="88" t="s">
        <v>158</v>
      </c>
      <c r="B11" s="89" t="s">
        <v>143</v>
      </c>
      <c r="C11" s="102" t="s">
        <v>294</v>
      </c>
      <c r="D11" s="103" t="s">
        <v>147</v>
      </c>
      <c r="E11" s="104" t="s">
        <v>143</v>
      </c>
      <c r="F11" s="106" t="s">
        <v>286</v>
      </c>
    </row>
    <row r="12" spans="1:6" ht="18" x14ac:dyDescent="0.25">
      <c r="A12" s="88" t="s">
        <v>267</v>
      </c>
      <c r="B12" s="89" t="s">
        <v>143</v>
      </c>
      <c r="C12" s="102">
        <f>VLOOKUP(C6,[2]Sheet2!A1:D20,3)</f>
        <v>40</v>
      </c>
    </row>
    <row r="13" spans="1:6" ht="18" x14ac:dyDescent="0.25">
      <c r="A13" s="88" t="s">
        <v>247</v>
      </c>
      <c r="B13" s="89" t="s">
        <v>143</v>
      </c>
      <c r="C13" s="102">
        <f>VLOOKUP(C6,[2]Sheet2!A1:D20,4)</f>
        <v>5</v>
      </c>
    </row>
    <row r="14" spans="1:6" ht="18" x14ac:dyDescent="0.25">
      <c r="A14" s="88" t="s">
        <v>186</v>
      </c>
      <c r="B14" s="89" t="s">
        <v>143</v>
      </c>
      <c r="C14" s="102" t="s">
        <v>276</v>
      </c>
    </row>
    <row r="15" spans="1:6" ht="18" x14ac:dyDescent="0.25">
      <c r="A15" s="88" t="s">
        <v>205</v>
      </c>
      <c r="B15" s="89" t="s">
        <v>143</v>
      </c>
      <c r="C15" s="105" t="s">
        <v>291</v>
      </c>
    </row>
    <row r="16" spans="1:6" ht="18" x14ac:dyDescent="0.25">
      <c r="A16" s="88" t="s">
        <v>204</v>
      </c>
      <c r="B16" s="89" t="s">
        <v>143</v>
      </c>
      <c r="C16" s="105" t="s">
        <v>292</v>
      </c>
    </row>
    <row r="17" spans="1:6" ht="18" x14ac:dyDescent="0.25">
      <c r="A17" s="88" t="s">
        <v>187</v>
      </c>
      <c r="B17" s="89" t="s">
        <v>143</v>
      </c>
      <c r="C17" s="106" t="s">
        <v>293</v>
      </c>
    </row>
    <row r="18" spans="1:6" ht="18" x14ac:dyDescent="0.25">
      <c r="A18" s="88" t="s">
        <v>188</v>
      </c>
      <c r="B18" s="89" t="s">
        <v>143</v>
      </c>
      <c r="C18" s="105" t="s">
        <v>271</v>
      </c>
    </row>
    <row r="19" spans="1:6" ht="18" x14ac:dyDescent="0.25">
      <c r="A19" s="88" t="s">
        <v>189</v>
      </c>
      <c r="B19" s="89" t="s">
        <v>143</v>
      </c>
      <c r="C19" s="105" t="s">
        <v>270</v>
      </c>
    </row>
    <row r="20" spans="1:6" ht="18" x14ac:dyDescent="0.25">
      <c r="A20" s="18"/>
      <c r="B20" s="18"/>
      <c r="C20" s="18"/>
      <c r="D20" s="18"/>
      <c r="E20" s="18"/>
      <c r="F20" s="18"/>
    </row>
  </sheetData>
  <mergeCells count="1">
    <mergeCell ref="A1:F1"/>
  </mergeCells>
  <dataValidations count="1">
    <dataValidation type="list" showInputMessage="1" showErrorMessage="1" sqref="C6">
      <formula1>$A$100:$A$118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LK75"/>
  <sheetViews>
    <sheetView showGridLines="0" zoomScale="10" zoomScaleNormal="10" workbookViewId="0">
      <selection activeCell="DB59" sqref="DB59:DB65"/>
    </sheetView>
  </sheetViews>
  <sheetFormatPr defaultColWidth="8.85546875" defaultRowHeight="15.75" x14ac:dyDescent="0.25"/>
  <cols>
    <col min="1" max="1" width="4" style="2" customWidth="1"/>
    <col min="2" max="2" width="12.28515625" style="2" customWidth="1"/>
    <col min="3" max="3" width="3.5703125" style="2" customWidth="1"/>
    <col min="4" max="4" width="14" style="2" customWidth="1"/>
    <col min="5" max="5" width="4.85546875" style="2" customWidth="1"/>
    <col min="6" max="6" width="28.85546875" style="2" customWidth="1"/>
    <col min="7" max="7" width="2.140625" style="2" customWidth="1"/>
    <col min="8" max="8" width="35.7109375" style="2" customWidth="1"/>
    <col min="9" max="98" width="3.7109375" style="2" customWidth="1"/>
    <col min="99" max="99" width="4.5703125" style="2" customWidth="1"/>
    <col min="100" max="323" width="3.7109375" style="2" customWidth="1"/>
    <col min="324" max="16384" width="8.85546875" style="2"/>
  </cols>
  <sheetData>
    <row r="1" spans="1:323" x14ac:dyDescent="0.25">
      <c r="A1" s="2" t="s">
        <v>191</v>
      </c>
    </row>
    <row r="2" spans="1:323" x14ac:dyDescent="0.25">
      <c r="A2" s="2" t="s">
        <v>193</v>
      </c>
    </row>
    <row r="4" spans="1:323" x14ac:dyDescent="0.25">
      <c r="A4" s="136" t="s">
        <v>92</v>
      </c>
      <c r="B4" s="136" t="s">
        <v>179</v>
      </c>
      <c r="C4" s="136" t="s">
        <v>93</v>
      </c>
      <c r="D4" s="136"/>
      <c r="E4" s="136"/>
      <c r="F4" s="136"/>
      <c r="G4" s="136" t="s">
        <v>180</v>
      </c>
      <c r="H4" s="136"/>
      <c r="I4" s="119" t="s">
        <v>192</v>
      </c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3" t="s">
        <v>51</v>
      </c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  <c r="CB4" s="113"/>
      <c r="CC4" s="113"/>
      <c r="CD4" s="113"/>
      <c r="CE4" s="113"/>
      <c r="CF4" s="113"/>
      <c r="CG4" s="113"/>
      <c r="CH4" s="113"/>
      <c r="CI4" s="113"/>
      <c r="CJ4" s="113"/>
      <c r="CK4" s="113"/>
      <c r="CL4" s="113"/>
      <c r="CM4" s="113"/>
      <c r="CN4" s="113"/>
      <c r="CO4" s="113"/>
      <c r="CP4" s="113"/>
      <c r="CQ4" s="113"/>
      <c r="CR4" s="113"/>
      <c r="CS4" s="113"/>
      <c r="CT4" s="113"/>
      <c r="CU4" s="113" t="s">
        <v>53</v>
      </c>
      <c r="CV4" s="113"/>
      <c r="CW4" s="113"/>
      <c r="CX4" s="113"/>
      <c r="CY4" s="113"/>
      <c r="CZ4" s="113"/>
      <c r="DA4" s="113"/>
      <c r="DB4" s="113"/>
      <c r="DC4" s="113"/>
      <c r="DD4" s="113"/>
      <c r="DE4" s="113"/>
      <c r="DF4" s="113"/>
      <c r="DG4" s="113"/>
      <c r="DH4" s="113"/>
      <c r="DI4" s="113"/>
      <c r="DJ4" s="113"/>
      <c r="DK4" s="113"/>
      <c r="DL4" s="113"/>
      <c r="DM4" s="113"/>
      <c r="DN4" s="113"/>
      <c r="DO4" s="113"/>
      <c r="DP4" s="113"/>
      <c r="DQ4" s="113"/>
      <c r="DR4" s="113"/>
      <c r="DS4" s="113"/>
      <c r="DT4" s="113"/>
      <c r="DU4" s="113"/>
      <c r="DV4" s="113"/>
      <c r="DW4" s="113"/>
      <c r="DX4" s="113"/>
      <c r="DY4" s="113"/>
      <c r="DZ4" s="113"/>
      <c r="EA4" s="113"/>
      <c r="EB4" s="113"/>
      <c r="EC4" s="113"/>
      <c r="ED4" s="113"/>
      <c r="EE4" s="113"/>
      <c r="EF4" s="113"/>
      <c r="EG4" s="113"/>
      <c r="EH4" s="113"/>
      <c r="EI4" s="113"/>
      <c r="EJ4" s="113"/>
      <c r="EK4" s="113"/>
      <c r="EL4" s="113"/>
      <c r="EM4" s="113"/>
      <c r="EN4" s="119" t="s">
        <v>54</v>
      </c>
      <c r="EO4" s="119"/>
      <c r="EP4" s="119"/>
      <c r="EQ4" s="119"/>
      <c r="ER4" s="119"/>
      <c r="ES4" s="119"/>
      <c r="ET4" s="119"/>
      <c r="EU4" s="119"/>
      <c r="EV4" s="119"/>
      <c r="EW4" s="119"/>
      <c r="EX4" s="119"/>
      <c r="EY4" s="119"/>
      <c r="EZ4" s="119"/>
      <c r="FA4" s="119"/>
      <c r="FB4" s="119"/>
      <c r="FC4" s="119"/>
      <c r="FD4" s="119"/>
      <c r="FE4" s="119"/>
      <c r="FF4" s="119"/>
      <c r="FG4" s="119"/>
      <c r="FH4" s="119"/>
      <c r="FI4" s="119"/>
      <c r="FJ4" s="119"/>
      <c r="FK4" s="119"/>
      <c r="FL4" s="119"/>
      <c r="FM4" s="119"/>
      <c r="FN4" s="119"/>
      <c r="FO4" s="119"/>
      <c r="FP4" s="119"/>
      <c r="FQ4" s="119"/>
      <c r="FR4" s="119"/>
      <c r="FS4" s="119"/>
      <c r="FT4" s="119"/>
      <c r="FU4" s="119"/>
      <c r="FV4" s="119"/>
      <c r="FW4" s="119"/>
      <c r="FX4" s="119"/>
      <c r="FY4" s="119"/>
      <c r="FZ4" s="119"/>
      <c r="GA4" s="119"/>
      <c r="GB4" s="119"/>
      <c r="GC4" s="119"/>
      <c r="GD4" s="119"/>
      <c r="GE4" s="119"/>
      <c r="GF4" s="119"/>
      <c r="GG4" s="119"/>
      <c r="GH4" s="119"/>
      <c r="GI4" s="119"/>
      <c r="GJ4" s="119"/>
      <c r="GK4" s="119"/>
      <c r="GL4" s="119"/>
      <c r="GM4" s="119"/>
      <c r="GN4" s="119"/>
      <c r="GO4" s="119"/>
      <c r="GP4" s="119"/>
      <c r="GQ4" s="119"/>
      <c r="GR4" s="119"/>
      <c r="GS4" s="119"/>
      <c r="GT4" s="119"/>
      <c r="GU4" s="119"/>
      <c r="GV4" s="119"/>
      <c r="GW4" s="119"/>
      <c r="GX4" s="119"/>
      <c r="GY4" s="119"/>
      <c r="GZ4" s="119"/>
      <c r="HA4" s="119"/>
      <c r="HB4" s="119"/>
      <c r="HC4" s="119"/>
      <c r="HD4" s="119"/>
      <c r="HE4" s="119"/>
      <c r="HF4" s="119"/>
      <c r="HG4" s="119"/>
      <c r="HH4" s="119"/>
      <c r="HI4" s="119"/>
      <c r="HJ4" s="119"/>
      <c r="HK4" s="119"/>
      <c r="HL4" s="119"/>
      <c r="HM4" s="119"/>
      <c r="HN4" s="119"/>
      <c r="HO4" s="119"/>
      <c r="HP4" s="119"/>
      <c r="HQ4" s="119"/>
      <c r="HR4" s="119"/>
      <c r="HS4" s="119"/>
      <c r="HT4" s="119"/>
      <c r="HU4" s="119"/>
      <c r="HV4" s="119"/>
      <c r="HW4" s="119"/>
      <c r="HX4" s="119"/>
      <c r="HY4" s="119"/>
      <c r="HZ4" s="113" t="s">
        <v>196</v>
      </c>
      <c r="IA4" s="113"/>
      <c r="IB4" s="113"/>
      <c r="IC4" s="113"/>
      <c r="ID4" s="113"/>
      <c r="IE4" s="113"/>
      <c r="IF4" s="113"/>
      <c r="IG4" s="113"/>
      <c r="IH4" s="113"/>
      <c r="II4" s="113"/>
      <c r="IJ4" s="113"/>
      <c r="IK4" s="113"/>
      <c r="IL4" s="113"/>
      <c r="IM4" s="113"/>
      <c r="IN4" s="113"/>
      <c r="IO4" s="113"/>
      <c r="IP4" s="113"/>
      <c r="IQ4" s="113"/>
      <c r="IR4" s="113"/>
      <c r="IS4" s="113"/>
      <c r="IT4" s="113"/>
      <c r="IU4" s="113"/>
      <c r="IV4" s="113"/>
      <c r="IW4" s="113"/>
      <c r="IX4" s="113"/>
      <c r="IY4" s="113"/>
      <c r="IZ4" s="113"/>
      <c r="JA4" s="113"/>
      <c r="JB4" s="113"/>
      <c r="JC4" s="113"/>
      <c r="JD4" s="113"/>
      <c r="JE4" s="113"/>
      <c r="JF4" s="113"/>
      <c r="JG4" s="113"/>
      <c r="JH4" s="113"/>
      <c r="JI4" s="113"/>
      <c r="JJ4" s="113"/>
      <c r="JK4" s="113"/>
      <c r="JL4" s="113"/>
      <c r="JM4" s="113"/>
      <c r="JN4" s="113"/>
      <c r="JO4" s="113"/>
      <c r="JP4" s="113"/>
      <c r="JQ4" s="113"/>
      <c r="JR4" s="113"/>
      <c r="JS4" s="113" t="s">
        <v>52</v>
      </c>
      <c r="JT4" s="113"/>
      <c r="JU4" s="113"/>
      <c r="JV4" s="113"/>
      <c r="JW4" s="113"/>
      <c r="JX4" s="113"/>
      <c r="JY4" s="113"/>
      <c r="JZ4" s="113"/>
      <c r="KA4" s="113"/>
      <c r="KB4" s="113"/>
      <c r="KC4" s="113"/>
      <c r="KD4" s="113"/>
      <c r="KE4" s="113"/>
      <c r="KF4" s="113"/>
      <c r="KG4" s="113"/>
      <c r="KH4" s="113"/>
      <c r="KI4" s="113"/>
      <c r="KJ4" s="113"/>
      <c r="KK4" s="113"/>
      <c r="KL4" s="113"/>
      <c r="KM4" s="113"/>
      <c r="KN4" s="113"/>
      <c r="KO4" s="113"/>
      <c r="KP4" s="113"/>
      <c r="KQ4" s="113"/>
      <c r="KR4" s="113"/>
      <c r="KS4" s="113"/>
      <c r="KT4" s="113"/>
      <c r="KU4" s="113"/>
      <c r="KV4" s="113"/>
      <c r="KW4" s="113"/>
      <c r="KX4" s="113"/>
      <c r="KY4" s="113"/>
      <c r="KZ4" s="113"/>
      <c r="LA4" s="113"/>
      <c r="LB4" s="113"/>
      <c r="LC4" s="113"/>
      <c r="LD4" s="113"/>
      <c r="LE4" s="113"/>
      <c r="LF4" s="113"/>
      <c r="LG4" s="113"/>
      <c r="LH4" s="113"/>
      <c r="LI4" s="113"/>
      <c r="LJ4" s="113"/>
      <c r="LK4" s="113"/>
    </row>
    <row r="5" spans="1:323" x14ac:dyDescent="0.25">
      <c r="A5" s="136"/>
      <c r="B5" s="136"/>
      <c r="C5" s="136"/>
      <c r="D5" s="136"/>
      <c r="E5" s="136"/>
      <c r="F5" s="136"/>
      <c r="G5" s="136"/>
      <c r="H5" s="136"/>
      <c r="I5" s="16">
        <v>1</v>
      </c>
      <c r="J5" s="16">
        <v>2</v>
      </c>
      <c r="K5" s="16">
        <v>3</v>
      </c>
      <c r="L5" s="16">
        <v>4</v>
      </c>
      <c r="M5" s="16">
        <v>5</v>
      </c>
      <c r="N5" s="16">
        <v>6</v>
      </c>
      <c r="O5" s="16">
        <v>7</v>
      </c>
      <c r="P5" s="16">
        <v>8</v>
      </c>
      <c r="Q5" s="16">
        <v>9</v>
      </c>
      <c r="R5" s="16">
        <v>10</v>
      </c>
      <c r="S5" s="16">
        <v>11</v>
      </c>
      <c r="T5" s="16">
        <v>12</v>
      </c>
      <c r="U5" s="16">
        <v>13</v>
      </c>
      <c r="V5" s="16">
        <v>14</v>
      </c>
      <c r="W5" s="16">
        <v>15</v>
      </c>
      <c r="X5" s="16">
        <v>16</v>
      </c>
      <c r="Y5" s="16">
        <v>17</v>
      </c>
      <c r="Z5" s="16">
        <v>18</v>
      </c>
      <c r="AA5" s="16">
        <v>19</v>
      </c>
      <c r="AB5" s="16">
        <v>20</v>
      </c>
      <c r="AC5" s="16">
        <v>21</v>
      </c>
      <c r="AD5" s="16">
        <v>22</v>
      </c>
      <c r="AE5" s="16">
        <v>23</v>
      </c>
      <c r="AF5" s="16">
        <v>24</v>
      </c>
      <c r="AG5" s="16">
        <v>25</v>
      </c>
      <c r="AH5" s="16">
        <v>26</v>
      </c>
      <c r="AI5" s="16">
        <v>27</v>
      </c>
      <c r="AJ5" s="16">
        <v>28</v>
      </c>
      <c r="AK5" s="16">
        <v>29</v>
      </c>
      <c r="AL5" s="16">
        <v>30</v>
      </c>
      <c r="AM5" s="16">
        <v>31</v>
      </c>
      <c r="AN5" s="16">
        <v>32</v>
      </c>
      <c r="AO5" s="16">
        <v>33</v>
      </c>
      <c r="AP5" s="16">
        <v>34</v>
      </c>
      <c r="AQ5" s="16">
        <v>35</v>
      </c>
      <c r="AR5" s="16">
        <v>36</v>
      </c>
      <c r="AS5" s="16">
        <v>37</v>
      </c>
      <c r="AT5" s="16">
        <v>38</v>
      </c>
      <c r="AU5" s="16">
        <v>39</v>
      </c>
      <c r="AV5" s="16">
        <v>40</v>
      </c>
      <c r="AW5" s="16">
        <v>41</v>
      </c>
      <c r="AX5" s="16">
        <v>42</v>
      </c>
      <c r="AY5" s="16">
        <v>43</v>
      </c>
      <c r="AZ5" s="16">
        <v>44</v>
      </c>
      <c r="BA5" s="16">
        <v>45</v>
      </c>
      <c r="BB5" s="19">
        <v>1</v>
      </c>
      <c r="BC5" s="19">
        <v>2</v>
      </c>
      <c r="BD5" s="19">
        <v>3</v>
      </c>
      <c r="BE5" s="19">
        <v>4</v>
      </c>
      <c r="BF5" s="19">
        <v>5</v>
      </c>
      <c r="BG5" s="19">
        <v>6</v>
      </c>
      <c r="BH5" s="19">
        <v>7</v>
      </c>
      <c r="BI5" s="19">
        <v>8</v>
      </c>
      <c r="BJ5" s="19">
        <v>9</v>
      </c>
      <c r="BK5" s="19">
        <v>10</v>
      </c>
      <c r="BL5" s="19">
        <v>11</v>
      </c>
      <c r="BM5" s="19">
        <v>12</v>
      </c>
      <c r="BN5" s="19">
        <v>13</v>
      </c>
      <c r="BO5" s="19">
        <v>14</v>
      </c>
      <c r="BP5" s="19">
        <v>15</v>
      </c>
      <c r="BQ5" s="19">
        <v>16</v>
      </c>
      <c r="BR5" s="19">
        <v>17</v>
      </c>
      <c r="BS5" s="19">
        <v>18</v>
      </c>
      <c r="BT5" s="19">
        <v>19</v>
      </c>
      <c r="BU5" s="19">
        <v>20</v>
      </c>
      <c r="BV5" s="19">
        <v>21</v>
      </c>
      <c r="BW5" s="19">
        <v>22</v>
      </c>
      <c r="BX5" s="19">
        <v>23</v>
      </c>
      <c r="BY5" s="19">
        <v>24</v>
      </c>
      <c r="BZ5" s="19">
        <v>25</v>
      </c>
      <c r="CA5" s="19">
        <v>26</v>
      </c>
      <c r="CB5" s="19">
        <v>27</v>
      </c>
      <c r="CC5" s="19">
        <v>28</v>
      </c>
      <c r="CD5" s="19">
        <v>29</v>
      </c>
      <c r="CE5" s="19">
        <v>30</v>
      </c>
      <c r="CF5" s="19">
        <v>31</v>
      </c>
      <c r="CG5" s="19">
        <v>32</v>
      </c>
      <c r="CH5" s="19">
        <v>33</v>
      </c>
      <c r="CI5" s="19">
        <v>34</v>
      </c>
      <c r="CJ5" s="19">
        <v>35</v>
      </c>
      <c r="CK5" s="19">
        <v>36</v>
      </c>
      <c r="CL5" s="19">
        <v>37</v>
      </c>
      <c r="CM5" s="19">
        <v>38</v>
      </c>
      <c r="CN5" s="19">
        <v>39</v>
      </c>
      <c r="CO5" s="19">
        <v>40</v>
      </c>
      <c r="CP5" s="19">
        <v>41</v>
      </c>
      <c r="CQ5" s="19">
        <v>42</v>
      </c>
      <c r="CR5" s="19">
        <v>43</v>
      </c>
      <c r="CS5" s="19">
        <v>44</v>
      </c>
      <c r="CT5" s="19">
        <v>45</v>
      </c>
      <c r="CU5" s="19">
        <v>1</v>
      </c>
      <c r="CV5" s="19">
        <v>2</v>
      </c>
      <c r="CW5" s="19">
        <v>3</v>
      </c>
      <c r="CX5" s="19">
        <v>4</v>
      </c>
      <c r="CY5" s="19">
        <v>5</v>
      </c>
      <c r="CZ5" s="19">
        <v>6</v>
      </c>
      <c r="DA5" s="19">
        <v>7</v>
      </c>
      <c r="DB5" s="19">
        <v>8</v>
      </c>
      <c r="DC5" s="19">
        <v>9</v>
      </c>
      <c r="DD5" s="19">
        <v>10</v>
      </c>
      <c r="DE5" s="19">
        <v>11</v>
      </c>
      <c r="DF5" s="19">
        <v>12</v>
      </c>
      <c r="DG5" s="19">
        <v>13</v>
      </c>
      <c r="DH5" s="19">
        <v>14</v>
      </c>
      <c r="DI5" s="19">
        <v>15</v>
      </c>
      <c r="DJ5" s="19">
        <v>16</v>
      </c>
      <c r="DK5" s="19">
        <v>17</v>
      </c>
      <c r="DL5" s="19">
        <v>18</v>
      </c>
      <c r="DM5" s="19">
        <v>19</v>
      </c>
      <c r="DN5" s="19">
        <v>20</v>
      </c>
      <c r="DO5" s="19">
        <v>21</v>
      </c>
      <c r="DP5" s="19">
        <v>22</v>
      </c>
      <c r="DQ5" s="19">
        <v>23</v>
      </c>
      <c r="DR5" s="19">
        <v>24</v>
      </c>
      <c r="DS5" s="19">
        <v>25</v>
      </c>
      <c r="DT5" s="19">
        <v>26</v>
      </c>
      <c r="DU5" s="19">
        <v>27</v>
      </c>
      <c r="DV5" s="19">
        <v>28</v>
      </c>
      <c r="DW5" s="19">
        <v>29</v>
      </c>
      <c r="DX5" s="19">
        <v>30</v>
      </c>
      <c r="DY5" s="19">
        <v>31</v>
      </c>
      <c r="DZ5" s="19">
        <v>32</v>
      </c>
      <c r="EA5" s="19">
        <v>33</v>
      </c>
      <c r="EB5" s="19">
        <v>34</v>
      </c>
      <c r="EC5" s="19">
        <v>35</v>
      </c>
      <c r="ED5" s="19">
        <v>36</v>
      </c>
      <c r="EE5" s="19">
        <v>37</v>
      </c>
      <c r="EF5" s="19">
        <v>38</v>
      </c>
      <c r="EG5" s="19">
        <v>39</v>
      </c>
      <c r="EH5" s="19">
        <v>40</v>
      </c>
      <c r="EI5" s="19">
        <v>41</v>
      </c>
      <c r="EJ5" s="19">
        <v>42</v>
      </c>
      <c r="EK5" s="19">
        <v>43</v>
      </c>
      <c r="EL5" s="19">
        <v>44</v>
      </c>
      <c r="EM5" s="19">
        <v>45</v>
      </c>
      <c r="EN5" s="19">
        <v>1</v>
      </c>
      <c r="EO5" s="19">
        <v>2</v>
      </c>
      <c r="EP5" s="19">
        <v>3</v>
      </c>
      <c r="EQ5" s="19">
        <v>4</v>
      </c>
      <c r="ER5" s="19">
        <v>5</v>
      </c>
      <c r="ES5" s="19">
        <v>6</v>
      </c>
      <c r="ET5" s="19">
        <v>7</v>
      </c>
      <c r="EU5" s="19">
        <v>8</v>
      </c>
      <c r="EV5" s="19">
        <v>9</v>
      </c>
      <c r="EW5" s="19">
        <v>10</v>
      </c>
      <c r="EX5" s="19">
        <v>11</v>
      </c>
      <c r="EY5" s="19">
        <v>12</v>
      </c>
      <c r="EZ5" s="19">
        <v>13</v>
      </c>
      <c r="FA5" s="19">
        <v>14</v>
      </c>
      <c r="FB5" s="19">
        <v>15</v>
      </c>
      <c r="FC5" s="19">
        <v>16</v>
      </c>
      <c r="FD5" s="19">
        <v>17</v>
      </c>
      <c r="FE5" s="19">
        <v>18</v>
      </c>
      <c r="FF5" s="19">
        <v>19</v>
      </c>
      <c r="FG5" s="19">
        <v>20</v>
      </c>
      <c r="FH5" s="19">
        <v>21</v>
      </c>
      <c r="FI5" s="19">
        <v>22</v>
      </c>
      <c r="FJ5" s="19">
        <v>23</v>
      </c>
      <c r="FK5" s="19">
        <v>24</v>
      </c>
      <c r="FL5" s="19">
        <v>25</v>
      </c>
      <c r="FM5" s="19">
        <v>26</v>
      </c>
      <c r="FN5" s="19">
        <v>27</v>
      </c>
      <c r="FO5" s="19">
        <v>28</v>
      </c>
      <c r="FP5" s="19">
        <v>29</v>
      </c>
      <c r="FQ5" s="19">
        <v>30</v>
      </c>
      <c r="FR5" s="19">
        <v>31</v>
      </c>
      <c r="FS5" s="19">
        <v>32</v>
      </c>
      <c r="FT5" s="19">
        <v>33</v>
      </c>
      <c r="FU5" s="19">
        <v>34</v>
      </c>
      <c r="FV5" s="19">
        <v>35</v>
      </c>
      <c r="FW5" s="19">
        <v>36</v>
      </c>
      <c r="FX5" s="19">
        <v>37</v>
      </c>
      <c r="FY5" s="19">
        <v>38</v>
      </c>
      <c r="FZ5" s="19">
        <v>39</v>
      </c>
      <c r="GA5" s="19">
        <v>40</v>
      </c>
      <c r="GB5" s="19">
        <v>41</v>
      </c>
      <c r="GC5" s="19">
        <v>42</v>
      </c>
      <c r="GD5" s="19">
        <v>43</v>
      </c>
      <c r="GE5" s="19">
        <v>44</v>
      </c>
      <c r="GF5" s="19">
        <v>45</v>
      </c>
      <c r="GG5" s="19">
        <v>1</v>
      </c>
      <c r="GH5" s="19">
        <v>2</v>
      </c>
      <c r="GI5" s="19">
        <v>3</v>
      </c>
      <c r="GJ5" s="19">
        <v>4</v>
      </c>
      <c r="GK5" s="19">
        <v>5</v>
      </c>
      <c r="GL5" s="19">
        <v>6</v>
      </c>
      <c r="GM5" s="19">
        <v>7</v>
      </c>
      <c r="GN5" s="19">
        <v>8</v>
      </c>
      <c r="GO5" s="19">
        <v>9</v>
      </c>
      <c r="GP5" s="19">
        <v>10</v>
      </c>
      <c r="GQ5" s="19">
        <v>11</v>
      </c>
      <c r="GR5" s="19">
        <v>12</v>
      </c>
      <c r="GS5" s="19">
        <v>13</v>
      </c>
      <c r="GT5" s="19">
        <v>14</v>
      </c>
      <c r="GU5" s="19">
        <v>15</v>
      </c>
      <c r="GV5" s="19">
        <v>16</v>
      </c>
      <c r="GW5" s="19">
        <v>17</v>
      </c>
      <c r="GX5" s="19">
        <v>18</v>
      </c>
      <c r="GY5" s="19">
        <v>19</v>
      </c>
      <c r="GZ5" s="19">
        <v>20</v>
      </c>
      <c r="HA5" s="19">
        <v>21</v>
      </c>
      <c r="HB5" s="19">
        <v>22</v>
      </c>
      <c r="HC5" s="19">
        <v>23</v>
      </c>
      <c r="HD5" s="19">
        <v>24</v>
      </c>
      <c r="HE5" s="19">
        <v>25</v>
      </c>
      <c r="HF5" s="19">
        <v>26</v>
      </c>
      <c r="HG5" s="19">
        <v>27</v>
      </c>
      <c r="HH5" s="19">
        <v>28</v>
      </c>
      <c r="HI5" s="19">
        <v>29</v>
      </c>
      <c r="HJ5" s="19">
        <v>30</v>
      </c>
      <c r="HK5" s="19">
        <v>31</v>
      </c>
      <c r="HL5" s="19">
        <v>32</v>
      </c>
      <c r="HM5" s="19">
        <v>33</v>
      </c>
      <c r="HN5" s="19">
        <v>34</v>
      </c>
      <c r="HO5" s="19">
        <v>35</v>
      </c>
      <c r="HP5" s="19">
        <v>36</v>
      </c>
      <c r="HQ5" s="19">
        <v>37</v>
      </c>
      <c r="HR5" s="19">
        <v>38</v>
      </c>
      <c r="HS5" s="19">
        <v>39</v>
      </c>
      <c r="HT5" s="19">
        <v>40</v>
      </c>
      <c r="HU5" s="19">
        <v>41</v>
      </c>
      <c r="HV5" s="19">
        <v>42</v>
      </c>
      <c r="HW5" s="19">
        <v>43</v>
      </c>
      <c r="HX5" s="19">
        <v>44</v>
      </c>
      <c r="HY5" s="19">
        <v>45</v>
      </c>
      <c r="HZ5" s="48">
        <v>1</v>
      </c>
      <c r="IA5" s="48">
        <v>2</v>
      </c>
      <c r="IB5" s="48">
        <v>3</v>
      </c>
      <c r="IC5" s="48">
        <v>4</v>
      </c>
      <c r="ID5" s="48">
        <v>5</v>
      </c>
      <c r="IE5" s="48">
        <v>6</v>
      </c>
      <c r="IF5" s="48">
        <v>7</v>
      </c>
      <c r="IG5" s="48">
        <v>8</v>
      </c>
      <c r="IH5" s="48">
        <v>9</v>
      </c>
      <c r="II5" s="48">
        <v>10</v>
      </c>
      <c r="IJ5" s="48">
        <v>11</v>
      </c>
      <c r="IK5" s="48">
        <v>12</v>
      </c>
      <c r="IL5" s="48">
        <v>13</v>
      </c>
      <c r="IM5" s="48">
        <v>14</v>
      </c>
      <c r="IN5" s="48">
        <v>15</v>
      </c>
      <c r="IO5" s="48">
        <v>16</v>
      </c>
      <c r="IP5" s="48">
        <v>17</v>
      </c>
      <c r="IQ5" s="48">
        <v>18</v>
      </c>
      <c r="IR5" s="48">
        <v>19</v>
      </c>
      <c r="IS5" s="48">
        <v>20</v>
      </c>
      <c r="IT5" s="48">
        <v>21</v>
      </c>
      <c r="IU5" s="48">
        <v>22</v>
      </c>
      <c r="IV5" s="48">
        <v>23</v>
      </c>
      <c r="IW5" s="48">
        <v>24</v>
      </c>
      <c r="IX5" s="48">
        <v>25</v>
      </c>
      <c r="IY5" s="48">
        <v>26</v>
      </c>
      <c r="IZ5" s="48">
        <v>27</v>
      </c>
      <c r="JA5" s="48">
        <v>28</v>
      </c>
      <c r="JB5" s="48">
        <v>29</v>
      </c>
      <c r="JC5" s="48">
        <v>30</v>
      </c>
      <c r="JD5" s="48">
        <v>31</v>
      </c>
      <c r="JE5" s="48">
        <v>32</v>
      </c>
      <c r="JF5" s="48">
        <v>33</v>
      </c>
      <c r="JG5" s="48">
        <v>34</v>
      </c>
      <c r="JH5" s="48">
        <v>35</v>
      </c>
      <c r="JI5" s="48">
        <v>36</v>
      </c>
      <c r="JJ5" s="48">
        <v>37</v>
      </c>
      <c r="JK5" s="48">
        <v>38</v>
      </c>
      <c r="JL5" s="48">
        <v>39</v>
      </c>
      <c r="JM5" s="48">
        <v>40</v>
      </c>
      <c r="JN5" s="48">
        <v>41</v>
      </c>
      <c r="JO5" s="48">
        <v>42</v>
      </c>
      <c r="JP5" s="48">
        <v>43</v>
      </c>
      <c r="JQ5" s="48">
        <v>44</v>
      </c>
      <c r="JR5" s="48">
        <v>45</v>
      </c>
      <c r="JS5" s="33">
        <v>1</v>
      </c>
      <c r="JT5" s="33">
        <v>2</v>
      </c>
      <c r="JU5" s="33">
        <v>3</v>
      </c>
      <c r="JV5" s="33">
        <v>4</v>
      </c>
      <c r="JW5" s="33">
        <v>5</v>
      </c>
      <c r="JX5" s="33">
        <v>6</v>
      </c>
      <c r="JY5" s="33">
        <v>7</v>
      </c>
      <c r="JZ5" s="33">
        <v>8</v>
      </c>
      <c r="KA5" s="33">
        <v>9</v>
      </c>
      <c r="KB5" s="33">
        <v>10</v>
      </c>
      <c r="KC5" s="33">
        <v>11</v>
      </c>
      <c r="KD5" s="33">
        <v>12</v>
      </c>
      <c r="KE5" s="33">
        <v>13</v>
      </c>
      <c r="KF5" s="33">
        <v>14</v>
      </c>
      <c r="KG5" s="33">
        <v>15</v>
      </c>
      <c r="KH5" s="33">
        <v>16</v>
      </c>
      <c r="KI5" s="33">
        <v>17</v>
      </c>
      <c r="KJ5" s="33">
        <v>18</v>
      </c>
      <c r="KK5" s="33">
        <v>19</v>
      </c>
      <c r="KL5" s="33">
        <v>20</v>
      </c>
      <c r="KM5" s="33">
        <v>21</v>
      </c>
      <c r="KN5" s="33">
        <v>22</v>
      </c>
      <c r="KO5" s="33">
        <v>23</v>
      </c>
      <c r="KP5" s="33">
        <v>24</v>
      </c>
      <c r="KQ5" s="33">
        <v>25</v>
      </c>
      <c r="KR5" s="33">
        <v>26</v>
      </c>
      <c r="KS5" s="33">
        <v>27</v>
      </c>
      <c r="KT5" s="33">
        <v>28</v>
      </c>
      <c r="KU5" s="33">
        <v>29</v>
      </c>
      <c r="KV5" s="33">
        <v>30</v>
      </c>
      <c r="KW5" s="33">
        <v>31</v>
      </c>
      <c r="KX5" s="33">
        <v>32</v>
      </c>
      <c r="KY5" s="33">
        <v>33</v>
      </c>
      <c r="KZ5" s="33">
        <v>34</v>
      </c>
      <c r="LA5" s="33">
        <v>35</v>
      </c>
      <c r="LB5" s="33">
        <v>36</v>
      </c>
      <c r="LC5" s="33">
        <v>37</v>
      </c>
      <c r="LD5" s="33">
        <v>38</v>
      </c>
      <c r="LE5" s="33">
        <v>39</v>
      </c>
      <c r="LF5" s="33">
        <v>40</v>
      </c>
      <c r="LG5" s="33">
        <v>41</v>
      </c>
      <c r="LH5" s="33">
        <v>42</v>
      </c>
      <c r="LI5" s="33">
        <v>43</v>
      </c>
      <c r="LJ5" s="33">
        <v>44</v>
      </c>
      <c r="LK5" s="33">
        <v>45</v>
      </c>
    </row>
    <row r="6" spans="1:323" ht="18" x14ac:dyDescent="0.25">
      <c r="A6" s="127" t="s">
        <v>40</v>
      </c>
      <c r="B6" s="126" t="s">
        <v>67</v>
      </c>
      <c r="C6" s="127" t="s">
        <v>0</v>
      </c>
      <c r="D6" s="135" t="s">
        <v>88</v>
      </c>
      <c r="E6" s="135"/>
      <c r="F6" s="135"/>
      <c r="G6" s="20" t="s">
        <v>56</v>
      </c>
      <c r="H6" s="21" t="s">
        <v>42</v>
      </c>
      <c r="I6" s="78" t="s">
        <v>269</v>
      </c>
      <c r="J6" s="78" t="s">
        <v>269</v>
      </c>
      <c r="K6" s="78" t="s">
        <v>269</v>
      </c>
      <c r="L6" s="78" t="s">
        <v>269</v>
      </c>
      <c r="M6" s="78" t="s">
        <v>269</v>
      </c>
      <c r="N6" s="78" t="s">
        <v>269</v>
      </c>
      <c r="O6" s="78" t="s">
        <v>269</v>
      </c>
      <c r="P6" s="78" t="s">
        <v>269</v>
      </c>
      <c r="Q6" s="78" t="s">
        <v>269</v>
      </c>
      <c r="R6" s="78" t="s">
        <v>269</v>
      </c>
      <c r="S6" s="78" t="s">
        <v>269</v>
      </c>
      <c r="T6" s="78" t="s">
        <v>269</v>
      </c>
      <c r="U6" s="78" t="s">
        <v>269</v>
      </c>
      <c r="V6" s="78" t="s">
        <v>269</v>
      </c>
      <c r="W6" s="78" t="s">
        <v>269</v>
      </c>
      <c r="X6" s="78" t="s">
        <v>269</v>
      </c>
      <c r="Y6" s="78" t="s">
        <v>269</v>
      </c>
      <c r="Z6" s="78" t="s">
        <v>269</v>
      </c>
      <c r="AA6" s="78" t="s">
        <v>269</v>
      </c>
      <c r="AB6" s="78" t="s">
        <v>269</v>
      </c>
      <c r="AC6" s="78" t="s">
        <v>269</v>
      </c>
      <c r="AD6" s="78" t="s">
        <v>269</v>
      </c>
      <c r="AE6" s="78" t="s">
        <v>269</v>
      </c>
      <c r="AF6" s="78" t="s">
        <v>269</v>
      </c>
      <c r="AG6" s="78" t="s">
        <v>269</v>
      </c>
      <c r="AH6" s="78" t="s">
        <v>269</v>
      </c>
      <c r="AI6" s="78" t="s">
        <v>269</v>
      </c>
      <c r="AJ6" s="78" t="s">
        <v>269</v>
      </c>
      <c r="AK6" s="78" t="s">
        <v>269</v>
      </c>
      <c r="AL6" s="78" t="s">
        <v>269</v>
      </c>
      <c r="AM6" s="78" t="s">
        <v>269</v>
      </c>
      <c r="AN6" s="78" t="s">
        <v>269</v>
      </c>
      <c r="AO6" s="78" t="s">
        <v>269</v>
      </c>
      <c r="AP6" s="78" t="s">
        <v>269</v>
      </c>
      <c r="AQ6" s="78" t="s">
        <v>269</v>
      </c>
      <c r="AR6" s="78" t="s">
        <v>269</v>
      </c>
      <c r="AS6" s="78" t="s">
        <v>269</v>
      </c>
      <c r="AT6" s="78" t="s">
        <v>269</v>
      </c>
      <c r="AU6" s="78" t="s">
        <v>269</v>
      </c>
      <c r="AV6" s="78" t="s">
        <v>269</v>
      </c>
      <c r="AW6" s="78"/>
      <c r="AX6" s="78"/>
      <c r="AY6" s="78"/>
      <c r="AZ6" s="78"/>
      <c r="BA6" s="78"/>
      <c r="BB6" s="125">
        <f t="shared" ref="BB6:CO6" si="0">IF(AND(I6="",I7="",I8="",I9=""),"",IF(COUNTIF(I6:I9,"v")&gt;=3,2,IF(AND(COUNTIF(I6:I9,"v")&gt;=1,COUNTIF(I6:I9,"v")&lt;=3),1,0)))</f>
        <v>2</v>
      </c>
      <c r="BC6" s="125">
        <f t="shared" si="0"/>
        <v>2</v>
      </c>
      <c r="BD6" s="125">
        <f t="shared" si="0"/>
        <v>2</v>
      </c>
      <c r="BE6" s="125">
        <f t="shared" si="0"/>
        <v>2</v>
      </c>
      <c r="BF6" s="125">
        <f t="shared" si="0"/>
        <v>2</v>
      </c>
      <c r="BG6" s="125">
        <f t="shared" si="0"/>
        <v>2</v>
      </c>
      <c r="BH6" s="125">
        <f t="shared" si="0"/>
        <v>2</v>
      </c>
      <c r="BI6" s="125">
        <f t="shared" si="0"/>
        <v>2</v>
      </c>
      <c r="BJ6" s="125">
        <f t="shared" si="0"/>
        <v>2</v>
      </c>
      <c r="BK6" s="125">
        <f t="shared" si="0"/>
        <v>2</v>
      </c>
      <c r="BL6" s="125">
        <f t="shared" si="0"/>
        <v>2</v>
      </c>
      <c r="BM6" s="125">
        <f t="shared" si="0"/>
        <v>2</v>
      </c>
      <c r="BN6" s="125">
        <f t="shared" si="0"/>
        <v>2</v>
      </c>
      <c r="BO6" s="125">
        <f t="shared" si="0"/>
        <v>2</v>
      </c>
      <c r="BP6" s="125">
        <f t="shared" si="0"/>
        <v>2</v>
      </c>
      <c r="BQ6" s="125">
        <f t="shared" si="0"/>
        <v>2</v>
      </c>
      <c r="BR6" s="125">
        <f t="shared" si="0"/>
        <v>2</v>
      </c>
      <c r="BS6" s="125">
        <f t="shared" si="0"/>
        <v>2</v>
      </c>
      <c r="BT6" s="125">
        <f t="shared" si="0"/>
        <v>2</v>
      </c>
      <c r="BU6" s="125">
        <f t="shared" si="0"/>
        <v>2</v>
      </c>
      <c r="BV6" s="125">
        <f t="shared" si="0"/>
        <v>2</v>
      </c>
      <c r="BW6" s="125">
        <f t="shared" si="0"/>
        <v>2</v>
      </c>
      <c r="BX6" s="125">
        <f t="shared" si="0"/>
        <v>2</v>
      </c>
      <c r="BY6" s="125">
        <f t="shared" si="0"/>
        <v>2</v>
      </c>
      <c r="BZ6" s="125">
        <f t="shared" si="0"/>
        <v>2</v>
      </c>
      <c r="CA6" s="125">
        <f t="shared" si="0"/>
        <v>2</v>
      </c>
      <c r="CB6" s="125">
        <f t="shared" si="0"/>
        <v>2</v>
      </c>
      <c r="CC6" s="125">
        <f t="shared" si="0"/>
        <v>2</v>
      </c>
      <c r="CD6" s="125">
        <f t="shared" si="0"/>
        <v>2</v>
      </c>
      <c r="CE6" s="125">
        <f t="shared" si="0"/>
        <v>2</v>
      </c>
      <c r="CF6" s="125">
        <f t="shared" si="0"/>
        <v>2</v>
      </c>
      <c r="CG6" s="125">
        <f t="shared" si="0"/>
        <v>2</v>
      </c>
      <c r="CH6" s="125">
        <f t="shared" si="0"/>
        <v>2</v>
      </c>
      <c r="CI6" s="125">
        <f t="shared" si="0"/>
        <v>2</v>
      </c>
      <c r="CJ6" s="125">
        <f t="shared" si="0"/>
        <v>2</v>
      </c>
      <c r="CK6" s="125">
        <f t="shared" si="0"/>
        <v>2</v>
      </c>
      <c r="CL6" s="125">
        <f t="shared" si="0"/>
        <v>2</v>
      </c>
      <c r="CM6" s="125">
        <f t="shared" si="0"/>
        <v>2</v>
      </c>
      <c r="CN6" s="125">
        <f t="shared" si="0"/>
        <v>2</v>
      </c>
      <c r="CO6" s="125">
        <f t="shared" si="0"/>
        <v>2</v>
      </c>
      <c r="CP6" s="125" t="str">
        <f t="shared" ref="CP6:CT6" si="1">IF(AND(AW6="",AW7="",AW8="",AW9=""),"",IF(COUNTIF(AW6:AW9,"v")&gt;=3,2,IF(AND(COUNTIF(AW6:AW9,"v")&gt;=1,COUNTIF(AW6:AW9,"v")&lt;=3),1,0)))</f>
        <v/>
      </c>
      <c r="CQ6" s="125" t="str">
        <f t="shared" si="1"/>
        <v/>
      </c>
      <c r="CR6" s="125" t="str">
        <f t="shared" si="1"/>
        <v/>
      </c>
      <c r="CS6" s="125" t="str">
        <f t="shared" si="1"/>
        <v/>
      </c>
      <c r="CT6" s="125" t="str">
        <f t="shared" si="1"/>
        <v/>
      </c>
      <c r="CU6" s="123" t="str">
        <f>IF(BB6="","",IF(BB6=0,"Ditolak",IF(BB6=1,"Diperbaiki","Digunakan")))</f>
        <v>Digunakan</v>
      </c>
      <c r="CV6" s="123" t="str">
        <f t="shared" ref="CV6:EH6" si="2">IF(BC6="","",IF(BC6=0,"Ditolak",IF(AND(BC6&gt;=1,BC6&lt;4),"Diperbaiki","Digunakan")))</f>
        <v>Diperbaiki</v>
      </c>
      <c r="CW6" s="123" t="str">
        <f t="shared" si="2"/>
        <v>Diperbaiki</v>
      </c>
      <c r="CX6" s="123" t="str">
        <f t="shared" si="2"/>
        <v>Diperbaiki</v>
      </c>
      <c r="CY6" s="123" t="str">
        <f t="shared" si="2"/>
        <v>Diperbaiki</v>
      </c>
      <c r="CZ6" s="123" t="str">
        <f t="shared" si="2"/>
        <v>Diperbaiki</v>
      </c>
      <c r="DA6" s="123" t="str">
        <f t="shared" si="2"/>
        <v>Diperbaiki</v>
      </c>
      <c r="DB6" s="123" t="str">
        <f t="shared" si="2"/>
        <v>Diperbaiki</v>
      </c>
      <c r="DC6" s="123" t="str">
        <f t="shared" si="2"/>
        <v>Diperbaiki</v>
      </c>
      <c r="DD6" s="123" t="str">
        <f t="shared" si="2"/>
        <v>Diperbaiki</v>
      </c>
      <c r="DE6" s="123" t="str">
        <f t="shared" si="2"/>
        <v>Diperbaiki</v>
      </c>
      <c r="DF6" s="123" t="str">
        <f t="shared" si="2"/>
        <v>Diperbaiki</v>
      </c>
      <c r="DG6" s="123" t="str">
        <f t="shared" si="2"/>
        <v>Diperbaiki</v>
      </c>
      <c r="DH6" s="123" t="str">
        <f t="shared" si="2"/>
        <v>Diperbaiki</v>
      </c>
      <c r="DI6" s="123" t="str">
        <f t="shared" si="2"/>
        <v>Diperbaiki</v>
      </c>
      <c r="DJ6" s="123" t="str">
        <f t="shared" si="2"/>
        <v>Diperbaiki</v>
      </c>
      <c r="DK6" s="123" t="str">
        <f t="shared" si="2"/>
        <v>Diperbaiki</v>
      </c>
      <c r="DL6" s="123" t="str">
        <f t="shared" si="2"/>
        <v>Diperbaiki</v>
      </c>
      <c r="DM6" s="123" t="str">
        <f t="shared" si="2"/>
        <v>Diperbaiki</v>
      </c>
      <c r="DN6" s="123" t="str">
        <f t="shared" si="2"/>
        <v>Diperbaiki</v>
      </c>
      <c r="DO6" s="123" t="str">
        <f t="shared" si="2"/>
        <v>Diperbaiki</v>
      </c>
      <c r="DP6" s="123" t="str">
        <f t="shared" si="2"/>
        <v>Diperbaiki</v>
      </c>
      <c r="DQ6" s="123" t="str">
        <f t="shared" si="2"/>
        <v>Diperbaiki</v>
      </c>
      <c r="DR6" s="123" t="str">
        <f t="shared" si="2"/>
        <v>Diperbaiki</v>
      </c>
      <c r="DS6" s="123" t="str">
        <f t="shared" si="2"/>
        <v>Diperbaiki</v>
      </c>
      <c r="DT6" s="123" t="str">
        <f t="shared" si="2"/>
        <v>Diperbaiki</v>
      </c>
      <c r="DU6" s="123" t="str">
        <f t="shared" si="2"/>
        <v>Diperbaiki</v>
      </c>
      <c r="DV6" s="123" t="str">
        <f t="shared" si="2"/>
        <v>Diperbaiki</v>
      </c>
      <c r="DW6" s="123" t="str">
        <f t="shared" si="2"/>
        <v>Diperbaiki</v>
      </c>
      <c r="DX6" s="123" t="str">
        <f t="shared" si="2"/>
        <v>Diperbaiki</v>
      </c>
      <c r="DY6" s="123" t="str">
        <f t="shared" si="2"/>
        <v>Diperbaiki</v>
      </c>
      <c r="DZ6" s="123" t="str">
        <f t="shared" si="2"/>
        <v>Diperbaiki</v>
      </c>
      <c r="EA6" s="123" t="str">
        <f t="shared" si="2"/>
        <v>Diperbaiki</v>
      </c>
      <c r="EB6" s="123" t="str">
        <f t="shared" si="2"/>
        <v>Diperbaiki</v>
      </c>
      <c r="EC6" s="123" t="str">
        <f t="shared" si="2"/>
        <v>Diperbaiki</v>
      </c>
      <c r="ED6" s="123" t="str">
        <f t="shared" si="2"/>
        <v>Diperbaiki</v>
      </c>
      <c r="EE6" s="123" t="str">
        <f t="shared" si="2"/>
        <v>Diperbaiki</v>
      </c>
      <c r="EF6" s="123" t="str">
        <f t="shared" si="2"/>
        <v>Diperbaiki</v>
      </c>
      <c r="EG6" s="123" t="str">
        <f t="shared" si="2"/>
        <v>Diperbaiki</v>
      </c>
      <c r="EH6" s="123" t="str">
        <f t="shared" si="2"/>
        <v>Diperbaiki</v>
      </c>
      <c r="EI6" s="123" t="str">
        <f t="shared" ref="EI6:EM6" si="3">IF(CP6="","",IF(CP6=0,"Ditolak",IF(AND(CP6&gt;=1,CP6&lt;4),"Diperbaiki","Digunakan")))</f>
        <v/>
      </c>
      <c r="EJ6" s="123" t="str">
        <f t="shared" si="3"/>
        <v/>
      </c>
      <c r="EK6" s="123" t="str">
        <f t="shared" si="3"/>
        <v/>
      </c>
      <c r="EL6" s="123" t="str">
        <f t="shared" si="3"/>
        <v/>
      </c>
      <c r="EM6" s="123" t="str">
        <f t="shared" si="3"/>
        <v/>
      </c>
      <c r="EN6" s="117" t="str">
        <f t="shared" ref="EN6:GA6" si="4">IF(COUNTIF(CU6:CU14,"Diperbaiki")&gt;=1,"hal-hal penting","")</f>
        <v/>
      </c>
      <c r="EO6" s="117" t="str">
        <f t="shared" si="4"/>
        <v>hal-hal penting</v>
      </c>
      <c r="EP6" s="117" t="str">
        <f t="shared" si="4"/>
        <v>hal-hal penting</v>
      </c>
      <c r="EQ6" s="117" t="str">
        <f t="shared" si="4"/>
        <v>hal-hal penting</v>
      </c>
      <c r="ER6" s="117" t="str">
        <f t="shared" si="4"/>
        <v>hal-hal penting</v>
      </c>
      <c r="ES6" s="117" t="str">
        <f t="shared" si="4"/>
        <v>hal-hal penting</v>
      </c>
      <c r="ET6" s="117" t="str">
        <f t="shared" si="4"/>
        <v>hal-hal penting</v>
      </c>
      <c r="EU6" s="117" t="str">
        <f t="shared" si="4"/>
        <v>hal-hal penting</v>
      </c>
      <c r="EV6" s="117" t="str">
        <f t="shared" si="4"/>
        <v>hal-hal penting</v>
      </c>
      <c r="EW6" s="117" t="str">
        <f t="shared" si="4"/>
        <v>hal-hal penting</v>
      </c>
      <c r="EX6" s="117" t="str">
        <f t="shared" si="4"/>
        <v>hal-hal penting</v>
      </c>
      <c r="EY6" s="117" t="str">
        <f t="shared" si="4"/>
        <v>hal-hal penting</v>
      </c>
      <c r="EZ6" s="117" t="str">
        <f t="shared" si="4"/>
        <v>hal-hal penting</v>
      </c>
      <c r="FA6" s="117" t="str">
        <f t="shared" si="4"/>
        <v>hal-hal penting</v>
      </c>
      <c r="FB6" s="117" t="str">
        <f t="shared" si="4"/>
        <v>hal-hal penting</v>
      </c>
      <c r="FC6" s="117" t="str">
        <f t="shared" si="4"/>
        <v>hal-hal penting</v>
      </c>
      <c r="FD6" s="117" t="str">
        <f t="shared" si="4"/>
        <v>hal-hal penting</v>
      </c>
      <c r="FE6" s="117" t="str">
        <f t="shared" si="4"/>
        <v>hal-hal penting</v>
      </c>
      <c r="FF6" s="117" t="str">
        <f t="shared" si="4"/>
        <v>hal-hal penting</v>
      </c>
      <c r="FG6" s="117" t="str">
        <f t="shared" si="4"/>
        <v>hal-hal penting</v>
      </c>
      <c r="FH6" s="117" t="str">
        <f t="shared" si="4"/>
        <v>hal-hal penting</v>
      </c>
      <c r="FI6" s="117" t="str">
        <f t="shared" si="4"/>
        <v>hal-hal penting</v>
      </c>
      <c r="FJ6" s="117" t="str">
        <f t="shared" si="4"/>
        <v>hal-hal penting</v>
      </c>
      <c r="FK6" s="117" t="str">
        <f t="shared" si="4"/>
        <v>hal-hal penting</v>
      </c>
      <c r="FL6" s="117" t="str">
        <f t="shared" si="4"/>
        <v>hal-hal penting</v>
      </c>
      <c r="FM6" s="117" t="str">
        <f t="shared" si="4"/>
        <v>hal-hal penting</v>
      </c>
      <c r="FN6" s="117" t="str">
        <f t="shared" si="4"/>
        <v>hal-hal penting</v>
      </c>
      <c r="FO6" s="117" t="str">
        <f t="shared" si="4"/>
        <v>hal-hal penting</v>
      </c>
      <c r="FP6" s="117" t="str">
        <f t="shared" si="4"/>
        <v>hal-hal penting</v>
      </c>
      <c r="FQ6" s="117" t="str">
        <f t="shared" si="4"/>
        <v>hal-hal penting</v>
      </c>
      <c r="FR6" s="117" t="str">
        <f t="shared" si="4"/>
        <v>hal-hal penting</v>
      </c>
      <c r="FS6" s="117" t="str">
        <f t="shared" si="4"/>
        <v>hal-hal penting</v>
      </c>
      <c r="FT6" s="117" t="str">
        <f t="shared" si="4"/>
        <v>hal-hal penting</v>
      </c>
      <c r="FU6" s="117" t="str">
        <f t="shared" si="4"/>
        <v>hal-hal penting</v>
      </c>
      <c r="FV6" s="117" t="str">
        <f t="shared" si="4"/>
        <v>hal-hal penting</v>
      </c>
      <c r="FW6" s="117" t="str">
        <f t="shared" si="4"/>
        <v>hal-hal penting</v>
      </c>
      <c r="FX6" s="117" t="str">
        <f t="shared" si="4"/>
        <v>hal-hal penting</v>
      </c>
      <c r="FY6" s="117" t="str">
        <f t="shared" si="4"/>
        <v>hal-hal penting</v>
      </c>
      <c r="FZ6" s="117" t="str">
        <f t="shared" si="4"/>
        <v>hal-hal penting</v>
      </c>
      <c r="GA6" s="117" t="str">
        <f t="shared" si="4"/>
        <v>hal-hal penting</v>
      </c>
      <c r="GB6" s="117" t="str">
        <f t="shared" ref="GB6:GF6" si="5">IF(COUNTIF(EI6:EI14,"Diperbaiki")&gt;=1,"hal-hal penting","")</f>
        <v/>
      </c>
      <c r="GC6" s="117" t="str">
        <f t="shared" si="5"/>
        <v/>
      </c>
      <c r="GD6" s="117" t="str">
        <f t="shared" si="5"/>
        <v/>
      </c>
      <c r="GE6" s="117" t="str">
        <f t="shared" si="5"/>
        <v/>
      </c>
      <c r="GF6" s="117" t="str">
        <f t="shared" si="5"/>
        <v/>
      </c>
      <c r="GG6" s="115" t="str">
        <f t="shared" ref="GG6:HT6" si="6">IF(EN6="","",",")</f>
        <v/>
      </c>
      <c r="GH6" s="115" t="str">
        <f t="shared" si="6"/>
        <v>,</v>
      </c>
      <c r="GI6" s="115" t="str">
        <f t="shared" si="6"/>
        <v>,</v>
      </c>
      <c r="GJ6" s="115" t="str">
        <f t="shared" si="6"/>
        <v>,</v>
      </c>
      <c r="GK6" s="115" t="str">
        <f t="shared" si="6"/>
        <v>,</v>
      </c>
      <c r="GL6" s="115" t="str">
        <f t="shared" si="6"/>
        <v>,</v>
      </c>
      <c r="GM6" s="115" t="str">
        <f t="shared" si="6"/>
        <v>,</v>
      </c>
      <c r="GN6" s="115" t="str">
        <f t="shared" si="6"/>
        <v>,</v>
      </c>
      <c r="GO6" s="115" t="str">
        <f t="shared" si="6"/>
        <v>,</v>
      </c>
      <c r="GP6" s="115" t="str">
        <f t="shared" si="6"/>
        <v>,</v>
      </c>
      <c r="GQ6" s="115" t="str">
        <f t="shared" si="6"/>
        <v>,</v>
      </c>
      <c r="GR6" s="115" t="str">
        <f t="shared" si="6"/>
        <v>,</v>
      </c>
      <c r="GS6" s="115" t="str">
        <f t="shared" si="6"/>
        <v>,</v>
      </c>
      <c r="GT6" s="115" t="str">
        <f t="shared" si="6"/>
        <v>,</v>
      </c>
      <c r="GU6" s="115" t="str">
        <f t="shared" si="6"/>
        <v>,</v>
      </c>
      <c r="GV6" s="115" t="str">
        <f t="shared" si="6"/>
        <v>,</v>
      </c>
      <c r="GW6" s="115" t="str">
        <f t="shared" si="6"/>
        <v>,</v>
      </c>
      <c r="GX6" s="115" t="str">
        <f t="shared" si="6"/>
        <v>,</v>
      </c>
      <c r="GY6" s="115" t="str">
        <f t="shared" si="6"/>
        <v>,</v>
      </c>
      <c r="GZ6" s="115" t="str">
        <f t="shared" si="6"/>
        <v>,</v>
      </c>
      <c r="HA6" s="115" t="str">
        <f t="shared" si="6"/>
        <v>,</v>
      </c>
      <c r="HB6" s="115" t="str">
        <f t="shared" si="6"/>
        <v>,</v>
      </c>
      <c r="HC6" s="115" t="str">
        <f t="shared" si="6"/>
        <v>,</v>
      </c>
      <c r="HD6" s="115" t="str">
        <f t="shared" si="6"/>
        <v>,</v>
      </c>
      <c r="HE6" s="115" t="str">
        <f t="shared" si="6"/>
        <v>,</v>
      </c>
      <c r="HF6" s="115" t="str">
        <f t="shared" si="6"/>
        <v>,</v>
      </c>
      <c r="HG6" s="115" t="str">
        <f t="shared" si="6"/>
        <v>,</v>
      </c>
      <c r="HH6" s="115" t="str">
        <f t="shared" si="6"/>
        <v>,</v>
      </c>
      <c r="HI6" s="115" t="str">
        <f t="shared" si="6"/>
        <v>,</v>
      </c>
      <c r="HJ6" s="115" t="str">
        <f t="shared" si="6"/>
        <v>,</v>
      </c>
      <c r="HK6" s="115" t="str">
        <f t="shared" si="6"/>
        <v>,</v>
      </c>
      <c r="HL6" s="115" t="str">
        <f t="shared" si="6"/>
        <v>,</v>
      </c>
      <c r="HM6" s="115" t="str">
        <f t="shared" si="6"/>
        <v>,</v>
      </c>
      <c r="HN6" s="115" t="str">
        <f t="shared" si="6"/>
        <v>,</v>
      </c>
      <c r="HO6" s="115" t="str">
        <f t="shared" si="6"/>
        <v>,</v>
      </c>
      <c r="HP6" s="115" t="str">
        <f t="shared" si="6"/>
        <v>,</v>
      </c>
      <c r="HQ6" s="115" t="str">
        <f t="shared" si="6"/>
        <v>,</v>
      </c>
      <c r="HR6" s="115" t="str">
        <f t="shared" si="6"/>
        <v>,</v>
      </c>
      <c r="HS6" s="115" t="str">
        <f t="shared" si="6"/>
        <v>,</v>
      </c>
      <c r="HT6" s="115" t="str">
        <f t="shared" si="6"/>
        <v>,</v>
      </c>
      <c r="HU6" s="115" t="str">
        <f t="shared" ref="HU6:HY6" si="7">IF(GB6="","",",")</f>
        <v/>
      </c>
      <c r="HV6" s="115" t="str">
        <f t="shared" si="7"/>
        <v/>
      </c>
      <c r="HW6" s="115" t="str">
        <f t="shared" si="7"/>
        <v/>
      </c>
      <c r="HX6" s="115" t="str">
        <f t="shared" si="7"/>
        <v/>
      </c>
      <c r="HY6" s="115" t="str">
        <f t="shared" si="7"/>
        <v/>
      </c>
      <c r="HZ6" s="117" t="str">
        <f t="shared" ref="HZ6:JM6" si="8">CONCATENATE(EN6,GG6," ",EN15,GG15," ",EN21,GG21," ",EN39,GG39," ",EN47)</f>
        <v xml:space="preserve">    HOTS</v>
      </c>
      <c r="IA6" s="117" t="str">
        <f t="shared" si="8"/>
        <v>hal-hal penting,    HOTS</v>
      </c>
      <c r="IB6" s="117" t="str">
        <f t="shared" si="8"/>
        <v>hal-hal penting,    HOTS</v>
      </c>
      <c r="IC6" s="117" t="str">
        <f t="shared" si="8"/>
        <v>hal-hal penting,    HOTS</v>
      </c>
      <c r="ID6" s="117" t="str">
        <f t="shared" si="8"/>
        <v>hal-hal penting,    HOTS</v>
      </c>
      <c r="IE6" s="117" t="str">
        <f t="shared" si="8"/>
        <v>hal-hal penting,    HOTS</v>
      </c>
      <c r="IF6" s="117" t="str">
        <f t="shared" si="8"/>
        <v>hal-hal penting,    HOTS</v>
      </c>
      <c r="IG6" s="117" t="str">
        <f t="shared" si="8"/>
        <v>hal-hal penting,    HOTS</v>
      </c>
      <c r="IH6" s="117" t="str">
        <f t="shared" si="8"/>
        <v>hal-hal penting,    HOTS</v>
      </c>
      <c r="II6" s="117" t="str">
        <f t="shared" si="8"/>
        <v>hal-hal penting,    HOTS</v>
      </c>
      <c r="IJ6" s="117" t="str">
        <f t="shared" si="8"/>
        <v>hal-hal penting,    HOTS</v>
      </c>
      <c r="IK6" s="117" t="str">
        <f t="shared" si="8"/>
        <v>hal-hal penting,    HOTS</v>
      </c>
      <c r="IL6" s="117" t="str">
        <f t="shared" si="8"/>
        <v>hal-hal penting,    HOTS</v>
      </c>
      <c r="IM6" s="117" t="str">
        <f t="shared" si="8"/>
        <v>hal-hal penting,    HOTS</v>
      </c>
      <c r="IN6" s="117" t="str">
        <f t="shared" si="8"/>
        <v>hal-hal penting,    HOTS</v>
      </c>
      <c r="IO6" s="117" t="str">
        <f t="shared" si="8"/>
        <v>hal-hal penting,    HOTS</v>
      </c>
      <c r="IP6" s="117" t="str">
        <f t="shared" si="8"/>
        <v>hal-hal penting,    HOTS</v>
      </c>
      <c r="IQ6" s="117" t="str">
        <f t="shared" si="8"/>
        <v>hal-hal penting,    HOTS</v>
      </c>
      <c r="IR6" s="117" t="str">
        <f t="shared" si="8"/>
        <v>hal-hal penting,    HOTS</v>
      </c>
      <c r="IS6" s="117" t="str">
        <f t="shared" si="8"/>
        <v>hal-hal penting,    HOTS</v>
      </c>
      <c r="IT6" s="117" t="str">
        <f t="shared" si="8"/>
        <v>hal-hal penting,    HOTS</v>
      </c>
      <c r="IU6" s="117" t="str">
        <f t="shared" si="8"/>
        <v>hal-hal penting,    HOTS</v>
      </c>
      <c r="IV6" s="117" t="str">
        <f t="shared" si="8"/>
        <v>hal-hal penting,    HOTS</v>
      </c>
      <c r="IW6" s="117" t="str">
        <f t="shared" si="8"/>
        <v>hal-hal penting,    HOTS</v>
      </c>
      <c r="IX6" s="117" t="str">
        <f t="shared" si="8"/>
        <v>hal-hal penting,    HOTS</v>
      </c>
      <c r="IY6" s="117" t="str">
        <f t="shared" si="8"/>
        <v>hal-hal penting,    HOTS</v>
      </c>
      <c r="IZ6" s="117" t="str">
        <f t="shared" si="8"/>
        <v>hal-hal penting,    HOTS</v>
      </c>
      <c r="JA6" s="117" t="str">
        <f t="shared" si="8"/>
        <v>hal-hal penting,    HOTS</v>
      </c>
      <c r="JB6" s="117" t="str">
        <f t="shared" si="8"/>
        <v>hal-hal penting,    HOTS</v>
      </c>
      <c r="JC6" s="117" t="str">
        <f t="shared" si="8"/>
        <v>hal-hal penting,    HOTS</v>
      </c>
      <c r="JD6" s="117" t="str">
        <f t="shared" si="8"/>
        <v>hal-hal penting,    HOTS</v>
      </c>
      <c r="JE6" s="117" t="str">
        <f t="shared" si="8"/>
        <v>hal-hal penting,    HOTS</v>
      </c>
      <c r="JF6" s="117" t="str">
        <f t="shared" si="8"/>
        <v>hal-hal penting,    HOTS</v>
      </c>
      <c r="JG6" s="117" t="str">
        <f t="shared" si="8"/>
        <v>hal-hal penting,    HOTS</v>
      </c>
      <c r="JH6" s="117" t="str">
        <f t="shared" si="8"/>
        <v>hal-hal penting,    HOTS</v>
      </c>
      <c r="JI6" s="117" t="str">
        <f t="shared" si="8"/>
        <v>hal-hal penting,    HOTS</v>
      </c>
      <c r="JJ6" s="117" t="str">
        <f t="shared" si="8"/>
        <v>hal-hal penting,    HOTS</v>
      </c>
      <c r="JK6" s="117" t="str">
        <f t="shared" si="8"/>
        <v>hal-hal penting,    HOTS</v>
      </c>
      <c r="JL6" s="117" t="str">
        <f t="shared" si="8"/>
        <v>hal-hal penting,    HOTS</v>
      </c>
      <c r="JM6" s="117" t="str">
        <f t="shared" si="8"/>
        <v>hal-hal penting,    HOTS</v>
      </c>
      <c r="JN6" s="117" t="str">
        <f t="shared" ref="JN6:JR6" si="9">CONCATENATE(GB6,HU6," ",GB15,HU15," ",GB21,HU21," ",GB39,HU39," ",GB47)</f>
        <v xml:space="preserve">    </v>
      </c>
      <c r="JO6" s="117" t="str">
        <f t="shared" si="9"/>
        <v xml:space="preserve">    </v>
      </c>
      <c r="JP6" s="117" t="str">
        <f t="shared" si="9"/>
        <v xml:space="preserve">    </v>
      </c>
      <c r="JQ6" s="117" t="str">
        <f t="shared" si="9"/>
        <v xml:space="preserve">    </v>
      </c>
      <c r="JR6" s="117" t="str">
        <f t="shared" si="9"/>
        <v xml:space="preserve">    </v>
      </c>
      <c r="JS6" s="114" t="str">
        <f t="shared" ref="JS6:LF6" si="10">IF(HZ6="",CONCATENATE("Soal No."," ",JS5," ","dapat digunakan"),CONCATENATE("Soal No."," ",JS5," ","perlu perbaikan pada aspek"," ",HZ6))</f>
        <v>Soal No. 1 perlu perbaikan pada aspek     HOTS</v>
      </c>
      <c r="JT6" s="114" t="str">
        <f t="shared" si="10"/>
        <v>Soal No. 2 perlu perbaikan pada aspek hal-hal penting,    HOTS</v>
      </c>
      <c r="JU6" s="114" t="str">
        <f t="shared" si="10"/>
        <v>Soal No. 3 perlu perbaikan pada aspek hal-hal penting,    HOTS</v>
      </c>
      <c r="JV6" s="114" t="str">
        <f t="shared" si="10"/>
        <v>Soal No. 4 perlu perbaikan pada aspek hal-hal penting,    HOTS</v>
      </c>
      <c r="JW6" s="114" t="str">
        <f t="shared" si="10"/>
        <v>Soal No. 5 perlu perbaikan pada aspek hal-hal penting,    HOTS</v>
      </c>
      <c r="JX6" s="114" t="str">
        <f t="shared" si="10"/>
        <v>Soal No. 6 perlu perbaikan pada aspek hal-hal penting,    HOTS</v>
      </c>
      <c r="JY6" s="114" t="str">
        <f t="shared" si="10"/>
        <v>Soal No. 7 perlu perbaikan pada aspek hal-hal penting,    HOTS</v>
      </c>
      <c r="JZ6" s="114" t="str">
        <f t="shared" si="10"/>
        <v>Soal No. 8 perlu perbaikan pada aspek hal-hal penting,    HOTS</v>
      </c>
      <c r="KA6" s="114" t="str">
        <f t="shared" si="10"/>
        <v>Soal No. 9 perlu perbaikan pada aspek hal-hal penting,    HOTS</v>
      </c>
      <c r="KB6" s="114" t="str">
        <f t="shared" si="10"/>
        <v>Soal No. 10 perlu perbaikan pada aspek hal-hal penting,    HOTS</v>
      </c>
      <c r="KC6" s="114" t="str">
        <f t="shared" si="10"/>
        <v>Soal No. 11 perlu perbaikan pada aspek hal-hal penting,    HOTS</v>
      </c>
      <c r="KD6" s="114" t="str">
        <f t="shared" si="10"/>
        <v>Soal No. 12 perlu perbaikan pada aspek hal-hal penting,    HOTS</v>
      </c>
      <c r="KE6" s="114" t="str">
        <f t="shared" si="10"/>
        <v>Soal No. 13 perlu perbaikan pada aspek hal-hal penting,    HOTS</v>
      </c>
      <c r="KF6" s="114" t="str">
        <f t="shared" si="10"/>
        <v>Soal No. 14 perlu perbaikan pada aspek hal-hal penting,    HOTS</v>
      </c>
      <c r="KG6" s="114" t="str">
        <f t="shared" si="10"/>
        <v>Soal No. 15 perlu perbaikan pada aspek hal-hal penting,    HOTS</v>
      </c>
      <c r="KH6" s="114" t="str">
        <f t="shared" si="10"/>
        <v>Soal No. 16 perlu perbaikan pada aspek hal-hal penting,    HOTS</v>
      </c>
      <c r="KI6" s="114" t="str">
        <f t="shared" si="10"/>
        <v>Soal No. 17 perlu perbaikan pada aspek hal-hal penting,    HOTS</v>
      </c>
      <c r="KJ6" s="114" t="str">
        <f t="shared" si="10"/>
        <v>Soal No. 18 perlu perbaikan pada aspek hal-hal penting,    HOTS</v>
      </c>
      <c r="KK6" s="114" t="str">
        <f t="shared" si="10"/>
        <v>Soal No. 19 perlu perbaikan pada aspek hal-hal penting,    HOTS</v>
      </c>
      <c r="KL6" s="114" t="str">
        <f t="shared" si="10"/>
        <v>Soal No. 20 perlu perbaikan pada aspek hal-hal penting,    HOTS</v>
      </c>
      <c r="KM6" s="114" t="str">
        <f t="shared" si="10"/>
        <v>Soal No. 21 perlu perbaikan pada aspek hal-hal penting,    HOTS</v>
      </c>
      <c r="KN6" s="114" t="str">
        <f t="shared" si="10"/>
        <v>Soal No. 22 perlu perbaikan pada aspek hal-hal penting,    HOTS</v>
      </c>
      <c r="KO6" s="114" t="str">
        <f t="shared" si="10"/>
        <v>Soal No. 23 perlu perbaikan pada aspek hal-hal penting,    HOTS</v>
      </c>
      <c r="KP6" s="114" t="str">
        <f t="shared" si="10"/>
        <v>Soal No. 24 perlu perbaikan pada aspek hal-hal penting,    HOTS</v>
      </c>
      <c r="KQ6" s="114" t="str">
        <f t="shared" si="10"/>
        <v>Soal No. 25 perlu perbaikan pada aspek hal-hal penting,    HOTS</v>
      </c>
      <c r="KR6" s="114" t="str">
        <f t="shared" si="10"/>
        <v>Soal No. 26 perlu perbaikan pada aspek hal-hal penting,    HOTS</v>
      </c>
      <c r="KS6" s="114" t="str">
        <f t="shared" si="10"/>
        <v>Soal No. 27 perlu perbaikan pada aspek hal-hal penting,    HOTS</v>
      </c>
      <c r="KT6" s="114" t="str">
        <f t="shared" si="10"/>
        <v>Soal No. 28 perlu perbaikan pada aspek hal-hal penting,    HOTS</v>
      </c>
      <c r="KU6" s="114" t="str">
        <f t="shared" si="10"/>
        <v>Soal No. 29 perlu perbaikan pada aspek hal-hal penting,    HOTS</v>
      </c>
      <c r="KV6" s="114" t="str">
        <f t="shared" si="10"/>
        <v>Soal No. 30 perlu perbaikan pada aspek hal-hal penting,    HOTS</v>
      </c>
      <c r="KW6" s="114" t="str">
        <f t="shared" si="10"/>
        <v>Soal No. 31 perlu perbaikan pada aspek hal-hal penting,    HOTS</v>
      </c>
      <c r="KX6" s="114" t="str">
        <f t="shared" si="10"/>
        <v>Soal No. 32 perlu perbaikan pada aspek hal-hal penting,    HOTS</v>
      </c>
      <c r="KY6" s="114" t="str">
        <f t="shared" si="10"/>
        <v>Soal No. 33 perlu perbaikan pada aspek hal-hal penting,    HOTS</v>
      </c>
      <c r="KZ6" s="114" t="str">
        <f t="shared" si="10"/>
        <v>Soal No. 34 perlu perbaikan pada aspek hal-hal penting,    HOTS</v>
      </c>
      <c r="LA6" s="114" t="str">
        <f t="shared" si="10"/>
        <v>Soal No. 35 perlu perbaikan pada aspek hal-hal penting,    HOTS</v>
      </c>
      <c r="LB6" s="114" t="str">
        <f t="shared" si="10"/>
        <v>Soal No. 36 perlu perbaikan pada aspek hal-hal penting,    HOTS</v>
      </c>
      <c r="LC6" s="114" t="str">
        <f t="shared" si="10"/>
        <v>Soal No. 37 perlu perbaikan pada aspek hal-hal penting,    HOTS</v>
      </c>
      <c r="LD6" s="114" t="str">
        <f t="shared" si="10"/>
        <v>Soal No. 38 perlu perbaikan pada aspek hal-hal penting,    HOTS</v>
      </c>
      <c r="LE6" s="114" t="str">
        <f t="shared" si="10"/>
        <v>Soal No. 39 perlu perbaikan pada aspek hal-hal penting,    HOTS</v>
      </c>
      <c r="LF6" s="114" t="str">
        <f t="shared" si="10"/>
        <v>Soal No. 40 perlu perbaikan pada aspek hal-hal penting,    HOTS</v>
      </c>
      <c r="LG6" s="114" t="str">
        <f t="shared" ref="LG6:LK6" si="11">IF(JN6="",CONCATENATE("Soal No."," ",LG5," ","dapat digunakan"),CONCATENATE("Soal No."," ",LG5," ","perlu perbaikan pada aspek"," ",JN6))</f>
        <v xml:space="preserve">Soal No. 41 perlu perbaikan pada aspek     </v>
      </c>
      <c r="LH6" s="114" t="str">
        <f t="shared" si="11"/>
        <v xml:space="preserve">Soal No. 42 perlu perbaikan pada aspek     </v>
      </c>
      <c r="LI6" s="114" t="str">
        <f t="shared" si="11"/>
        <v xml:space="preserve">Soal No. 43 perlu perbaikan pada aspek     </v>
      </c>
      <c r="LJ6" s="114" t="str">
        <f t="shared" si="11"/>
        <v xml:space="preserve">Soal No. 44 perlu perbaikan pada aspek     </v>
      </c>
      <c r="LK6" s="114" t="str">
        <f t="shared" si="11"/>
        <v xml:space="preserve">Soal No. 45 perlu perbaikan pada aspek     </v>
      </c>
    </row>
    <row r="7" spans="1:323" ht="18" x14ac:dyDescent="0.25">
      <c r="A7" s="127"/>
      <c r="B7" s="126"/>
      <c r="C7" s="127"/>
      <c r="D7" s="135"/>
      <c r="E7" s="135"/>
      <c r="F7" s="135"/>
      <c r="G7" s="20" t="s">
        <v>56</v>
      </c>
      <c r="H7" s="21" t="s">
        <v>43</v>
      </c>
      <c r="I7" s="78" t="s">
        <v>269</v>
      </c>
      <c r="J7" s="78" t="s">
        <v>269</v>
      </c>
      <c r="K7" s="78" t="s">
        <v>269</v>
      </c>
      <c r="L7" s="78" t="s">
        <v>269</v>
      </c>
      <c r="M7" s="78" t="s">
        <v>269</v>
      </c>
      <c r="N7" s="78" t="s">
        <v>269</v>
      </c>
      <c r="O7" s="78" t="s">
        <v>269</v>
      </c>
      <c r="P7" s="78" t="s">
        <v>269</v>
      </c>
      <c r="Q7" s="78" t="s">
        <v>269</v>
      </c>
      <c r="R7" s="78" t="s">
        <v>269</v>
      </c>
      <c r="S7" s="78" t="s">
        <v>269</v>
      </c>
      <c r="T7" s="78" t="s">
        <v>269</v>
      </c>
      <c r="U7" s="78" t="s">
        <v>269</v>
      </c>
      <c r="V7" s="78" t="s">
        <v>269</v>
      </c>
      <c r="W7" s="78" t="s">
        <v>269</v>
      </c>
      <c r="X7" s="78" t="s">
        <v>269</v>
      </c>
      <c r="Y7" s="78" t="s">
        <v>269</v>
      </c>
      <c r="Z7" s="78" t="s">
        <v>269</v>
      </c>
      <c r="AA7" s="78" t="s">
        <v>269</v>
      </c>
      <c r="AB7" s="78" t="s">
        <v>269</v>
      </c>
      <c r="AC7" s="78" t="s">
        <v>269</v>
      </c>
      <c r="AD7" s="78" t="s">
        <v>269</v>
      </c>
      <c r="AE7" s="78" t="s">
        <v>269</v>
      </c>
      <c r="AF7" s="78" t="s">
        <v>269</v>
      </c>
      <c r="AG7" s="78" t="s">
        <v>269</v>
      </c>
      <c r="AH7" s="78" t="s">
        <v>269</v>
      </c>
      <c r="AI7" s="78" t="s">
        <v>269</v>
      </c>
      <c r="AJ7" s="78" t="s">
        <v>269</v>
      </c>
      <c r="AK7" s="78" t="s">
        <v>269</v>
      </c>
      <c r="AL7" s="78" t="s">
        <v>269</v>
      </c>
      <c r="AM7" s="78" t="s">
        <v>269</v>
      </c>
      <c r="AN7" s="78" t="s">
        <v>269</v>
      </c>
      <c r="AO7" s="78" t="s">
        <v>269</v>
      </c>
      <c r="AP7" s="78" t="s">
        <v>269</v>
      </c>
      <c r="AQ7" s="78" t="s">
        <v>269</v>
      </c>
      <c r="AR7" s="78" t="s">
        <v>269</v>
      </c>
      <c r="AS7" s="78" t="s">
        <v>269</v>
      </c>
      <c r="AT7" s="78" t="s">
        <v>269</v>
      </c>
      <c r="AU7" s="78" t="s">
        <v>269</v>
      </c>
      <c r="AV7" s="78" t="s">
        <v>269</v>
      </c>
      <c r="AW7" s="78"/>
      <c r="AX7" s="78"/>
      <c r="AY7" s="78"/>
      <c r="AZ7" s="78"/>
      <c r="BA7" s="78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  <c r="CK7" s="125"/>
      <c r="CL7" s="125"/>
      <c r="CM7" s="125"/>
      <c r="CN7" s="125"/>
      <c r="CO7" s="125"/>
      <c r="CP7" s="125"/>
      <c r="CQ7" s="125"/>
      <c r="CR7" s="125"/>
      <c r="CS7" s="125"/>
      <c r="CT7" s="125"/>
      <c r="CU7" s="123"/>
      <c r="CV7" s="123"/>
      <c r="CW7" s="123"/>
      <c r="CX7" s="123"/>
      <c r="CY7" s="123"/>
      <c r="CZ7" s="123"/>
      <c r="DA7" s="123"/>
      <c r="DB7" s="123"/>
      <c r="DC7" s="123"/>
      <c r="DD7" s="123"/>
      <c r="DE7" s="123"/>
      <c r="DF7" s="123"/>
      <c r="DG7" s="123"/>
      <c r="DH7" s="123"/>
      <c r="DI7" s="123"/>
      <c r="DJ7" s="123"/>
      <c r="DK7" s="123"/>
      <c r="DL7" s="123"/>
      <c r="DM7" s="123"/>
      <c r="DN7" s="123"/>
      <c r="DO7" s="123"/>
      <c r="DP7" s="123"/>
      <c r="DQ7" s="123"/>
      <c r="DR7" s="123"/>
      <c r="DS7" s="123"/>
      <c r="DT7" s="123"/>
      <c r="DU7" s="123"/>
      <c r="DV7" s="123"/>
      <c r="DW7" s="123"/>
      <c r="DX7" s="123"/>
      <c r="DY7" s="123"/>
      <c r="DZ7" s="123"/>
      <c r="EA7" s="123"/>
      <c r="EB7" s="123"/>
      <c r="EC7" s="123"/>
      <c r="ED7" s="123"/>
      <c r="EE7" s="123"/>
      <c r="EF7" s="123"/>
      <c r="EG7" s="123"/>
      <c r="EH7" s="123"/>
      <c r="EI7" s="123"/>
      <c r="EJ7" s="123"/>
      <c r="EK7" s="123"/>
      <c r="EL7" s="123"/>
      <c r="EM7" s="123"/>
      <c r="EN7" s="117"/>
      <c r="EO7" s="117"/>
      <c r="EP7" s="117"/>
      <c r="EQ7" s="117"/>
      <c r="ER7" s="117"/>
      <c r="ES7" s="117"/>
      <c r="ET7" s="117"/>
      <c r="EU7" s="117"/>
      <c r="EV7" s="117"/>
      <c r="EW7" s="117"/>
      <c r="EX7" s="117"/>
      <c r="EY7" s="117"/>
      <c r="EZ7" s="117"/>
      <c r="FA7" s="117"/>
      <c r="FB7" s="117"/>
      <c r="FC7" s="117"/>
      <c r="FD7" s="117"/>
      <c r="FE7" s="117"/>
      <c r="FF7" s="117"/>
      <c r="FG7" s="117"/>
      <c r="FH7" s="117"/>
      <c r="FI7" s="117"/>
      <c r="FJ7" s="117"/>
      <c r="FK7" s="117"/>
      <c r="FL7" s="117"/>
      <c r="FM7" s="117"/>
      <c r="FN7" s="117"/>
      <c r="FO7" s="117"/>
      <c r="FP7" s="117"/>
      <c r="FQ7" s="117"/>
      <c r="FR7" s="117"/>
      <c r="FS7" s="117"/>
      <c r="FT7" s="117"/>
      <c r="FU7" s="117"/>
      <c r="FV7" s="117"/>
      <c r="FW7" s="117"/>
      <c r="FX7" s="117"/>
      <c r="FY7" s="117"/>
      <c r="FZ7" s="117"/>
      <c r="GA7" s="117"/>
      <c r="GB7" s="117"/>
      <c r="GC7" s="117"/>
      <c r="GD7" s="117"/>
      <c r="GE7" s="117"/>
      <c r="GF7" s="117"/>
      <c r="GG7" s="115"/>
      <c r="GH7" s="115"/>
      <c r="GI7" s="115"/>
      <c r="GJ7" s="115"/>
      <c r="GK7" s="115"/>
      <c r="GL7" s="115"/>
      <c r="GM7" s="115"/>
      <c r="GN7" s="115"/>
      <c r="GO7" s="115"/>
      <c r="GP7" s="115"/>
      <c r="GQ7" s="115"/>
      <c r="GR7" s="115"/>
      <c r="GS7" s="115"/>
      <c r="GT7" s="115"/>
      <c r="GU7" s="115"/>
      <c r="GV7" s="115"/>
      <c r="GW7" s="115"/>
      <c r="GX7" s="115"/>
      <c r="GY7" s="115"/>
      <c r="GZ7" s="115"/>
      <c r="HA7" s="115"/>
      <c r="HB7" s="115"/>
      <c r="HC7" s="115"/>
      <c r="HD7" s="115"/>
      <c r="HE7" s="115"/>
      <c r="HF7" s="115"/>
      <c r="HG7" s="115"/>
      <c r="HH7" s="115"/>
      <c r="HI7" s="115"/>
      <c r="HJ7" s="115"/>
      <c r="HK7" s="115"/>
      <c r="HL7" s="115"/>
      <c r="HM7" s="115"/>
      <c r="HN7" s="115"/>
      <c r="HO7" s="115"/>
      <c r="HP7" s="115"/>
      <c r="HQ7" s="115"/>
      <c r="HR7" s="115"/>
      <c r="HS7" s="115"/>
      <c r="HT7" s="115"/>
      <c r="HU7" s="115"/>
      <c r="HV7" s="115"/>
      <c r="HW7" s="115"/>
      <c r="HX7" s="115"/>
      <c r="HY7" s="115"/>
      <c r="HZ7" s="117"/>
      <c r="IA7" s="117"/>
      <c r="IB7" s="117"/>
      <c r="IC7" s="117"/>
      <c r="ID7" s="117"/>
      <c r="IE7" s="117"/>
      <c r="IF7" s="117"/>
      <c r="IG7" s="117"/>
      <c r="IH7" s="117"/>
      <c r="II7" s="117"/>
      <c r="IJ7" s="117"/>
      <c r="IK7" s="117"/>
      <c r="IL7" s="117"/>
      <c r="IM7" s="117"/>
      <c r="IN7" s="117"/>
      <c r="IO7" s="117"/>
      <c r="IP7" s="117"/>
      <c r="IQ7" s="117"/>
      <c r="IR7" s="117"/>
      <c r="IS7" s="117"/>
      <c r="IT7" s="117"/>
      <c r="IU7" s="117"/>
      <c r="IV7" s="117"/>
      <c r="IW7" s="117"/>
      <c r="IX7" s="117"/>
      <c r="IY7" s="117"/>
      <c r="IZ7" s="117"/>
      <c r="JA7" s="117"/>
      <c r="JB7" s="117"/>
      <c r="JC7" s="117"/>
      <c r="JD7" s="117"/>
      <c r="JE7" s="117"/>
      <c r="JF7" s="117"/>
      <c r="JG7" s="117"/>
      <c r="JH7" s="117"/>
      <c r="JI7" s="117"/>
      <c r="JJ7" s="117"/>
      <c r="JK7" s="117"/>
      <c r="JL7" s="117"/>
      <c r="JM7" s="117"/>
      <c r="JN7" s="117"/>
      <c r="JO7" s="117"/>
      <c r="JP7" s="117"/>
      <c r="JQ7" s="117"/>
      <c r="JR7" s="117"/>
      <c r="JS7" s="114"/>
      <c r="JT7" s="114"/>
      <c r="JU7" s="114"/>
      <c r="JV7" s="114"/>
      <c r="JW7" s="114"/>
      <c r="JX7" s="114"/>
      <c r="JY7" s="114"/>
      <c r="JZ7" s="114"/>
      <c r="KA7" s="114"/>
      <c r="KB7" s="114"/>
      <c r="KC7" s="114"/>
      <c r="KD7" s="114"/>
      <c r="KE7" s="114"/>
      <c r="KF7" s="114"/>
      <c r="KG7" s="114"/>
      <c r="KH7" s="114"/>
      <c r="KI7" s="114"/>
      <c r="KJ7" s="114"/>
      <c r="KK7" s="114"/>
      <c r="KL7" s="114"/>
      <c r="KM7" s="114"/>
      <c r="KN7" s="114"/>
      <c r="KO7" s="114"/>
      <c r="KP7" s="114"/>
      <c r="KQ7" s="114"/>
      <c r="KR7" s="114"/>
      <c r="KS7" s="114"/>
      <c r="KT7" s="114"/>
      <c r="KU7" s="114"/>
      <c r="KV7" s="114"/>
      <c r="KW7" s="114"/>
      <c r="KX7" s="114"/>
      <c r="KY7" s="114"/>
      <c r="KZ7" s="114"/>
      <c r="LA7" s="114"/>
      <c r="LB7" s="114"/>
      <c r="LC7" s="114"/>
      <c r="LD7" s="114"/>
      <c r="LE7" s="114"/>
      <c r="LF7" s="114"/>
      <c r="LG7" s="114"/>
      <c r="LH7" s="114"/>
      <c r="LI7" s="114"/>
      <c r="LJ7" s="114"/>
      <c r="LK7" s="114"/>
    </row>
    <row r="8" spans="1:323" ht="18" x14ac:dyDescent="0.25">
      <c r="A8" s="127"/>
      <c r="B8" s="126"/>
      <c r="C8" s="127"/>
      <c r="D8" s="135"/>
      <c r="E8" s="135"/>
      <c r="F8" s="135"/>
      <c r="G8" s="20" t="s">
        <v>56</v>
      </c>
      <c r="H8" s="21" t="s">
        <v>44</v>
      </c>
      <c r="I8" s="78" t="s">
        <v>269</v>
      </c>
      <c r="J8" s="78" t="s">
        <v>269</v>
      </c>
      <c r="K8" s="78" t="s">
        <v>269</v>
      </c>
      <c r="L8" s="78" t="s">
        <v>269</v>
      </c>
      <c r="M8" s="78" t="s">
        <v>269</v>
      </c>
      <c r="N8" s="78" t="s">
        <v>269</v>
      </c>
      <c r="O8" s="78" t="s">
        <v>269</v>
      </c>
      <c r="P8" s="78" t="s">
        <v>269</v>
      </c>
      <c r="Q8" s="78" t="s">
        <v>269</v>
      </c>
      <c r="R8" s="78" t="s">
        <v>269</v>
      </c>
      <c r="S8" s="78" t="s">
        <v>269</v>
      </c>
      <c r="T8" s="78" t="s">
        <v>269</v>
      </c>
      <c r="U8" s="78" t="s">
        <v>269</v>
      </c>
      <c r="V8" s="78" t="s">
        <v>269</v>
      </c>
      <c r="W8" s="78" t="s">
        <v>269</v>
      </c>
      <c r="X8" s="78" t="s">
        <v>269</v>
      </c>
      <c r="Y8" s="78" t="s">
        <v>269</v>
      </c>
      <c r="Z8" s="78" t="s">
        <v>269</v>
      </c>
      <c r="AA8" s="78" t="s">
        <v>269</v>
      </c>
      <c r="AB8" s="78" t="s">
        <v>269</v>
      </c>
      <c r="AC8" s="78" t="s">
        <v>269</v>
      </c>
      <c r="AD8" s="78" t="s">
        <v>269</v>
      </c>
      <c r="AE8" s="78" t="s">
        <v>269</v>
      </c>
      <c r="AF8" s="78" t="s">
        <v>269</v>
      </c>
      <c r="AG8" s="78" t="s">
        <v>269</v>
      </c>
      <c r="AH8" s="78" t="s">
        <v>269</v>
      </c>
      <c r="AI8" s="78" t="s">
        <v>269</v>
      </c>
      <c r="AJ8" s="78" t="s">
        <v>269</v>
      </c>
      <c r="AK8" s="78" t="s">
        <v>269</v>
      </c>
      <c r="AL8" s="78" t="s">
        <v>269</v>
      </c>
      <c r="AM8" s="78" t="s">
        <v>269</v>
      </c>
      <c r="AN8" s="78" t="s">
        <v>269</v>
      </c>
      <c r="AO8" s="78" t="s">
        <v>269</v>
      </c>
      <c r="AP8" s="78" t="s">
        <v>269</v>
      </c>
      <c r="AQ8" s="78" t="s">
        <v>269</v>
      </c>
      <c r="AR8" s="78" t="s">
        <v>269</v>
      </c>
      <c r="AS8" s="78" t="s">
        <v>269</v>
      </c>
      <c r="AT8" s="78" t="s">
        <v>269</v>
      </c>
      <c r="AU8" s="78" t="s">
        <v>269</v>
      </c>
      <c r="AV8" s="78" t="s">
        <v>269</v>
      </c>
      <c r="AW8" s="78"/>
      <c r="AX8" s="78"/>
      <c r="AY8" s="78"/>
      <c r="AZ8" s="78"/>
      <c r="BA8" s="78"/>
      <c r="BB8" s="125">
        <f t="shared" ref="BB8:CO8" si="12">IF(AND(I8="",I9=""),"",COUNTIF(I8:I9,"v"))</f>
        <v>2</v>
      </c>
      <c r="BC8" s="125">
        <f t="shared" si="12"/>
        <v>2</v>
      </c>
      <c r="BD8" s="125">
        <f t="shared" si="12"/>
        <v>2</v>
      </c>
      <c r="BE8" s="125">
        <f t="shared" si="12"/>
        <v>2</v>
      </c>
      <c r="BF8" s="125">
        <f t="shared" si="12"/>
        <v>2</v>
      </c>
      <c r="BG8" s="125">
        <f t="shared" si="12"/>
        <v>2</v>
      </c>
      <c r="BH8" s="125">
        <f t="shared" si="12"/>
        <v>2</v>
      </c>
      <c r="BI8" s="125">
        <f t="shared" si="12"/>
        <v>2</v>
      </c>
      <c r="BJ8" s="125">
        <f t="shared" si="12"/>
        <v>2</v>
      </c>
      <c r="BK8" s="125">
        <f t="shared" si="12"/>
        <v>2</v>
      </c>
      <c r="BL8" s="125">
        <f t="shared" si="12"/>
        <v>2</v>
      </c>
      <c r="BM8" s="125">
        <f t="shared" si="12"/>
        <v>2</v>
      </c>
      <c r="BN8" s="125">
        <f t="shared" si="12"/>
        <v>2</v>
      </c>
      <c r="BO8" s="125">
        <f t="shared" si="12"/>
        <v>2</v>
      </c>
      <c r="BP8" s="125">
        <f t="shared" si="12"/>
        <v>2</v>
      </c>
      <c r="BQ8" s="125">
        <f t="shared" si="12"/>
        <v>2</v>
      </c>
      <c r="BR8" s="125">
        <f t="shared" si="12"/>
        <v>2</v>
      </c>
      <c r="BS8" s="125">
        <f t="shared" si="12"/>
        <v>2</v>
      </c>
      <c r="BT8" s="125">
        <f t="shared" si="12"/>
        <v>2</v>
      </c>
      <c r="BU8" s="125">
        <f t="shared" si="12"/>
        <v>2</v>
      </c>
      <c r="BV8" s="125">
        <f t="shared" si="12"/>
        <v>2</v>
      </c>
      <c r="BW8" s="125">
        <f t="shared" si="12"/>
        <v>2</v>
      </c>
      <c r="BX8" s="125">
        <f t="shared" si="12"/>
        <v>2</v>
      </c>
      <c r="BY8" s="125">
        <f t="shared" si="12"/>
        <v>2</v>
      </c>
      <c r="BZ8" s="125">
        <f t="shared" si="12"/>
        <v>2</v>
      </c>
      <c r="CA8" s="125">
        <f t="shared" si="12"/>
        <v>2</v>
      </c>
      <c r="CB8" s="125">
        <f t="shared" si="12"/>
        <v>2</v>
      </c>
      <c r="CC8" s="125">
        <f t="shared" si="12"/>
        <v>2</v>
      </c>
      <c r="CD8" s="125">
        <f t="shared" si="12"/>
        <v>2</v>
      </c>
      <c r="CE8" s="125">
        <f t="shared" si="12"/>
        <v>2</v>
      </c>
      <c r="CF8" s="125">
        <f t="shared" si="12"/>
        <v>2</v>
      </c>
      <c r="CG8" s="125">
        <f t="shared" si="12"/>
        <v>2</v>
      </c>
      <c r="CH8" s="125">
        <f t="shared" si="12"/>
        <v>2</v>
      </c>
      <c r="CI8" s="125">
        <f t="shared" si="12"/>
        <v>2</v>
      </c>
      <c r="CJ8" s="125">
        <f t="shared" si="12"/>
        <v>2</v>
      </c>
      <c r="CK8" s="125">
        <f t="shared" si="12"/>
        <v>2</v>
      </c>
      <c r="CL8" s="125">
        <f t="shared" si="12"/>
        <v>2</v>
      </c>
      <c r="CM8" s="125">
        <f t="shared" si="12"/>
        <v>2</v>
      </c>
      <c r="CN8" s="125">
        <f t="shared" si="12"/>
        <v>2</v>
      </c>
      <c r="CO8" s="125">
        <f t="shared" si="12"/>
        <v>2</v>
      </c>
      <c r="CP8" s="125" t="str">
        <f t="shared" ref="CP8:CT8" si="13">IF(AND(AW8="",AW9=""),"",COUNTIF(AW8:AW9,"v"))</f>
        <v/>
      </c>
      <c r="CQ8" s="125" t="str">
        <f t="shared" si="13"/>
        <v/>
      </c>
      <c r="CR8" s="125" t="str">
        <f t="shared" si="13"/>
        <v/>
      </c>
      <c r="CS8" s="125" t="str">
        <f t="shared" si="13"/>
        <v/>
      </c>
      <c r="CT8" s="125" t="str">
        <f t="shared" si="13"/>
        <v/>
      </c>
      <c r="CU8" s="123"/>
      <c r="CV8" s="123"/>
      <c r="CW8" s="123"/>
      <c r="CX8" s="123"/>
      <c r="CY8" s="123"/>
      <c r="CZ8" s="123"/>
      <c r="DA8" s="123"/>
      <c r="DB8" s="123"/>
      <c r="DC8" s="123"/>
      <c r="DD8" s="123"/>
      <c r="DE8" s="123"/>
      <c r="DF8" s="123"/>
      <c r="DG8" s="123"/>
      <c r="DH8" s="123"/>
      <c r="DI8" s="123"/>
      <c r="DJ8" s="123"/>
      <c r="DK8" s="123"/>
      <c r="DL8" s="123"/>
      <c r="DM8" s="123"/>
      <c r="DN8" s="123"/>
      <c r="DO8" s="123"/>
      <c r="DP8" s="123"/>
      <c r="DQ8" s="123"/>
      <c r="DR8" s="123"/>
      <c r="DS8" s="123"/>
      <c r="DT8" s="123"/>
      <c r="DU8" s="123"/>
      <c r="DV8" s="123"/>
      <c r="DW8" s="123"/>
      <c r="DX8" s="123"/>
      <c r="DY8" s="123"/>
      <c r="DZ8" s="123"/>
      <c r="EA8" s="123"/>
      <c r="EB8" s="123"/>
      <c r="EC8" s="123"/>
      <c r="ED8" s="123"/>
      <c r="EE8" s="123"/>
      <c r="EF8" s="123"/>
      <c r="EG8" s="123"/>
      <c r="EH8" s="123"/>
      <c r="EI8" s="123"/>
      <c r="EJ8" s="123"/>
      <c r="EK8" s="123"/>
      <c r="EL8" s="123"/>
      <c r="EM8" s="123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7"/>
      <c r="EZ8" s="117"/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5"/>
      <c r="GH8" s="115"/>
      <c r="GI8" s="115"/>
      <c r="GJ8" s="115"/>
      <c r="GK8" s="115"/>
      <c r="GL8" s="115"/>
      <c r="GM8" s="115"/>
      <c r="GN8" s="115"/>
      <c r="GO8" s="115"/>
      <c r="GP8" s="115"/>
      <c r="GQ8" s="115"/>
      <c r="GR8" s="115"/>
      <c r="GS8" s="115"/>
      <c r="GT8" s="115"/>
      <c r="GU8" s="115"/>
      <c r="GV8" s="115"/>
      <c r="GW8" s="115"/>
      <c r="GX8" s="115"/>
      <c r="GY8" s="115"/>
      <c r="GZ8" s="115"/>
      <c r="HA8" s="115"/>
      <c r="HB8" s="115"/>
      <c r="HC8" s="115"/>
      <c r="HD8" s="115"/>
      <c r="HE8" s="115"/>
      <c r="HF8" s="115"/>
      <c r="HG8" s="115"/>
      <c r="HH8" s="115"/>
      <c r="HI8" s="115"/>
      <c r="HJ8" s="115"/>
      <c r="HK8" s="115"/>
      <c r="HL8" s="115"/>
      <c r="HM8" s="115"/>
      <c r="HN8" s="115"/>
      <c r="HO8" s="115"/>
      <c r="HP8" s="115"/>
      <c r="HQ8" s="115"/>
      <c r="HR8" s="115"/>
      <c r="HS8" s="115"/>
      <c r="HT8" s="115"/>
      <c r="HU8" s="115"/>
      <c r="HV8" s="115"/>
      <c r="HW8" s="115"/>
      <c r="HX8" s="115"/>
      <c r="HY8" s="115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17"/>
      <c r="IL8" s="117"/>
      <c r="IM8" s="117"/>
      <c r="IN8" s="117"/>
      <c r="IO8" s="117"/>
      <c r="IP8" s="117"/>
      <c r="IQ8" s="117"/>
      <c r="IR8" s="117"/>
      <c r="IS8" s="117"/>
      <c r="IT8" s="117"/>
      <c r="IU8" s="117"/>
      <c r="IV8" s="117"/>
      <c r="IW8" s="117"/>
      <c r="IX8" s="117"/>
      <c r="IY8" s="117"/>
      <c r="IZ8" s="117"/>
      <c r="JA8" s="117"/>
      <c r="JB8" s="117"/>
      <c r="JC8" s="117"/>
      <c r="JD8" s="117"/>
      <c r="JE8" s="117"/>
      <c r="JF8" s="117"/>
      <c r="JG8" s="117"/>
      <c r="JH8" s="117"/>
      <c r="JI8" s="117"/>
      <c r="JJ8" s="117"/>
      <c r="JK8" s="117"/>
      <c r="JL8" s="117"/>
      <c r="JM8" s="117"/>
      <c r="JN8" s="117"/>
      <c r="JO8" s="117"/>
      <c r="JP8" s="117"/>
      <c r="JQ8" s="117"/>
      <c r="JR8" s="117"/>
      <c r="JS8" s="114"/>
      <c r="JT8" s="114"/>
      <c r="JU8" s="114"/>
      <c r="JV8" s="114"/>
      <c r="JW8" s="114"/>
      <c r="JX8" s="114"/>
      <c r="JY8" s="114"/>
      <c r="JZ8" s="114"/>
      <c r="KA8" s="114"/>
      <c r="KB8" s="114"/>
      <c r="KC8" s="114"/>
      <c r="KD8" s="114"/>
      <c r="KE8" s="114"/>
      <c r="KF8" s="114"/>
      <c r="KG8" s="114"/>
      <c r="KH8" s="114"/>
      <c r="KI8" s="114"/>
      <c r="KJ8" s="114"/>
      <c r="KK8" s="114"/>
      <c r="KL8" s="114"/>
      <c r="KM8" s="114"/>
      <c r="KN8" s="114"/>
      <c r="KO8" s="114"/>
      <c r="KP8" s="114"/>
      <c r="KQ8" s="114"/>
      <c r="KR8" s="114"/>
      <c r="KS8" s="114"/>
      <c r="KT8" s="114"/>
      <c r="KU8" s="114"/>
      <c r="KV8" s="114"/>
      <c r="KW8" s="114"/>
      <c r="KX8" s="114"/>
      <c r="KY8" s="114"/>
      <c r="KZ8" s="114"/>
      <c r="LA8" s="114"/>
      <c r="LB8" s="114"/>
      <c r="LC8" s="114"/>
      <c r="LD8" s="114"/>
      <c r="LE8" s="114"/>
      <c r="LF8" s="114"/>
      <c r="LG8" s="114"/>
      <c r="LH8" s="114"/>
      <c r="LI8" s="114"/>
      <c r="LJ8" s="114"/>
      <c r="LK8" s="114"/>
    </row>
    <row r="9" spans="1:323" ht="31.5" x14ac:dyDescent="0.25">
      <c r="A9" s="127"/>
      <c r="B9" s="126"/>
      <c r="C9" s="127"/>
      <c r="D9" s="135"/>
      <c r="E9" s="135"/>
      <c r="F9" s="135"/>
      <c r="G9" s="20" t="s">
        <v>56</v>
      </c>
      <c r="H9" s="23" t="s">
        <v>45</v>
      </c>
      <c r="I9" s="78" t="s">
        <v>269</v>
      </c>
      <c r="J9" s="78" t="s">
        <v>269</v>
      </c>
      <c r="K9" s="78" t="s">
        <v>269</v>
      </c>
      <c r="L9" s="78" t="s">
        <v>269</v>
      </c>
      <c r="M9" s="78" t="s">
        <v>269</v>
      </c>
      <c r="N9" s="78" t="s">
        <v>269</v>
      </c>
      <c r="O9" s="78" t="s">
        <v>269</v>
      </c>
      <c r="P9" s="78" t="s">
        <v>269</v>
      </c>
      <c r="Q9" s="78" t="s">
        <v>269</v>
      </c>
      <c r="R9" s="78" t="s">
        <v>269</v>
      </c>
      <c r="S9" s="78" t="s">
        <v>269</v>
      </c>
      <c r="T9" s="78" t="s">
        <v>269</v>
      </c>
      <c r="U9" s="78" t="s">
        <v>269</v>
      </c>
      <c r="V9" s="78" t="s">
        <v>269</v>
      </c>
      <c r="W9" s="78" t="s">
        <v>269</v>
      </c>
      <c r="X9" s="78" t="s">
        <v>269</v>
      </c>
      <c r="Y9" s="78" t="s">
        <v>269</v>
      </c>
      <c r="Z9" s="78" t="s">
        <v>269</v>
      </c>
      <c r="AA9" s="78" t="s">
        <v>269</v>
      </c>
      <c r="AB9" s="78" t="s">
        <v>269</v>
      </c>
      <c r="AC9" s="78" t="s">
        <v>269</v>
      </c>
      <c r="AD9" s="78" t="s">
        <v>269</v>
      </c>
      <c r="AE9" s="78" t="s">
        <v>269</v>
      </c>
      <c r="AF9" s="78" t="s">
        <v>269</v>
      </c>
      <c r="AG9" s="78" t="s">
        <v>269</v>
      </c>
      <c r="AH9" s="78" t="s">
        <v>269</v>
      </c>
      <c r="AI9" s="78" t="s">
        <v>269</v>
      </c>
      <c r="AJ9" s="78" t="s">
        <v>269</v>
      </c>
      <c r="AK9" s="78" t="s">
        <v>269</v>
      </c>
      <c r="AL9" s="78" t="s">
        <v>269</v>
      </c>
      <c r="AM9" s="78" t="s">
        <v>269</v>
      </c>
      <c r="AN9" s="78" t="s">
        <v>269</v>
      </c>
      <c r="AO9" s="78" t="s">
        <v>269</v>
      </c>
      <c r="AP9" s="78" t="s">
        <v>269</v>
      </c>
      <c r="AQ9" s="78" t="s">
        <v>269</v>
      </c>
      <c r="AR9" s="78" t="s">
        <v>269</v>
      </c>
      <c r="AS9" s="78" t="s">
        <v>269</v>
      </c>
      <c r="AT9" s="78" t="s">
        <v>269</v>
      </c>
      <c r="AU9" s="78" t="s">
        <v>269</v>
      </c>
      <c r="AV9" s="78" t="s">
        <v>269</v>
      </c>
      <c r="AW9" s="78"/>
      <c r="AX9" s="78"/>
      <c r="AY9" s="78"/>
      <c r="AZ9" s="78"/>
      <c r="BA9" s="78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  <c r="CK9" s="125"/>
      <c r="CL9" s="125"/>
      <c r="CM9" s="125"/>
      <c r="CN9" s="125"/>
      <c r="CO9" s="125"/>
      <c r="CP9" s="125"/>
      <c r="CQ9" s="125"/>
      <c r="CR9" s="125"/>
      <c r="CS9" s="125"/>
      <c r="CT9" s="125"/>
      <c r="CU9" s="123"/>
      <c r="CV9" s="123"/>
      <c r="CW9" s="123"/>
      <c r="CX9" s="123"/>
      <c r="CY9" s="123"/>
      <c r="CZ9" s="123"/>
      <c r="DA9" s="123"/>
      <c r="DB9" s="123"/>
      <c r="DC9" s="123"/>
      <c r="DD9" s="123"/>
      <c r="DE9" s="123"/>
      <c r="DF9" s="123"/>
      <c r="DG9" s="123"/>
      <c r="DH9" s="123"/>
      <c r="DI9" s="123"/>
      <c r="DJ9" s="123"/>
      <c r="DK9" s="123"/>
      <c r="DL9" s="123"/>
      <c r="DM9" s="123"/>
      <c r="DN9" s="123"/>
      <c r="DO9" s="123"/>
      <c r="DP9" s="123"/>
      <c r="DQ9" s="123"/>
      <c r="DR9" s="123"/>
      <c r="DS9" s="123"/>
      <c r="DT9" s="123"/>
      <c r="DU9" s="123"/>
      <c r="DV9" s="123"/>
      <c r="DW9" s="123"/>
      <c r="DX9" s="123"/>
      <c r="DY9" s="123"/>
      <c r="DZ9" s="123"/>
      <c r="EA9" s="123"/>
      <c r="EB9" s="123"/>
      <c r="EC9" s="123"/>
      <c r="ED9" s="123"/>
      <c r="EE9" s="123"/>
      <c r="EF9" s="123"/>
      <c r="EG9" s="123"/>
      <c r="EH9" s="123"/>
      <c r="EI9" s="123"/>
      <c r="EJ9" s="123"/>
      <c r="EK9" s="123"/>
      <c r="EL9" s="123"/>
      <c r="EM9" s="123"/>
      <c r="EN9" s="117"/>
      <c r="EO9" s="117"/>
      <c r="EP9" s="117"/>
      <c r="EQ9" s="117"/>
      <c r="ER9" s="117"/>
      <c r="ES9" s="117"/>
      <c r="ET9" s="117"/>
      <c r="EU9" s="117"/>
      <c r="EV9" s="117"/>
      <c r="EW9" s="117"/>
      <c r="EX9" s="117"/>
      <c r="EY9" s="117"/>
      <c r="EZ9" s="117"/>
      <c r="FA9" s="117"/>
      <c r="FB9" s="117"/>
      <c r="FC9" s="117"/>
      <c r="FD9" s="117"/>
      <c r="FE9" s="117"/>
      <c r="FF9" s="117"/>
      <c r="FG9" s="117"/>
      <c r="FH9" s="117"/>
      <c r="FI9" s="117"/>
      <c r="FJ9" s="117"/>
      <c r="FK9" s="117"/>
      <c r="FL9" s="117"/>
      <c r="FM9" s="117"/>
      <c r="FN9" s="117"/>
      <c r="FO9" s="117"/>
      <c r="FP9" s="117"/>
      <c r="FQ9" s="117"/>
      <c r="FR9" s="117"/>
      <c r="FS9" s="117"/>
      <c r="FT9" s="117"/>
      <c r="FU9" s="117"/>
      <c r="FV9" s="117"/>
      <c r="FW9" s="117"/>
      <c r="FX9" s="117"/>
      <c r="FY9" s="117"/>
      <c r="FZ9" s="117"/>
      <c r="GA9" s="117"/>
      <c r="GB9" s="117"/>
      <c r="GC9" s="117"/>
      <c r="GD9" s="117"/>
      <c r="GE9" s="117"/>
      <c r="GF9" s="117"/>
      <c r="GG9" s="115"/>
      <c r="GH9" s="115"/>
      <c r="GI9" s="115"/>
      <c r="GJ9" s="115"/>
      <c r="GK9" s="115"/>
      <c r="GL9" s="115"/>
      <c r="GM9" s="115"/>
      <c r="GN9" s="115"/>
      <c r="GO9" s="115"/>
      <c r="GP9" s="115"/>
      <c r="GQ9" s="115"/>
      <c r="GR9" s="115"/>
      <c r="GS9" s="115"/>
      <c r="GT9" s="115"/>
      <c r="GU9" s="115"/>
      <c r="GV9" s="115"/>
      <c r="GW9" s="115"/>
      <c r="GX9" s="115"/>
      <c r="GY9" s="115"/>
      <c r="GZ9" s="115"/>
      <c r="HA9" s="115"/>
      <c r="HB9" s="115"/>
      <c r="HC9" s="115"/>
      <c r="HD9" s="115"/>
      <c r="HE9" s="115"/>
      <c r="HF9" s="115"/>
      <c r="HG9" s="115"/>
      <c r="HH9" s="115"/>
      <c r="HI9" s="115"/>
      <c r="HJ9" s="115"/>
      <c r="HK9" s="115"/>
      <c r="HL9" s="115"/>
      <c r="HM9" s="115"/>
      <c r="HN9" s="115"/>
      <c r="HO9" s="115"/>
      <c r="HP9" s="115"/>
      <c r="HQ9" s="115"/>
      <c r="HR9" s="115"/>
      <c r="HS9" s="115"/>
      <c r="HT9" s="115"/>
      <c r="HU9" s="115"/>
      <c r="HV9" s="115"/>
      <c r="HW9" s="115"/>
      <c r="HX9" s="115"/>
      <c r="HY9" s="115"/>
      <c r="HZ9" s="117"/>
      <c r="IA9" s="117"/>
      <c r="IB9" s="117"/>
      <c r="IC9" s="117"/>
      <c r="ID9" s="117"/>
      <c r="IE9" s="117"/>
      <c r="IF9" s="117"/>
      <c r="IG9" s="117"/>
      <c r="IH9" s="117"/>
      <c r="II9" s="117"/>
      <c r="IJ9" s="117"/>
      <c r="IK9" s="117"/>
      <c r="IL9" s="117"/>
      <c r="IM9" s="117"/>
      <c r="IN9" s="117"/>
      <c r="IO9" s="117"/>
      <c r="IP9" s="117"/>
      <c r="IQ9" s="117"/>
      <c r="IR9" s="117"/>
      <c r="IS9" s="117"/>
      <c r="IT9" s="117"/>
      <c r="IU9" s="117"/>
      <c r="IV9" s="117"/>
      <c r="IW9" s="117"/>
      <c r="IX9" s="117"/>
      <c r="IY9" s="117"/>
      <c r="IZ9" s="117"/>
      <c r="JA9" s="117"/>
      <c r="JB9" s="117"/>
      <c r="JC9" s="117"/>
      <c r="JD9" s="117"/>
      <c r="JE9" s="117"/>
      <c r="JF9" s="117"/>
      <c r="JG9" s="117"/>
      <c r="JH9" s="117"/>
      <c r="JI9" s="117"/>
      <c r="JJ9" s="117"/>
      <c r="JK9" s="117"/>
      <c r="JL9" s="117"/>
      <c r="JM9" s="117"/>
      <c r="JN9" s="117"/>
      <c r="JO9" s="117"/>
      <c r="JP9" s="117"/>
      <c r="JQ9" s="117"/>
      <c r="JR9" s="117"/>
      <c r="JS9" s="114"/>
      <c r="JT9" s="114"/>
      <c r="JU9" s="114"/>
      <c r="JV9" s="114"/>
      <c r="JW9" s="114"/>
      <c r="JX9" s="114"/>
      <c r="JY9" s="114"/>
      <c r="JZ9" s="114"/>
      <c r="KA9" s="114"/>
      <c r="KB9" s="114"/>
      <c r="KC9" s="114"/>
      <c r="KD9" s="114"/>
      <c r="KE9" s="114"/>
      <c r="KF9" s="114"/>
      <c r="KG9" s="114"/>
      <c r="KH9" s="114"/>
      <c r="KI9" s="114"/>
      <c r="KJ9" s="114"/>
      <c r="KK9" s="114"/>
      <c r="KL9" s="114"/>
      <c r="KM9" s="114"/>
      <c r="KN9" s="114"/>
      <c r="KO9" s="114"/>
      <c r="KP9" s="114"/>
      <c r="KQ9" s="114"/>
      <c r="KR9" s="114"/>
      <c r="KS9" s="114"/>
      <c r="KT9" s="114"/>
      <c r="KU9" s="114"/>
      <c r="KV9" s="114"/>
      <c r="KW9" s="114"/>
      <c r="KX9" s="114"/>
      <c r="KY9" s="114"/>
      <c r="KZ9" s="114"/>
      <c r="LA9" s="114"/>
      <c r="LB9" s="114"/>
      <c r="LC9" s="114"/>
      <c r="LD9" s="114"/>
      <c r="LE9" s="114"/>
      <c r="LF9" s="114"/>
      <c r="LG9" s="114"/>
      <c r="LH9" s="114"/>
      <c r="LI9" s="114"/>
      <c r="LJ9" s="114"/>
      <c r="LK9" s="114"/>
    </row>
    <row r="10" spans="1:323" ht="18" x14ac:dyDescent="0.25">
      <c r="A10" s="127"/>
      <c r="B10" s="126"/>
      <c r="C10" s="127" t="s">
        <v>41</v>
      </c>
      <c r="D10" s="126" t="s">
        <v>98</v>
      </c>
      <c r="E10" s="126"/>
      <c r="F10" s="126"/>
      <c r="G10" s="20" t="s">
        <v>56</v>
      </c>
      <c r="H10" s="21" t="s">
        <v>46</v>
      </c>
      <c r="I10" s="78" t="s">
        <v>269</v>
      </c>
      <c r="J10" s="78" t="s">
        <v>269</v>
      </c>
      <c r="K10" s="78" t="s">
        <v>269</v>
      </c>
      <c r="L10" s="78" t="s">
        <v>269</v>
      </c>
      <c r="M10" s="78" t="s">
        <v>269</v>
      </c>
      <c r="N10" s="78" t="s">
        <v>269</v>
      </c>
      <c r="O10" s="78" t="s">
        <v>269</v>
      </c>
      <c r="P10" s="78" t="s">
        <v>269</v>
      </c>
      <c r="Q10" s="78" t="s">
        <v>269</v>
      </c>
      <c r="R10" s="78" t="s">
        <v>269</v>
      </c>
      <c r="S10" s="78" t="s">
        <v>269</v>
      </c>
      <c r="T10" s="78" t="s">
        <v>269</v>
      </c>
      <c r="U10" s="78" t="s">
        <v>269</v>
      </c>
      <c r="V10" s="78" t="s">
        <v>269</v>
      </c>
      <c r="W10" s="78" t="s">
        <v>269</v>
      </c>
      <c r="X10" s="78" t="s">
        <v>269</v>
      </c>
      <c r="Y10" s="78" t="s">
        <v>269</v>
      </c>
      <c r="Z10" s="78" t="s">
        <v>269</v>
      </c>
      <c r="AA10" s="78" t="s">
        <v>269</v>
      </c>
      <c r="AB10" s="78" t="s">
        <v>269</v>
      </c>
      <c r="AC10" s="78" t="s">
        <v>269</v>
      </c>
      <c r="AD10" s="78" t="s">
        <v>269</v>
      </c>
      <c r="AE10" s="78" t="s">
        <v>269</v>
      </c>
      <c r="AF10" s="78" t="s">
        <v>269</v>
      </c>
      <c r="AG10" s="78" t="s">
        <v>269</v>
      </c>
      <c r="AH10" s="78" t="s">
        <v>269</v>
      </c>
      <c r="AI10" s="78" t="s">
        <v>269</v>
      </c>
      <c r="AJ10" s="78" t="s">
        <v>269</v>
      </c>
      <c r="AK10" s="78" t="s">
        <v>269</v>
      </c>
      <c r="AL10" s="78" t="s">
        <v>269</v>
      </c>
      <c r="AM10" s="78" t="s">
        <v>269</v>
      </c>
      <c r="AN10" s="78" t="s">
        <v>269</v>
      </c>
      <c r="AO10" s="78" t="s">
        <v>269</v>
      </c>
      <c r="AP10" s="78" t="s">
        <v>269</v>
      </c>
      <c r="AQ10" s="78" t="s">
        <v>269</v>
      </c>
      <c r="AR10" s="78" t="s">
        <v>269</v>
      </c>
      <c r="AS10" s="78" t="s">
        <v>269</v>
      </c>
      <c r="AT10" s="78" t="s">
        <v>269</v>
      </c>
      <c r="AU10" s="78" t="s">
        <v>269</v>
      </c>
      <c r="AV10" s="78" t="s">
        <v>269</v>
      </c>
      <c r="AW10" s="78"/>
      <c r="AX10" s="78"/>
      <c r="AY10" s="78"/>
      <c r="AZ10" s="78"/>
      <c r="BA10" s="78"/>
      <c r="BB10" s="125">
        <f t="shared" ref="BB10:CO10" si="14">IF(AND(I10="",I11="",I12="",I13="",I14=""),"",IF(COUNTIF(I10:I14,"v")&gt;=3,2,IF(AND(COUNTIF(I10:I14,"v")&gt;=1,COUNTIF(I10:I14,"v")&lt;=3),1,0)))</f>
        <v>2</v>
      </c>
      <c r="BC10" s="125">
        <f t="shared" si="14"/>
        <v>2</v>
      </c>
      <c r="BD10" s="125">
        <f t="shared" si="14"/>
        <v>2</v>
      </c>
      <c r="BE10" s="125">
        <f t="shared" si="14"/>
        <v>2</v>
      </c>
      <c r="BF10" s="125">
        <f t="shared" si="14"/>
        <v>2</v>
      </c>
      <c r="BG10" s="125">
        <f t="shared" si="14"/>
        <v>2</v>
      </c>
      <c r="BH10" s="125">
        <f t="shared" si="14"/>
        <v>2</v>
      </c>
      <c r="BI10" s="125">
        <f t="shared" si="14"/>
        <v>2</v>
      </c>
      <c r="BJ10" s="125">
        <f t="shared" si="14"/>
        <v>2</v>
      </c>
      <c r="BK10" s="125">
        <f t="shared" si="14"/>
        <v>2</v>
      </c>
      <c r="BL10" s="125">
        <f t="shared" si="14"/>
        <v>2</v>
      </c>
      <c r="BM10" s="125">
        <f t="shared" si="14"/>
        <v>2</v>
      </c>
      <c r="BN10" s="125">
        <f t="shared" si="14"/>
        <v>2</v>
      </c>
      <c r="BO10" s="125">
        <f t="shared" si="14"/>
        <v>2</v>
      </c>
      <c r="BP10" s="125">
        <f t="shared" si="14"/>
        <v>2</v>
      </c>
      <c r="BQ10" s="125">
        <f t="shared" si="14"/>
        <v>2</v>
      </c>
      <c r="BR10" s="125">
        <f t="shared" si="14"/>
        <v>2</v>
      </c>
      <c r="BS10" s="125">
        <f t="shared" si="14"/>
        <v>2</v>
      </c>
      <c r="BT10" s="125">
        <f t="shared" si="14"/>
        <v>2</v>
      </c>
      <c r="BU10" s="125">
        <f t="shared" si="14"/>
        <v>2</v>
      </c>
      <c r="BV10" s="125">
        <f t="shared" si="14"/>
        <v>2</v>
      </c>
      <c r="BW10" s="125">
        <f t="shared" si="14"/>
        <v>2</v>
      </c>
      <c r="BX10" s="125">
        <f t="shared" si="14"/>
        <v>2</v>
      </c>
      <c r="BY10" s="125">
        <f t="shared" si="14"/>
        <v>2</v>
      </c>
      <c r="BZ10" s="125">
        <f t="shared" si="14"/>
        <v>2</v>
      </c>
      <c r="CA10" s="125">
        <f t="shared" si="14"/>
        <v>2</v>
      </c>
      <c r="CB10" s="125">
        <f t="shared" si="14"/>
        <v>2</v>
      </c>
      <c r="CC10" s="125">
        <f t="shared" si="14"/>
        <v>2</v>
      </c>
      <c r="CD10" s="125">
        <f t="shared" si="14"/>
        <v>2</v>
      </c>
      <c r="CE10" s="125">
        <f t="shared" si="14"/>
        <v>2</v>
      </c>
      <c r="CF10" s="125">
        <f t="shared" si="14"/>
        <v>2</v>
      </c>
      <c r="CG10" s="125">
        <f t="shared" si="14"/>
        <v>2</v>
      </c>
      <c r="CH10" s="125">
        <f t="shared" si="14"/>
        <v>2</v>
      </c>
      <c r="CI10" s="125">
        <f t="shared" si="14"/>
        <v>2</v>
      </c>
      <c r="CJ10" s="125">
        <f t="shared" si="14"/>
        <v>2</v>
      </c>
      <c r="CK10" s="125">
        <f t="shared" si="14"/>
        <v>2</v>
      </c>
      <c r="CL10" s="125">
        <f t="shared" si="14"/>
        <v>2</v>
      </c>
      <c r="CM10" s="125">
        <f t="shared" si="14"/>
        <v>2</v>
      </c>
      <c r="CN10" s="125">
        <f t="shared" si="14"/>
        <v>2</v>
      </c>
      <c r="CO10" s="125">
        <f t="shared" si="14"/>
        <v>2</v>
      </c>
      <c r="CP10" s="125" t="str">
        <f t="shared" ref="CP10:CT10" si="15">IF(AND(AW10="",AW11="",AW12="",AW13="",AW14=""),"",IF(COUNTIF(AW10:AW14,"v")&gt;=3,2,IF(AND(COUNTIF(AW10:AW14,"v")&gt;=1,COUNTIF(AW10:AW14,"v")&lt;=3),1,0)))</f>
        <v/>
      </c>
      <c r="CQ10" s="125" t="str">
        <f t="shared" si="15"/>
        <v/>
      </c>
      <c r="CR10" s="125" t="str">
        <f t="shared" si="15"/>
        <v/>
      </c>
      <c r="CS10" s="125" t="str">
        <f t="shared" si="15"/>
        <v/>
      </c>
      <c r="CT10" s="125" t="str">
        <f t="shared" si="15"/>
        <v/>
      </c>
      <c r="CU10" s="121" t="str">
        <f>IF(BB10="","",IF(BB10=0,"Ditolak",IF(BB10=1,"Diperbaiki","Digunakan")))</f>
        <v>Digunakan</v>
      </c>
      <c r="CV10" s="121" t="str">
        <f t="shared" ref="CV10:EH10" si="16">IF(BC10="","",IF(BC10=0,"Ditolak",IF(AND(BC10&gt;=1,BC10&lt;4),"Diperbaiki","Digunakan")))</f>
        <v>Diperbaiki</v>
      </c>
      <c r="CW10" s="121" t="str">
        <f t="shared" si="16"/>
        <v>Diperbaiki</v>
      </c>
      <c r="CX10" s="121" t="str">
        <f t="shared" si="16"/>
        <v>Diperbaiki</v>
      </c>
      <c r="CY10" s="121" t="str">
        <f t="shared" si="16"/>
        <v>Diperbaiki</v>
      </c>
      <c r="CZ10" s="121" t="str">
        <f t="shared" si="16"/>
        <v>Diperbaiki</v>
      </c>
      <c r="DA10" s="121" t="str">
        <f t="shared" si="16"/>
        <v>Diperbaiki</v>
      </c>
      <c r="DB10" s="121" t="str">
        <f t="shared" si="16"/>
        <v>Diperbaiki</v>
      </c>
      <c r="DC10" s="121" t="str">
        <f t="shared" si="16"/>
        <v>Diperbaiki</v>
      </c>
      <c r="DD10" s="121" t="str">
        <f t="shared" si="16"/>
        <v>Diperbaiki</v>
      </c>
      <c r="DE10" s="121" t="str">
        <f t="shared" si="16"/>
        <v>Diperbaiki</v>
      </c>
      <c r="DF10" s="121" t="str">
        <f t="shared" si="16"/>
        <v>Diperbaiki</v>
      </c>
      <c r="DG10" s="121" t="str">
        <f t="shared" si="16"/>
        <v>Diperbaiki</v>
      </c>
      <c r="DH10" s="121" t="str">
        <f t="shared" si="16"/>
        <v>Diperbaiki</v>
      </c>
      <c r="DI10" s="121" t="str">
        <f t="shared" si="16"/>
        <v>Diperbaiki</v>
      </c>
      <c r="DJ10" s="121" t="str">
        <f t="shared" si="16"/>
        <v>Diperbaiki</v>
      </c>
      <c r="DK10" s="121" t="str">
        <f t="shared" si="16"/>
        <v>Diperbaiki</v>
      </c>
      <c r="DL10" s="121" t="str">
        <f t="shared" si="16"/>
        <v>Diperbaiki</v>
      </c>
      <c r="DM10" s="121" t="str">
        <f t="shared" si="16"/>
        <v>Diperbaiki</v>
      </c>
      <c r="DN10" s="121" t="str">
        <f t="shared" si="16"/>
        <v>Diperbaiki</v>
      </c>
      <c r="DO10" s="121" t="str">
        <f t="shared" si="16"/>
        <v>Diperbaiki</v>
      </c>
      <c r="DP10" s="121" t="str">
        <f t="shared" si="16"/>
        <v>Diperbaiki</v>
      </c>
      <c r="DQ10" s="121" t="str">
        <f t="shared" si="16"/>
        <v>Diperbaiki</v>
      </c>
      <c r="DR10" s="121" t="str">
        <f t="shared" si="16"/>
        <v>Diperbaiki</v>
      </c>
      <c r="DS10" s="121" t="str">
        <f t="shared" si="16"/>
        <v>Diperbaiki</v>
      </c>
      <c r="DT10" s="121" t="str">
        <f t="shared" si="16"/>
        <v>Diperbaiki</v>
      </c>
      <c r="DU10" s="121" t="str">
        <f t="shared" si="16"/>
        <v>Diperbaiki</v>
      </c>
      <c r="DV10" s="121" t="str">
        <f t="shared" si="16"/>
        <v>Diperbaiki</v>
      </c>
      <c r="DW10" s="121" t="str">
        <f t="shared" si="16"/>
        <v>Diperbaiki</v>
      </c>
      <c r="DX10" s="121" t="str">
        <f t="shared" si="16"/>
        <v>Diperbaiki</v>
      </c>
      <c r="DY10" s="121" t="str">
        <f t="shared" si="16"/>
        <v>Diperbaiki</v>
      </c>
      <c r="DZ10" s="121" t="str">
        <f t="shared" si="16"/>
        <v>Diperbaiki</v>
      </c>
      <c r="EA10" s="121" t="str">
        <f t="shared" si="16"/>
        <v>Diperbaiki</v>
      </c>
      <c r="EB10" s="121" t="str">
        <f t="shared" si="16"/>
        <v>Diperbaiki</v>
      </c>
      <c r="EC10" s="121" t="str">
        <f t="shared" si="16"/>
        <v>Diperbaiki</v>
      </c>
      <c r="ED10" s="121" t="str">
        <f t="shared" si="16"/>
        <v>Diperbaiki</v>
      </c>
      <c r="EE10" s="121" t="str">
        <f t="shared" si="16"/>
        <v>Diperbaiki</v>
      </c>
      <c r="EF10" s="121" t="str">
        <f t="shared" si="16"/>
        <v>Diperbaiki</v>
      </c>
      <c r="EG10" s="121" t="str">
        <f t="shared" si="16"/>
        <v>Diperbaiki</v>
      </c>
      <c r="EH10" s="121" t="str">
        <f t="shared" si="16"/>
        <v>Diperbaiki</v>
      </c>
      <c r="EI10" s="121" t="str">
        <f t="shared" ref="EI10:EM10" si="17">IF(CP10="","",IF(CP10=0,"Ditolak",IF(AND(CP10&gt;=1,CP10&lt;4),"Diperbaiki","Digunakan")))</f>
        <v/>
      </c>
      <c r="EJ10" s="121" t="str">
        <f t="shared" si="17"/>
        <v/>
      </c>
      <c r="EK10" s="121" t="str">
        <f t="shared" si="17"/>
        <v/>
      </c>
      <c r="EL10" s="121" t="str">
        <f t="shared" si="17"/>
        <v/>
      </c>
      <c r="EM10" s="121" t="str">
        <f t="shared" si="17"/>
        <v/>
      </c>
      <c r="EN10" s="117"/>
      <c r="EO10" s="117"/>
      <c r="EP10" s="117"/>
      <c r="EQ10" s="117"/>
      <c r="ER10" s="117"/>
      <c r="ES10" s="117"/>
      <c r="ET10" s="117"/>
      <c r="EU10" s="117"/>
      <c r="EV10" s="117"/>
      <c r="EW10" s="117"/>
      <c r="EX10" s="117"/>
      <c r="EY10" s="117"/>
      <c r="EZ10" s="117"/>
      <c r="FA10" s="117"/>
      <c r="FB10" s="117"/>
      <c r="FC10" s="117"/>
      <c r="FD10" s="117"/>
      <c r="FE10" s="117"/>
      <c r="FF10" s="117"/>
      <c r="FG10" s="117"/>
      <c r="FH10" s="117"/>
      <c r="FI10" s="117"/>
      <c r="FJ10" s="117"/>
      <c r="FK10" s="117"/>
      <c r="FL10" s="117"/>
      <c r="FM10" s="117"/>
      <c r="FN10" s="117"/>
      <c r="FO10" s="117"/>
      <c r="FP10" s="117"/>
      <c r="FQ10" s="117"/>
      <c r="FR10" s="117"/>
      <c r="FS10" s="117"/>
      <c r="FT10" s="117"/>
      <c r="FU10" s="117"/>
      <c r="FV10" s="117"/>
      <c r="FW10" s="117"/>
      <c r="FX10" s="117"/>
      <c r="FY10" s="117"/>
      <c r="FZ10" s="117"/>
      <c r="GA10" s="117"/>
      <c r="GB10" s="117"/>
      <c r="GC10" s="117"/>
      <c r="GD10" s="117"/>
      <c r="GE10" s="117"/>
      <c r="GF10" s="117"/>
      <c r="GG10" s="115"/>
      <c r="GH10" s="115"/>
      <c r="GI10" s="115"/>
      <c r="GJ10" s="115"/>
      <c r="GK10" s="115"/>
      <c r="GL10" s="115"/>
      <c r="GM10" s="115"/>
      <c r="GN10" s="115"/>
      <c r="GO10" s="115"/>
      <c r="GP10" s="115"/>
      <c r="GQ10" s="115"/>
      <c r="GR10" s="115"/>
      <c r="GS10" s="115"/>
      <c r="GT10" s="115"/>
      <c r="GU10" s="115"/>
      <c r="GV10" s="115"/>
      <c r="GW10" s="115"/>
      <c r="GX10" s="115"/>
      <c r="GY10" s="115"/>
      <c r="GZ10" s="115"/>
      <c r="HA10" s="115"/>
      <c r="HB10" s="115"/>
      <c r="HC10" s="115"/>
      <c r="HD10" s="115"/>
      <c r="HE10" s="115"/>
      <c r="HF10" s="115"/>
      <c r="HG10" s="115"/>
      <c r="HH10" s="115"/>
      <c r="HI10" s="115"/>
      <c r="HJ10" s="115"/>
      <c r="HK10" s="115"/>
      <c r="HL10" s="115"/>
      <c r="HM10" s="115"/>
      <c r="HN10" s="115"/>
      <c r="HO10" s="115"/>
      <c r="HP10" s="115"/>
      <c r="HQ10" s="115"/>
      <c r="HR10" s="115"/>
      <c r="HS10" s="115"/>
      <c r="HT10" s="115"/>
      <c r="HU10" s="115"/>
      <c r="HV10" s="115"/>
      <c r="HW10" s="115"/>
      <c r="HX10" s="115"/>
      <c r="HY10" s="115"/>
      <c r="HZ10" s="117"/>
      <c r="IA10" s="117"/>
      <c r="IB10" s="117"/>
      <c r="IC10" s="117"/>
      <c r="ID10" s="117"/>
      <c r="IE10" s="117"/>
      <c r="IF10" s="117"/>
      <c r="IG10" s="117"/>
      <c r="IH10" s="117"/>
      <c r="II10" s="117"/>
      <c r="IJ10" s="117"/>
      <c r="IK10" s="117"/>
      <c r="IL10" s="117"/>
      <c r="IM10" s="117"/>
      <c r="IN10" s="117"/>
      <c r="IO10" s="117"/>
      <c r="IP10" s="117"/>
      <c r="IQ10" s="117"/>
      <c r="IR10" s="117"/>
      <c r="IS10" s="117"/>
      <c r="IT10" s="117"/>
      <c r="IU10" s="117"/>
      <c r="IV10" s="117"/>
      <c r="IW10" s="117"/>
      <c r="IX10" s="117"/>
      <c r="IY10" s="117"/>
      <c r="IZ10" s="117"/>
      <c r="JA10" s="117"/>
      <c r="JB10" s="117"/>
      <c r="JC10" s="117"/>
      <c r="JD10" s="117"/>
      <c r="JE10" s="117"/>
      <c r="JF10" s="117"/>
      <c r="JG10" s="117"/>
      <c r="JH10" s="117"/>
      <c r="JI10" s="117"/>
      <c r="JJ10" s="117"/>
      <c r="JK10" s="117"/>
      <c r="JL10" s="117"/>
      <c r="JM10" s="117"/>
      <c r="JN10" s="117"/>
      <c r="JO10" s="117"/>
      <c r="JP10" s="117"/>
      <c r="JQ10" s="117"/>
      <c r="JR10" s="117"/>
      <c r="JS10" s="114"/>
      <c r="JT10" s="114"/>
      <c r="JU10" s="114"/>
      <c r="JV10" s="114"/>
      <c r="JW10" s="114"/>
      <c r="JX10" s="114"/>
      <c r="JY10" s="114"/>
      <c r="JZ10" s="114"/>
      <c r="KA10" s="114"/>
      <c r="KB10" s="114"/>
      <c r="KC10" s="114"/>
      <c r="KD10" s="114"/>
      <c r="KE10" s="114"/>
      <c r="KF10" s="114"/>
      <c r="KG10" s="114"/>
      <c r="KH10" s="114"/>
      <c r="KI10" s="114"/>
      <c r="KJ10" s="114"/>
      <c r="KK10" s="114"/>
      <c r="KL10" s="114"/>
      <c r="KM10" s="114"/>
      <c r="KN10" s="114"/>
      <c r="KO10" s="114"/>
      <c r="KP10" s="114"/>
      <c r="KQ10" s="114"/>
      <c r="KR10" s="114"/>
      <c r="KS10" s="114"/>
      <c r="KT10" s="114"/>
      <c r="KU10" s="114"/>
      <c r="KV10" s="114"/>
      <c r="KW10" s="114"/>
      <c r="KX10" s="114"/>
      <c r="KY10" s="114"/>
      <c r="KZ10" s="114"/>
      <c r="LA10" s="114"/>
      <c r="LB10" s="114"/>
      <c r="LC10" s="114"/>
      <c r="LD10" s="114"/>
      <c r="LE10" s="114"/>
      <c r="LF10" s="114"/>
      <c r="LG10" s="114"/>
      <c r="LH10" s="114"/>
      <c r="LI10" s="114"/>
      <c r="LJ10" s="114"/>
      <c r="LK10" s="114"/>
    </row>
    <row r="11" spans="1:323" ht="18" x14ac:dyDescent="0.25">
      <c r="A11" s="127"/>
      <c r="B11" s="126"/>
      <c r="C11" s="127"/>
      <c r="D11" s="126"/>
      <c r="E11" s="126"/>
      <c r="F11" s="126"/>
      <c r="G11" s="20" t="s">
        <v>56</v>
      </c>
      <c r="H11" s="21" t="s">
        <v>47</v>
      </c>
      <c r="I11" s="78" t="s">
        <v>269</v>
      </c>
      <c r="J11" s="78" t="s">
        <v>269</v>
      </c>
      <c r="K11" s="78" t="s">
        <v>269</v>
      </c>
      <c r="L11" s="78" t="s">
        <v>269</v>
      </c>
      <c r="M11" s="78" t="s">
        <v>269</v>
      </c>
      <c r="N11" s="78" t="s">
        <v>269</v>
      </c>
      <c r="O11" s="78" t="s">
        <v>269</v>
      </c>
      <c r="P11" s="78" t="s">
        <v>269</v>
      </c>
      <c r="Q11" s="78" t="s">
        <v>269</v>
      </c>
      <c r="R11" s="78" t="s">
        <v>269</v>
      </c>
      <c r="S11" s="78" t="s">
        <v>269</v>
      </c>
      <c r="T11" s="78" t="s">
        <v>269</v>
      </c>
      <c r="U11" s="78" t="s">
        <v>269</v>
      </c>
      <c r="V11" s="78" t="s">
        <v>269</v>
      </c>
      <c r="W11" s="78" t="s">
        <v>269</v>
      </c>
      <c r="X11" s="78" t="s">
        <v>269</v>
      </c>
      <c r="Y11" s="78" t="s">
        <v>269</v>
      </c>
      <c r="Z11" s="78" t="s">
        <v>269</v>
      </c>
      <c r="AA11" s="78" t="s">
        <v>269</v>
      </c>
      <c r="AB11" s="78" t="s">
        <v>269</v>
      </c>
      <c r="AC11" s="78" t="s">
        <v>269</v>
      </c>
      <c r="AD11" s="78" t="s">
        <v>269</v>
      </c>
      <c r="AE11" s="78" t="s">
        <v>269</v>
      </c>
      <c r="AF11" s="78" t="s">
        <v>269</v>
      </c>
      <c r="AG11" s="78" t="s">
        <v>269</v>
      </c>
      <c r="AH11" s="78" t="s">
        <v>269</v>
      </c>
      <c r="AI11" s="78" t="s">
        <v>269</v>
      </c>
      <c r="AJ11" s="78" t="s">
        <v>269</v>
      </c>
      <c r="AK11" s="78" t="s">
        <v>269</v>
      </c>
      <c r="AL11" s="78" t="s">
        <v>269</v>
      </c>
      <c r="AM11" s="78" t="s">
        <v>269</v>
      </c>
      <c r="AN11" s="78" t="s">
        <v>269</v>
      </c>
      <c r="AO11" s="78" t="s">
        <v>269</v>
      </c>
      <c r="AP11" s="78" t="s">
        <v>269</v>
      </c>
      <c r="AQ11" s="78" t="s">
        <v>269</v>
      </c>
      <c r="AR11" s="78" t="s">
        <v>269</v>
      </c>
      <c r="AS11" s="78" t="s">
        <v>269</v>
      </c>
      <c r="AT11" s="78" t="s">
        <v>269</v>
      </c>
      <c r="AU11" s="78" t="s">
        <v>269</v>
      </c>
      <c r="AV11" s="78" t="s">
        <v>269</v>
      </c>
      <c r="AW11" s="78"/>
      <c r="AX11" s="78"/>
      <c r="AY11" s="78"/>
      <c r="AZ11" s="78"/>
      <c r="BA11" s="78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  <c r="CK11" s="125"/>
      <c r="CL11" s="125"/>
      <c r="CM11" s="125"/>
      <c r="CN11" s="125"/>
      <c r="CO11" s="125"/>
      <c r="CP11" s="125"/>
      <c r="CQ11" s="125"/>
      <c r="CR11" s="125"/>
      <c r="CS11" s="125"/>
      <c r="CT11" s="12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  <c r="DK11" s="121"/>
      <c r="DL11" s="121"/>
      <c r="DM11" s="121"/>
      <c r="DN11" s="121"/>
      <c r="DO11" s="121"/>
      <c r="DP11" s="121"/>
      <c r="DQ11" s="121"/>
      <c r="DR11" s="121"/>
      <c r="DS11" s="121"/>
      <c r="DT11" s="121"/>
      <c r="DU11" s="121"/>
      <c r="DV11" s="121"/>
      <c r="DW11" s="121"/>
      <c r="DX11" s="121"/>
      <c r="DY11" s="121"/>
      <c r="DZ11" s="121"/>
      <c r="EA11" s="121"/>
      <c r="EB11" s="121"/>
      <c r="EC11" s="121"/>
      <c r="ED11" s="121"/>
      <c r="EE11" s="121"/>
      <c r="EF11" s="121"/>
      <c r="EG11" s="121"/>
      <c r="EH11" s="121"/>
      <c r="EI11" s="121"/>
      <c r="EJ11" s="121"/>
      <c r="EK11" s="121"/>
      <c r="EL11" s="121"/>
      <c r="EM11" s="121"/>
      <c r="EN11" s="117"/>
      <c r="EO11" s="117"/>
      <c r="EP11" s="117"/>
      <c r="EQ11" s="117"/>
      <c r="ER11" s="117"/>
      <c r="ES11" s="117"/>
      <c r="ET11" s="117"/>
      <c r="EU11" s="117"/>
      <c r="EV11" s="117"/>
      <c r="EW11" s="117"/>
      <c r="EX11" s="117"/>
      <c r="EY11" s="117"/>
      <c r="EZ11" s="117"/>
      <c r="FA11" s="117"/>
      <c r="FB11" s="117"/>
      <c r="FC11" s="117"/>
      <c r="FD11" s="117"/>
      <c r="FE11" s="117"/>
      <c r="FF11" s="117"/>
      <c r="FG11" s="117"/>
      <c r="FH11" s="117"/>
      <c r="FI11" s="117"/>
      <c r="FJ11" s="117"/>
      <c r="FK11" s="117"/>
      <c r="FL11" s="117"/>
      <c r="FM11" s="117"/>
      <c r="FN11" s="117"/>
      <c r="FO11" s="117"/>
      <c r="FP11" s="117"/>
      <c r="FQ11" s="117"/>
      <c r="FR11" s="117"/>
      <c r="FS11" s="117"/>
      <c r="FT11" s="117"/>
      <c r="FU11" s="117"/>
      <c r="FV11" s="117"/>
      <c r="FW11" s="117"/>
      <c r="FX11" s="117"/>
      <c r="FY11" s="117"/>
      <c r="FZ11" s="117"/>
      <c r="GA11" s="117"/>
      <c r="GB11" s="117"/>
      <c r="GC11" s="117"/>
      <c r="GD11" s="117"/>
      <c r="GE11" s="117"/>
      <c r="GF11" s="117"/>
      <c r="GG11" s="115"/>
      <c r="GH11" s="115"/>
      <c r="GI11" s="115"/>
      <c r="GJ11" s="115"/>
      <c r="GK11" s="115"/>
      <c r="GL11" s="115"/>
      <c r="GM11" s="115"/>
      <c r="GN11" s="115"/>
      <c r="GO11" s="115"/>
      <c r="GP11" s="115"/>
      <c r="GQ11" s="115"/>
      <c r="GR11" s="115"/>
      <c r="GS11" s="115"/>
      <c r="GT11" s="115"/>
      <c r="GU11" s="115"/>
      <c r="GV11" s="115"/>
      <c r="GW11" s="115"/>
      <c r="GX11" s="115"/>
      <c r="GY11" s="115"/>
      <c r="GZ11" s="115"/>
      <c r="HA11" s="115"/>
      <c r="HB11" s="115"/>
      <c r="HC11" s="115"/>
      <c r="HD11" s="115"/>
      <c r="HE11" s="115"/>
      <c r="HF11" s="115"/>
      <c r="HG11" s="115"/>
      <c r="HH11" s="115"/>
      <c r="HI11" s="115"/>
      <c r="HJ11" s="115"/>
      <c r="HK11" s="115"/>
      <c r="HL11" s="115"/>
      <c r="HM11" s="115"/>
      <c r="HN11" s="115"/>
      <c r="HO11" s="115"/>
      <c r="HP11" s="115"/>
      <c r="HQ11" s="115"/>
      <c r="HR11" s="115"/>
      <c r="HS11" s="115"/>
      <c r="HT11" s="115"/>
      <c r="HU11" s="115"/>
      <c r="HV11" s="115"/>
      <c r="HW11" s="115"/>
      <c r="HX11" s="115"/>
      <c r="HY11" s="115"/>
      <c r="HZ11" s="117"/>
      <c r="IA11" s="117"/>
      <c r="IB11" s="117"/>
      <c r="IC11" s="117"/>
      <c r="ID11" s="117"/>
      <c r="IE11" s="117"/>
      <c r="IF11" s="117"/>
      <c r="IG11" s="117"/>
      <c r="IH11" s="117"/>
      <c r="II11" s="117"/>
      <c r="IJ11" s="117"/>
      <c r="IK11" s="117"/>
      <c r="IL11" s="117"/>
      <c r="IM11" s="117"/>
      <c r="IN11" s="117"/>
      <c r="IO11" s="117"/>
      <c r="IP11" s="117"/>
      <c r="IQ11" s="117"/>
      <c r="IR11" s="117"/>
      <c r="IS11" s="117"/>
      <c r="IT11" s="117"/>
      <c r="IU11" s="117"/>
      <c r="IV11" s="117"/>
      <c r="IW11" s="117"/>
      <c r="IX11" s="117"/>
      <c r="IY11" s="117"/>
      <c r="IZ11" s="117"/>
      <c r="JA11" s="117"/>
      <c r="JB11" s="117"/>
      <c r="JC11" s="117"/>
      <c r="JD11" s="117"/>
      <c r="JE11" s="117"/>
      <c r="JF11" s="117"/>
      <c r="JG11" s="117"/>
      <c r="JH11" s="117"/>
      <c r="JI11" s="117"/>
      <c r="JJ11" s="117"/>
      <c r="JK11" s="117"/>
      <c r="JL11" s="117"/>
      <c r="JM11" s="117"/>
      <c r="JN11" s="117"/>
      <c r="JO11" s="117"/>
      <c r="JP11" s="117"/>
      <c r="JQ11" s="117"/>
      <c r="JR11" s="117"/>
      <c r="JS11" s="114"/>
      <c r="JT11" s="114"/>
      <c r="JU11" s="114"/>
      <c r="JV11" s="114"/>
      <c r="JW11" s="114"/>
      <c r="JX11" s="114"/>
      <c r="JY11" s="114"/>
      <c r="JZ11" s="114"/>
      <c r="KA11" s="114"/>
      <c r="KB11" s="114"/>
      <c r="KC11" s="114"/>
      <c r="KD11" s="114"/>
      <c r="KE11" s="114"/>
      <c r="KF11" s="114"/>
      <c r="KG11" s="114"/>
      <c r="KH11" s="114"/>
      <c r="KI11" s="114"/>
      <c r="KJ11" s="114"/>
      <c r="KK11" s="114"/>
      <c r="KL11" s="114"/>
      <c r="KM11" s="114"/>
      <c r="KN11" s="114"/>
      <c r="KO11" s="114"/>
      <c r="KP11" s="114"/>
      <c r="KQ11" s="114"/>
      <c r="KR11" s="114"/>
      <c r="KS11" s="114"/>
      <c r="KT11" s="114"/>
      <c r="KU11" s="114"/>
      <c r="KV11" s="114"/>
      <c r="KW11" s="114"/>
      <c r="KX11" s="114"/>
      <c r="KY11" s="114"/>
      <c r="KZ11" s="114"/>
      <c r="LA11" s="114"/>
      <c r="LB11" s="114"/>
      <c r="LC11" s="114"/>
      <c r="LD11" s="114"/>
      <c r="LE11" s="114"/>
      <c r="LF11" s="114"/>
      <c r="LG11" s="114"/>
      <c r="LH11" s="114"/>
      <c r="LI11" s="114"/>
      <c r="LJ11" s="114"/>
      <c r="LK11" s="114"/>
    </row>
    <row r="12" spans="1:323" ht="18" x14ac:dyDescent="0.25">
      <c r="A12" s="127"/>
      <c r="B12" s="126"/>
      <c r="C12" s="127"/>
      <c r="D12" s="126"/>
      <c r="E12" s="126"/>
      <c r="F12" s="126"/>
      <c r="G12" s="20" t="s">
        <v>56</v>
      </c>
      <c r="H12" s="21" t="s">
        <v>48</v>
      </c>
      <c r="I12" s="78" t="s">
        <v>269</v>
      </c>
      <c r="J12" s="78" t="s">
        <v>269</v>
      </c>
      <c r="K12" s="78" t="s">
        <v>269</v>
      </c>
      <c r="L12" s="78" t="s">
        <v>269</v>
      </c>
      <c r="M12" s="78" t="s">
        <v>269</v>
      </c>
      <c r="N12" s="78" t="s">
        <v>269</v>
      </c>
      <c r="O12" s="78" t="s">
        <v>269</v>
      </c>
      <c r="P12" s="78" t="s">
        <v>269</v>
      </c>
      <c r="Q12" s="78" t="s">
        <v>269</v>
      </c>
      <c r="R12" s="78" t="s">
        <v>269</v>
      </c>
      <c r="S12" s="78" t="s">
        <v>269</v>
      </c>
      <c r="T12" s="78" t="s">
        <v>269</v>
      </c>
      <c r="U12" s="78" t="s">
        <v>269</v>
      </c>
      <c r="V12" s="78" t="s">
        <v>269</v>
      </c>
      <c r="W12" s="78" t="s">
        <v>269</v>
      </c>
      <c r="X12" s="78" t="s">
        <v>269</v>
      </c>
      <c r="Y12" s="78" t="s">
        <v>269</v>
      </c>
      <c r="Z12" s="78" t="s">
        <v>269</v>
      </c>
      <c r="AA12" s="78" t="s">
        <v>269</v>
      </c>
      <c r="AB12" s="78" t="s">
        <v>269</v>
      </c>
      <c r="AC12" s="78" t="s">
        <v>269</v>
      </c>
      <c r="AD12" s="78" t="s">
        <v>269</v>
      </c>
      <c r="AE12" s="78" t="s">
        <v>269</v>
      </c>
      <c r="AF12" s="78" t="s">
        <v>269</v>
      </c>
      <c r="AG12" s="78" t="s">
        <v>269</v>
      </c>
      <c r="AH12" s="78" t="s">
        <v>269</v>
      </c>
      <c r="AI12" s="78" t="s">
        <v>269</v>
      </c>
      <c r="AJ12" s="78" t="s">
        <v>269</v>
      </c>
      <c r="AK12" s="78" t="s">
        <v>269</v>
      </c>
      <c r="AL12" s="78" t="s">
        <v>269</v>
      </c>
      <c r="AM12" s="78" t="s">
        <v>269</v>
      </c>
      <c r="AN12" s="78" t="s">
        <v>269</v>
      </c>
      <c r="AO12" s="78" t="s">
        <v>269</v>
      </c>
      <c r="AP12" s="78" t="s">
        <v>269</v>
      </c>
      <c r="AQ12" s="78" t="s">
        <v>269</v>
      </c>
      <c r="AR12" s="78" t="s">
        <v>269</v>
      </c>
      <c r="AS12" s="78" t="s">
        <v>269</v>
      </c>
      <c r="AT12" s="78" t="s">
        <v>269</v>
      </c>
      <c r="AU12" s="78" t="s">
        <v>269</v>
      </c>
      <c r="AV12" s="78" t="s">
        <v>269</v>
      </c>
      <c r="AW12" s="78"/>
      <c r="AX12" s="78"/>
      <c r="AY12" s="78"/>
      <c r="AZ12" s="78"/>
      <c r="BA12" s="78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  <c r="CK12" s="125"/>
      <c r="CL12" s="125"/>
      <c r="CM12" s="125"/>
      <c r="CN12" s="125"/>
      <c r="CO12" s="125"/>
      <c r="CP12" s="125"/>
      <c r="CQ12" s="125"/>
      <c r="CR12" s="125"/>
      <c r="CS12" s="125"/>
      <c r="CT12" s="12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  <c r="DK12" s="121"/>
      <c r="DL12" s="121"/>
      <c r="DM12" s="121"/>
      <c r="DN12" s="121"/>
      <c r="DO12" s="121"/>
      <c r="DP12" s="121"/>
      <c r="DQ12" s="121"/>
      <c r="DR12" s="121"/>
      <c r="DS12" s="121"/>
      <c r="DT12" s="121"/>
      <c r="DU12" s="121"/>
      <c r="DV12" s="121"/>
      <c r="DW12" s="121"/>
      <c r="DX12" s="121"/>
      <c r="DY12" s="121"/>
      <c r="DZ12" s="121"/>
      <c r="EA12" s="121"/>
      <c r="EB12" s="121"/>
      <c r="EC12" s="121"/>
      <c r="ED12" s="121"/>
      <c r="EE12" s="121"/>
      <c r="EF12" s="121"/>
      <c r="EG12" s="121"/>
      <c r="EH12" s="121"/>
      <c r="EI12" s="121"/>
      <c r="EJ12" s="121"/>
      <c r="EK12" s="121"/>
      <c r="EL12" s="121"/>
      <c r="EM12" s="121"/>
      <c r="EN12" s="117"/>
      <c r="EO12" s="117"/>
      <c r="EP12" s="117"/>
      <c r="EQ12" s="117"/>
      <c r="ER12" s="117"/>
      <c r="ES12" s="117"/>
      <c r="ET12" s="117"/>
      <c r="EU12" s="117"/>
      <c r="EV12" s="117"/>
      <c r="EW12" s="117"/>
      <c r="EX12" s="117"/>
      <c r="EY12" s="117"/>
      <c r="EZ12" s="117"/>
      <c r="FA12" s="117"/>
      <c r="FB12" s="117"/>
      <c r="FC12" s="117"/>
      <c r="FD12" s="117"/>
      <c r="FE12" s="117"/>
      <c r="FF12" s="117"/>
      <c r="FG12" s="117"/>
      <c r="FH12" s="117"/>
      <c r="FI12" s="117"/>
      <c r="FJ12" s="117"/>
      <c r="FK12" s="117"/>
      <c r="FL12" s="117"/>
      <c r="FM12" s="117"/>
      <c r="FN12" s="117"/>
      <c r="FO12" s="117"/>
      <c r="FP12" s="117"/>
      <c r="FQ12" s="117"/>
      <c r="FR12" s="117"/>
      <c r="FS12" s="117"/>
      <c r="FT12" s="117"/>
      <c r="FU12" s="117"/>
      <c r="FV12" s="117"/>
      <c r="FW12" s="117"/>
      <c r="FX12" s="117"/>
      <c r="FY12" s="117"/>
      <c r="FZ12" s="117"/>
      <c r="GA12" s="117"/>
      <c r="GB12" s="117"/>
      <c r="GC12" s="117"/>
      <c r="GD12" s="117"/>
      <c r="GE12" s="117"/>
      <c r="GF12" s="117"/>
      <c r="GG12" s="115"/>
      <c r="GH12" s="115"/>
      <c r="GI12" s="115"/>
      <c r="GJ12" s="115"/>
      <c r="GK12" s="115"/>
      <c r="GL12" s="115"/>
      <c r="GM12" s="115"/>
      <c r="GN12" s="115"/>
      <c r="GO12" s="115"/>
      <c r="GP12" s="115"/>
      <c r="GQ12" s="115"/>
      <c r="GR12" s="115"/>
      <c r="GS12" s="115"/>
      <c r="GT12" s="115"/>
      <c r="GU12" s="115"/>
      <c r="GV12" s="115"/>
      <c r="GW12" s="115"/>
      <c r="GX12" s="115"/>
      <c r="GY12" s="115"/>
      <c r="GZ12" s="115"/>
      <c r="HA12" s="115"/>
      <c r="HB12" s="115"/>
      <c r="HC12" s="115"/>
      <c r="HD12" s="115"/>
      <c r="HE12" s="115"/>
      <c r="HF12" s="115"/>
      <c r="HG12" s="115"/>
      <c r="HH12" s="115"/>
      <c r="HI12" s="115"/>
      <c r="HJ12" s="115"/>
      <c r="HK12" s="115"/>
      <c r="HL12" s="115"/>
      <c r="HM12" s="115"/>
      <c r="HN12" s="115"/>
      <c r="HO12" s="115"/>
      <c r="HP12" s="115"/>
      <c r="HQ12" s="115"/>
      <c r="HR12" s="115"/>
      <c r="HS12" s="115"/>
      <c r="HT12" s="115"/>
      <c r="HU12" s="115"/>
      <c r="HV12" s="115"/>
      <c r="HW12" s="115"/>
      <c r="HX12" s="115"/>
      <c r="HY12" s="115"/>
      <c r="HZ12" s="117"/>
      <c r="IA12" s="117"/>
      <c r="IB12" s="117"/>
      <c r="IC12" s="117"/>
      <c r="ID12" s="117"/>
      <c r="IE12" s="117"/>
      <c r="IF12" s="117"/>
      <c r="IG12" s="117"/>
      <c r="IH12" s="117"/>
      <c r="II12" s="117"/>
      <c r="IJ12" s="117"/>
      <c r="IK12" s="117"/>
      <c r="IL12" s="117"/>
      <c r="IM12" s="117"/>
      <c r="IN12" s="117"/>
      <c r="IO12" s="117"/>
      <c r="IP12" s="117"/>
      <c r="IQ12" s="117"/>
      <c r="IR12" s="117"/>
      <c r="IS12" s="117"/>
      <c r="IT12" s="117"/>
      <c r="IU12" s="117"/>
      <c r="IV12" s="117"/>
      <c r="IW12" s="117"/>
      <c r="IX12" s="117"/>
      <c r="IY12" s="117"/>
      <c r="IZ12" s="117"/>
      <c r="JA12" s="117"/>
      <c r="JB12" s="117"/>
      <c r="JC12" s="117"/>
      <c r="JD12" s="117"/>
      <c r="JE12" s="117"/>
      <c r="JF12" s="117"/>
      <c r="JG12" s="117"/>
      <c r="JH12" s="117"/>
      <c r="JI12" s="117"/>
      <c r="JJ12" s="117"/>
      <c r="JK12" s="117"/>
      <c r="JL12" s="117"/>
      <c r="JM12" s="117"/>
      <c r="JN12" s="117"/>
      <c r="JO12" s="117"/>
      <c r="JP12" s="117"/>
      <c r="JQ12" s="117"/>
      <c r="JR12" s="117"/>
      <c r="JS12" s="114"/>
      <c r="JT12" s="114"/>
      <c r="JU12" s="114"/>
      <c r="JV12" s="114"/>
      <c r="JW12" s="114"/>
      <c r="JX12" s="114"/>
      <c r="JY12" s="114"/>
      <c r="JZ12" s="114"/>
      <c r="KA12" s="114"/>
      <c r="KB12" s="114"/>
      <c r="KC12" s="114"/>
      <c r="KD12" s="114"/>
      <c r="KE12" s="114"/>
      <c r="KF12" s="114"/>
      <c r="KG12" s="114"/>
      <c r="KH12" s="114"/>
      <c r="KI12" s="114"/>
      <c r="KJ12" s="114"/>
      <c r="KK12" s="114"/>
      <c r="KL12" s="114"/>
      <c r="KM12" s="114"/>
      <c r="KN12" s="114"/>
      <c r="KO12" s="114"/>
      <c r="KP12" s="114"/>
      <c r="KQ12" s="114"/>
      <c r="KR12" s="114"/>
      <c r="KS12" s="114"/>
      <c r="KT12" s="114"/>
      <c r="KU12" s="114"/>
      <c r="KV12" s="114"/>
      <c r="KW12" s="114"/>
      <c r="KX12" s="114"/>
      <c r="KY12" s="114"/>
      <c r="KZ12" s="114"/>
      <c r="LA12" s="114"/>
      <c r="LB12" s="114"/>
      <c r="LC12" s="114"/>
      <c r="LD12" s="114"/>
      <c r="LE12" s="114"/>
      <c r="LF12" s="114"/>
      <c r="LG12" s="114"/>
      <c r="LH12" s="114"/>
      <c r="LI12" s="114"/>
      <c r="LJ12" s="114"/>
      <c r="LK12" s="114"/>
    </row>
    <row r="13" spans="1:323" ht="18" x14ac:dyDescent="0.25">
      <c r="A13" s="127"/>
      <c r="B13" s="126"/>
      <c r="C13" s="127"/>
      <c r="D13" s="126"/>
      <c r="E13" s="126"/>
      <c r="F13" s="126"/>
      <c r="G13" s="20" t="s">
        <v>56</v>
      </c>
      <c r="H13" s="21" t="s">
        <v>49</v>
      </c>
      <c r="I13" s="78" t="s">
        <v>269</v>
      </c>
      <c r="J13" s="78" t="s">
        <v>269</v>
      </c>
      <c r="K13" s="78" t="s">
        <v>269</v>
      </c>
      <c r="L13" s="78" t="s">
        <v>269</v>
      </c>
      <c r="M13" s="78" t="s">
        <v>269</v>
      </c>
      <c r="N13" s="78" t="s">
        <v>269</v>
      </c>
      <c r="O13" s="78" t="s">
        <v>269</v>
      </c>
      <c r="P13" s="78" t="s">
        <v>269</v>
      </c>
      <c r="Q13" s="78" t="s">
        <v>269</v>
      </c>
      <c r="R13" s="78" t="s">
        <v>269</v>
      </c>
      <c r="S13" s="78" t="s">
        <v>269</v>
      </c>
      <c r="T13" s="78" t="s">
        <v>269</v>
      </c>
      <c r="U13" s="78" t="s">
        <v>269</v>
      </c>
      <c r="V13" s="78" t="s">
        <v>269</v>
      </c>
      <c r="W13" s="78" t="s">
        <v>269</v>
      </c>
      <c r="X13" s="78" t="s">
        <v>269</v>
      </c>
      <c r="Y13" s="78" t="s">
        <v>269</v>
      </c>
      <c r="Z13" s="78" t="s">
        <v>269</v>
      </c>
      <c r="AA13" s="78" t="s">
        <v>269</v>
      </c>
      <c r="AB13" s="78" t="s">
        <v>269</v>
      </c>
      <c r="AC13" s="78" t="s">
        <v>269</v>
      </c>
      <c r="AD13" s="78" t="s">
        <v>269</v>
      </c>
      <c r="AE13" s="78" t="s">
        <v>269</v>
      </c>
      <c r="AF13" s="78" t="s">
        <v>269</v>
      </c>
      <c r="AG13" s="78" t="s">
        <v>269</v>
      </c>
      <c r="AH13" s="78" t="s">
        <v>269</v>
      </c>
      <c r="AI13" s="78" t="s">
        <v>269</v>
      </c>
      <c r="AJ13" s="78" t="s">
        <v>269</v>
      </c>
      <c r="AK13" s="78" t="s">
        <v>269</v>
      </c>
      <c r="AL13" s="78" t="s">
        <v>269</v>
      </c>
      <c r="AM13" s="78" t="s">
        <v>269</v>
      </c>
      <c r="AN13" s="78" t="s">
        <v>269</v>
      </c>
      <c r="AO13" s="78" t="s">
        <v>269</v>
      </c>
      <c r="AP13" s="78" t="s">
        <v>269</v>
      </c>
      <c r="AQ13" s="78" t="s">
        <v>269</v>
      </c>
      <c r="AR13" s="78" t="s">
        <v>269</v>
      </c>
      <c r="AS13" s="78" t="s">
        <v>269</v>
      </c>
      <c r="AT13" s="78" t="s">
        <v>269</v>
      </c>
      <c r="AU13" s="78" t="s">
        <v>269</v>
      </c>
      <c r="AV13" s="78" t="s">
        <v>269</v>
      </c>
      <c r="AW13" s="78"/>
      <c r="AX13" s="78"/>
      <c r="AY13" s="78"/>
      <c r="AZ13" s="78"/>
      <c r="BA13" s="78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  <c r="CK13" s="125"/>
      <c r="CL13" s="125"/>
      <c r="CM13" s="125"/>
      <c r="CN13" s="125"/>
      <c r="CO13" s="125"/>
      <c r="CP13" s="125"/>
      <c r="CQ13" s="125"/>
      <c r="CR13" s="125"/>
      <c r="CS13" s="125"/>
      <c r="CT13" s="12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  <c r="DK13" s="121"/>
      <c r="DL13" s="121"/>
      <c r="DM13" s="121"/>
      <c r="DN13" s="121"/>
      <c r="DO13" s="121"/>
      <c r="DP13" s="121"/>
      <c r="DQ13" s="121"/>
      <c r="DR13" s="121"/>
      <c r="DS13" s="121"/>
      <c r="DT13" s="121"/>
      <c r="DU13" s="121"/>
      <c r="DV13" s="121"/>
      <c r="DW13" s="121"/>
      <c r="DX13" s="121"/>
      <c r="DY13" s="121"/>
      <c r="DZ13" s="121"/>
      <c r="EA13" s="121"/>
      <c r="EB13" s="121"/>
      <c r="EC13" s="121"/>
      <c r="ED13" s="121"/>
      <c r="EE13" s="121"/>
      <c r="EF13" s="121"/>
      <c r="EG13" s="121"/>
      <c r="EH13" s="121"/>
      <c r="EI13" s="121"/>
      <c r="EJ13" s="121"/>
      <c r="EK13" s="121"/>
      <c r="EL13" s="121"/>
      <c r="EM13" s="121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5"/>
      <c r="GH13" s="115"/>
      <c r="GI13" s="115"/>
      <c r="GJ13" s="115"/>
      <c r="GK13" s="115"/>
      <c r="GL13" s="115"/>
      <c r="GM13" s="115"/>
      <c r="GN13" s="115"/>
      <c r="GO13" s="115"/>
      <c r="GP13" s="115"/>
      <c r="GQ13" s="115"/>
      <c r="GR13" s="115"/>
      <c r="GS13" s="115"/>
      <c r="GT13" s="115"/>
      <c r="GU13" s="115"/>
      <c r="GV13" s="115"/>
      <c r="GW13" s="115"/>
      <c r="GX13" s="115"/>
      <c r="GY13" s="115"/>
      <c r="GZ13" s="115"/>
      <c r="HA13" s="115"/>
      <c r="HB13" s="115"/>
      <c r="HC13" s="115"/>
      <c r="HD13" s="115"/>
      <c r="HE13" s="115"/>
      <c r="HF13" s="115"/>
      <c r="HG13" s="115"/>
      <c r="HH13" s="115"/>
      <c r="HI13" s="115"/>
      <c r="HJ13" s="115"/>
      <c r="HK13" s="115"/>
      <c r="HL13" s="115"/>
      <c r="HM13" s="115"/>
      <c r="HN13" s="115"/>
      <c r="HO13" s="115"/>
      <c r="HP13" s="115"/>
      <c r="HQ13" s="115"/>
      <c r="HR13" s="115"/>
      <c r="HS13" s="115"/>
      <c r="HT13" s="115"/>
      <c r="HU13" s="115"/>
      <c r="HV13" s="115"/>
      <c r="HW13" s="115"/>
      <c r="HX13" s="115"/>
      <c r="HY13" s="115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17"/>
      <c r="JK13" s="117"/>
      <c r="JL13" s="117"/>
      <c r="JM13" s="117"/>
      <c r="JN13" s="117"/>
      <c r="JO13" s="117"/>
      <c r="JP13" s="117"/>
      <c r="JQ13" s="117"/>
      <c r="JR13" s="117"/>
      <c r="JS13" s="114"/>
      <c r="JT13" s="114"/>
      <c r="JU13" s="114"/>
      <c r="JV13" s="114"/>
      <c r="JW13" s="114"/>
      <c r="JX13" s="114"/>
      <c r="JY13" s="114"/>
      <c r="JZ13" s="114"/>
      <c r="KA13" s="114"/>
      <c r="KB13" s="114"/>
      <c r="KC13" s="114"/>
      <c r="KD13" s="114"/>
      <c r="KE13" s="114"/>
      <c r="KF13" s="114"/>
      <c r="KG13" s="114"/>
      <c r="KH13" s="114"/>
      <c r="KI13" s="114"/>
      <c r="KJ13" s="114"/>
      <c r="KK13" s="114"/>
      <c r="KL13" s="114"/>
      <c r="KM13" s="114"/>
      <c r="KN13" s="114"/>
      <c r="KO13" s="114"/>
      <c r="KP13" s="114"/>
      <c r="KQ13" s="114"/>
      <c r="KR13" s="114"/>
      <c r="KS13" s="114"/>
      <c r="KT13" s="114"/>
      <c r="KU13" s="114"/>
      <c r="KV13" s="114"/>
      <c r="KW13" s="114"/>
      <c r="KX13" s="114"/>
      <c r="KY13" s="114"/>
      <c r="KZ13" s="114"/>
      <c r="LA13" s="114"/>
      <c r="LB13" s="114"/>
      <c r="LC13" s="114"/>
      <c r="LD13" s="114"/>
      <c r="LE13" s="114"/>
      <c r="LF13" s="114"/>
      <c r="LG13" s="114"/>
      <c r="LH13" s="114"/>
      <c r="LI13" s="114"/>
      <c r="LJ13" s="114"/>
      <c r="LK13" s="114"/>
    </row>
    <row r="14" spans="1:323" ht="31.5" x14ac:dyDescent="0.25">
      <c r="A14" s="127"/>
      <c r="B14" s="126"/>
      <c r="C14" s="127"/>
      <c r="D14" s="126"/>
      <c r="E14" s="126"/>
      <c r="F14" s="126"/>
      <c r="G14" s="20" t="s">
        <v>56</v>
      </c>
      <c r="H14" s="22" t="s">
        <v>50</v>
      </c>
      <c r="I14" s="78" t="s">
        <v>269</v>
      </c>
      <c r="J14" s="78" t="s">
        <v>269</v>
      </c>
      <c r="K14" s="78" t="s">
        <v>269</v>
      </c>
      <c r="L14" s="78" t="s">
        <v>269</v>
      </c>
      <c r="M14" s="78" t="s">
        <v>269</v>
      </c>
      <c r="N14" s="78" t="s">
        <v>269</v>
      </c>
      <c r="O14" s="78" t="s">
        <v>269</v>
      </c>
      <c r="P14" s="78" t="s">
        <v>269</v>
      </c>
      <c r="Q14" s="78" t="s">
        <v>269</v>
      </c>
      <c r="R14" s="78" t="s">
        <v>269</v>
      </c>
      <c r="S14" s="78" t="s">
        <v>269</v>
      </c>
      <c r="T14" s="78" t="s">
        <v>269</v>
      </c>
      <c r="U14" s="78" t="s">
        <v>269</v>
      </c>
      <c r="V14" s="78" t="s">
        <v>269</v>
      </c>
      <c r="W14" s="78" t="s">
        <v>269</v>
      </c>
      <c r="X14" s="78" t="s">
        <v>269</v>
      </c>
      <c r="Y14" s="78" t="s">
        <v>269</v>
      </c>
      <c r="Z14" s="78" t="s">
        <v>269</v>
      </c>
      <c r="AA14" s="78" t="s">
        <v>269</v>
      </c>
      <c r="AB14" s="78" t="s">
        <v>269</v>
      </c>
      <c r="AC14" s="78" t="s">
        <v>269</v>
      </c>
      <c r="AD14" s="78" t="s">
        <v>269</v>
      </c>
      <c r="AE14" s="78" t="s">
        <v>269</v>
      </c>
      <c r="AF14" s="78" t="s">
        <v>269</v>
      </c>
      <c r="AG14" s="78" t="s">
        <v>269</v>
      </c>
      <c r="AH14" s="78" t="s">
        <v>269</v>
      </c>
      <c r="AI14" s="78" t="s">
        <v>269</v>
      </c>
      <c r="AJ14" s="78" t="s">
        <v>269</v>
      </c>
      <c r="AK14" s="78" t="s">
        <v>269</v>
      </c>
      <c r="AL14" s="78" t="s">
        <v>269</v>
      </c>
      <c r="AM14" s="78" t="s">
        <v>269</v>
      </c>
      <c r="AN14" s="78" t="s">
        <v>269</v>
      </c>
      <c r="AO14" s="78" t="s">
        <v>269</v>
      </c>
      <c r="AP14" s="78" t="s">
        <v>269</v>
      </c>
      <c r="AQ14" s="78" t="s">
        <v>269</v>
      </c>
      <c r="AR14" s="78" t="s">
        <v>269</v>
      </c>
      <c r="AS14" s="78" t="s">
        <v>269</v>
      </c>
      <c r="AT14" s="78" t="s">
        <v>269</v>
      </c>
      <c r="AU14" s="78" t="s">
        <v>269</v>
      </c>
      <c r="AV14" s="78" t="s">
        <v>269</v>
      </c>
      <c r="AW14" s="78"/>
      <c r="AX14" s="78"/>
      <c r="AY14" s="78"/>
      <c r="AZ14" s="78"/>
      <c r="BA14" s="78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  <c r="CK14" s="125"/>
      <c r="CL14" s="125"/>
      <c r="CM14" s="125"/>
      <c r="CN14" s="125"/>
      <c r="CO14" s="125"/>
      <c r="CP14" s="125"/>
      <c r="CQ14" s="125"/>
      <c r="CR14" s="125"/>
      <c r="CS14" s="125"/>
      <c r="CT14" s="12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  <c r="DK14" s="121"/>
      <c r="DL14" s="121"/>
      <c r="DM14" s="121"/>
      <c r="DN14" s="121"/>
      <c r="DO14" s="121"/>
      <c r="DP14" s="121"/>
      <c r="DQ14" s="121"/>
      <c r="DR14" s="121"/>
      <c r="DS14" s="121"/>
      <c r="DT14" s="121"/>
      <c r="DU14" s="121"/>
      <c r="DV14" s="121"/>
      <c r="DW14" s="121"/>
      <c r="DX14" s="121"/>
      <c r="DY14" s="121"/>
      <c r="DZ14" s="121"/>
      <c r="EA14" s="121"/>
      <c r="EB14" s="121"/>
      <c r="EC14" s="121"/>
      <c r="ED14" s="121"/>
      <c r="EE14" s="121"/>
      <c r="EF14" s="121"/>
      <c r="EG14" s="121"/>
      <c r="EH14" s="121"/>
      <c r="EI14" s="121"/>
      <c r="EJ14" s="121"/>
      <c r="EK14" s="121"/>
      <c r="EL14" s="121"/>
      <c r="EM14" s="121"/>
      <c r="EN14" s="117"/>
      <c r="EO14" s="117"/>
      <c r="EP14" s="117"/>
      <c r="EQ14" s="117"/>
      <c r="ER14" s="117"/>
      <c r="ES14" s="117"/>
      <c r="ET14" s="117"/>
      <c r="EU14" s="117"/>
      <c r="EV14" s="117"/>
      <c r="EW14" s="117"/>
      <c r="EX14" s="117"/>
      <c r="EY14" s="117"/>
      <c r="EZ14" s="117"/>
      <c r="FA14" s="117"/>
      <c r="FB14" s="117"/>
      <c r="FC14" s="117"/>
      <c r="FD14" s="117"/>
      <c r="FE14" s="117"/>
      <c r="FF14" s="117"/>
      <c r="FG14" s="117"/>
      <c r="FH14" s="117"/>
      <c r="FI14" s="117"/>
      <c r="FJ14" s="117"/>
      <c r="FK14" s="117"/>
      <c r="FL14" s="117"/>
      <c r="FM14" s="117"/>
      <c r="FN14" s="117"/>
      <c r="FO14" s="117"/>
      <c r="FP14" s="117"/>
      <c r="FQ14" s="117"/>
      <c r="FR14" s="117"/>
      <c r="FS14" s="117"/>
      <c r="FT14" s="117"/>
      <c r="FU14" s="117"/>
      <c r="FV14" s="117"/>
      <c r="FW14" s="117"/>
      <c r="FX14" s="117"/>
      <c r="FY14" s="117"/>
      <c r="FZ14" s="117"/>
      <c r="GA14" s="117"/>
      <c r="GB14" s="117"/>
      <c r="GC14" s="117"/>
      <c r="GD14" s="117"/>
      <c r="GE14" s="117"/>
      <c r="GF14" s="117"/>
      <c r="GG14" s="115"/>
      <c r="GH14" s="115"/>
      <c r="GI14" s="115"/>
      <c r="GJ14" s="115"/>
      <c r="GK14" s="115"/>
      <c r="GL14" s="115"/>
      <c r="GM14" s="115"/>
      <c r="GN14" s="115"/>
      <c r="GO14" s="115"/>
      <c r="GP14" s="115"/>
      <c r="GQ14" s="115"/>
      <c r="GR14" s="115"/>
      <c r="GS14" s="115"/>
      <c r="GT14" s="115"/>
      <c r="GU14" s="115"/>
      <c r="GV14" s="115"/>
      <c r="GW14" s="115"/>
      <c r="GX14" s="115"/>
      <c r="GY14" s="115"/>
      <c r="GZ14" s="115"/>
      <c r="HA14" s="115"/>
      <c r="HB14" s="115"/>
      <c r="HC14" s="115"/>
      <c r="HD14" s="115"/>
      <c r="HE14" s="115"/>
      <c r="HF14" s="115"/>
      <c r="HG14" s="115"/>
      <c r="HH14" s="115"/>
      <c r="HI14" s="115"/>
      <c r="HJ14" s="115"/>
      <c r="HK14" s="115"/>
      <c r="HL14" s="115"/>
      <c r="HM14" s="115"/>
      <c r="HN14" s="115"/>
      <c r="HO14" s="115"/>
      <c r="HP14" s="115"/>
      <c r="HQ14" s="115"/>
      <c r="HR14" s="115"/>
      <c r="HS14" s="115"/>
      <c r="HT14" s="115"/>
      <c r="HU14" s="115"/>
      <c r="HV14" s="115"/>
      <c r="HW14" s="115"/>
      <c r="HX14" s="115"/>
      <c r="HY14" s="115"/>
      <c r="HZ14" s="117"/>
      <c r="IA14" s="117"/>
      <c r="IB14" s="117"/>
      <c r="IC14" s="117"/>
      <c r="ID14" s="117"/>
      <c r="IE14" s="117"/>
      <c r="IF14" s="117"/>
      <c r="IG14" s="117"/>
      <c r="IH14" s="117"/>
      <c r="II14" s="117"/>
      <c r="IJ14" s="117"/>
      <c r="IK14" s="117"/>
      <c r="IL14" s="117"/>
      <c r="IM14" s="117"/>
      <c r="IN14" s="117"/>
      <c r="IO14" s="117"/>
      <c r="IP14" s="117"/>
      <c r="IQ14" s="117"/>
      <c r="IR14" s="117"/>
      <c r="IS14" s="117"/>
      <c r="IT14" s="117"/>
      <c r="IU14" s="117"/>
      <c r="IV14" s="117"/>
      <c r="IW14" s="117"/>
      <c r="IX14" s="117"/>
      <c r="IY14" s="117"/>
      <c r="IZ14" s="117"/>
      <c r="JA14" s="117"/>
      <c r="JB14" s="117"/>
      <c r="JC14" s="117"/>
      <c r="JD14" s="117"/>
      <c r="JE14" s="117"/>
      <c r="JF14" s="117"/>
      <c r="JG14" s="117"/>
      <c r="JH14" s="117"/>
      <c r="JI14" s="117"/>
      <c r="JJ14" s="117"/>
      <c r="JK14" s="117"/>
      <c r="JL14" s="117"/>
      <c r="JM14" s="117"/>
      <c r="JN14" s="117"/>
      <c r="JO14" s="117"/>
      <c r="JP14" s="117"/>
      <c r="JQ14" s="117"/>
      <c r="JR14" s="117"/>
      <c r="JS14" s="114"/>
      <c r="JT14" s="114"/>
      <c r="JU14" s="114"/>
      <c r="JV14" s="114"/>
      <c r="JW14" s="114"/>
      <c r="JX14" s="114"/>
      <c r="JY14" s="114"/>
      <c r="JZ14" s="114"/>
      <c r="KA14" s="114"/>
      <c r="KB14" s="114"/>
      <c r="KC14" s="114"/>
      <c r="KD14" s="114"/>
      <c r="KE14" s="114"/>
      <c r="KF14" s="114"/>
      <c r="KG14" s="114"/>
      <c r="KH14" s="114"/>
      <c r="KI14" s="114"/>
      <c r="KJ14" s="114"/>
      <c r="KK14" s="114"/>
      <c r="KL14" s="114"/>
      <c r="KM14" s="114"/>
      <c r="KN14" s="114"/>
      <c r="KO14" s="114"/>
      <c r="KP14" s="114"/>
      <c r="KQ14" s="114"/>
      <c r="KR14" s="114"/>
      <c r="KS14" s="114"/>
      <c r="KT14" s="114"/>
      <c r="KU14" s="114"/>
      <c r="KV14" s="114"/>
      <c r="KW14" s="114"/>
      <c r="KX14" s="114"/>
      <c r="KY14" s="114"/>
      <c r="KZ14" s="114"/>
      <c r="LA14" s="114"/>
      <c r="LB14" s="114"/>
      <c r="LC14" s="114"/>
      <c r="LD14" s="114"/>
      <c r="LE14" s="114"/>
      <c r="LF14" s="114"/>
      <c r="LG14" s="114"/>
      <c r="LH14" s="114"/>
      <c r="LI14" s="114"/>
      <c r="LJ14" s="114"/>
      <c r="LK14" s="114"/>
    </row>
    <row r="15" spans="1:323" ht="31.5" x14ac:dyDescent="0.25">
      <c r="A15" s="127" t="s">
        <v>38</v>
      </c>
      <c r="B15" s="133" t="s">
        <v>36</v>
      </c>
      <c r="C15" s="134" t="s">
        <v>0</v>
      </c>
      <c r="D15" s="132" t="s">
        <v>1</v>
      </c>
      <c r="E15" s="127">
        <v>1</v>
      </c>
      <c r="F15" s="126" t="s">
        <v>73</v>
      </c>
      <c r="G15" s="20" t="s">
        <v>56</v>
      </c>
      <c r="H15" s="23" t="s">
        <v>68</v>
      </c>
      <c r="I15" s="78" t="s">
        <v>269</v>
      </c>
      <c r="J15" s="78" t="s">
        <v>269</v>
      </c>
      <c r="K15" s="78" t="s">
        <v>269</v>
      </c>
      <c r="L15" s="78" t="s">
        <v>269</v>
      </c>
      <c r="M15" s="78" t="s">
        <v>269</v>
      </c>
      <c r="N15" s="78" t="s">
        <v>269</v>
      </c>
      <c r="O15" s="78" t="s">
        <v>269</v>
      </c>
      <c r="P15" s="78" t="s">
        <v>269</v>
      </c>
      <c r="Q15" s="78" t="s">
        <v>269</v>
      </c>
      <c r="R15" s="78" t="s">
        <v>269</v>
      </c>
      <c r="S15" s="78" t="s">
        <v>269</v>
      </c>
      <c r="T15" s="78" t="s">
        <v>269</v>
      </c>
      <c r="U15" s="78" t="s">
        <v>269</v>
      </c>
      <c r="V15" s="78" t="s">
        <v>269</v>
      </c>
      <c r="W15" s="78" t="s">
        <v>269</v>
      </c>
      <c r="X15" s="78" t="s">
        <v>269</v>
      </c>
      <c r="Y15" s="78" t="s">
        <v>269</v>
      </c>
      <c r="Z15" s="78" t="s">
        <v>269</v>
      </c>
      <c r="AA15" s="78" t="s">
        <v>269</v>
      </c>
      <c r="AB15" s="78" t="s">
        <v>269</v>
      </c>
      <c r="AC15" s="78" t="s">
        <v>269</v>
      </c>
      <c r="AD15" s="78" t="s">
        <v>269</v>
      </c>
      <c r="AE15" s="78" t="s">
        <v>269</v>
      </c>
      <c r="AF15" s="78" t="s">
        <v>269</v>
      </c>
      <c r="AG15" s="78" t="s">
        <v>269</v>
      </c>
      <c r="AH15" s="78" t="s">
        <v>269</v>
      </c>
      <c r="AI15" s="78" t="s">
        <v>269</v>
      </c>
      <c r="AJ15" s="78" t="s">
        <v>269</v>
      </c>
      <c r="AK15" s="78" t="s">
        <v>269</v>
      </c>
      <c r="AL15" s="78" t="s">
        <v>269</v>
      </c>
      <c r="AM15" s="78" t="s">
        <v>269</v>
      </c>
      <c r="AN15" s="78" t="s">
        <v>269</v>
      </c>
      <c r="AO15" s="78" t="s">
        <v>269</v>
      </c>
      <c r="AP15" s="78" t="s">
        <v>269</v>
      </c>
      <c r="AQ15" s="78" t="s">
        <v>269</v>
      </c>
      <c r="AR15" s="78" t="s">
        <v>269</v>
      </c>
      <c r="AS15" s="78" t="s">
        <v>269</v>
      </c>
      <c r="AT15" s="78" t="s">
        <v>269</v>
      </c>
      <c r="AU15" s="78" t="s">
        <v>269</v>
      </c>
      <c r="AV15" s="78" t="s">
        <v>269</v>
      </c>
      <c r="AW15" s="78"/>
      <c r="AX15" s="78"/>
      <c r="AY15" s="78"/>
      <c r="AZ15" s="78"/>
      <c r="BA15" s="78"/>
      <c r="BB15" s="122">
        <f t="shared" ref="BB15:CO15" si="18">IF(AND(I15="",I16=""),"",COUNTIF(I15:I16,"v"))</f>
        <v>2</v>
      </c>
      <c r="BC15" s="122">
        <f t="shared" si="18"/>
        <v>2</v>
      </c>
      <c r="BD15" s="122">
        <f t="shared" si="18"/>
        <v>2</v>
      </c>
      <c r="BE15" s="122">
        <f t="shared" si="18"/>
        <v>2</v>
      </c>
      <c r="BF15" s="122">
        <f t="shared" si="18"/>
        <v>2</v>
      </c>
      <c r="BG15" s="122">
        <f t="shared" si="18"/>
        <v>2</v>
      </c>
      <c r="BH15" s="122">
        <f t="shared" si="18"/>
        <v>2</v>
      </c>
      <c r="BI15" s="122">
        <f t="shared" si="18"/>
        <v>2</v>
      </c>
      <c r="BJ15" s="122">
        <f t="shared" si="18"/>
        <v>2</v>
      </c>
      <c r="BK15" s="122">
        <f t="shared" si="18"/>
        <v>2</v>
      </c>
      <c r="BL15" s="122">
        <f t="shared" si="18"/>
        <v>2</v>
      </c>
      <c r="BM15" s="122">
        <f t="shared" si="18"/>
        <v>2</v>
      </c>
      <c r="BN15" s="122">
        <f t="shared" si="18"/>
        <v>2</v>
      </c>
      <c r="BO15" s="122">
        <f t="shared" si="18"/>
        <v>2</v>
      </c>
      <c r="BP15" s="122">
        <f t="shared" si="18"/>
        <v>2</v>
      </c>
      <c r="BQ15" s="122">
        <f t="shared" si="18"/>
        <v>2</v>
      </c>
      <c r="BR15" s="122">
        <f t="shared" si="18"/>
        <v>2</v>
      </c>
      <c r="BS15" s="122">
        <f t="shared" si="18"/>
        <v>2</v>
      </c>
      <c r="BT15" s="122">
        <f t="shared" si="18"/>
        <v>2</v>
      </c>
      <c r="BU15" s="122">
        <f t="shared" si="18"/>
        <v>2</v>
      </c>
      <c r="BV15" s="122">
        <f t="shared" si="18"/>
        <v>2</v>
      </c>
      <c r="BW15" s="122">
        <f t="shared" si="18"/>
        <v>2</v>
      </c>
      <c r="BX15" s="122">
        <f t="shared" si="18"/>
        <v>2</v>
      </c>
      <c r="BY15" s="122">
        <f t="shared" si="18"/>
        <v>2</v>
      </c>
      <c r="BZ15" s="122">
        <f t="shared" si="18"/>
        <v>2</v>
      </c>
      <c r="CA15" s="122">
        <f t="shared" si="18"/>
        <v>2</v>
      </c>
      <c r="CB15" s="122">
        <f t="shared" si="18"/>
        <v>2</v>
      </c>
      <c r="CC15" s="122">
        <f t="shared" si="18"/>
        <v>2</v>
      </c>
      <c r="CD15" s="122">
        <f t="shared" si="18"/>
        <v>2</v>
      </c>
      <c r="CE15" s="122">
        <f t="shared" si="18"/>
        <v>2</v>
      </c>
      <c r="CF15" s="122">
        <f t="shared" si="18"/>
        <v>2</v>
      </c>
      <c r="CG15" s="122">
        <f t="shared" si="18"/>
        <v>2</v>
      </c>
      <c r="CH15" s="122">
        <f t="shared" si="18"/>
        <v>2</v>
      </c>
      <c r="CI15" s="122">
        <f t="shared" si="18"/>
        <v>2</v>
      </c>
      <c r="CJ15" s="122">
        <f t="shared" si="18"/>
        <v>2</v>
      </c>
      <c r="CK15" s="122">
        <f t="shared" si="18"/>
        <v>2</v>
      </c>
      <c r="CL15" s="122">
        <f t="shared" si="18"/>
        <v>2</v>
      </c>
      <c r="CM15" s="122">
        <f t="shared" si="18"/>
        <v>2</v>
      </c>
      <c r="CN15" s="122">
        <f t="shared" si="18"/>
        <v>2</v>
      </c>
      <c r="CO15" s="122">
        <f t="shared" si="18"/>
        <v>2</v>
      </c>
      <c r="CP15" s="122" t="str">
        <f t="shared" ref="CP15:CT15" si="19">IF(AND(AW15="",AW16=""),"",COUNTIF(AW15:AW16,"v"))</f>
        <v/>
      </c>
      <c r="CQ15" s="122" t="str">
        <f t="shared" si="19"/>
        <v/>
      </c>
      <c r="CR15" s="122" t="str">
        <f t="shared" si="19"/>
        <v/>
      </c>
      <c r="CS15" s="122" t="str">
        <f t="shared" si="19"/>
        <v/>
      </c>
      <c r="CT15" s="122" t="str">
        <f t="shared" si="19"/>
        <v/>
      </c>
      <c r="CU15" s="121" t="str">
        <f>IF(BB15="","",IF(BB15=0,"Ditolak",IF(BB15=1,"Diperbaiki","Digunakan")))</f>
        <v>Digunakan</v>
      </c>
      <c r="CV15" s="121" t="str">
        <f t="shared" ref="CV15:EH15" si="20">IF(BC15="","",IF(BC15=0,"Ditolak",IF(AND(BC15&gt;=1,BC15&lt;2),"Diperbaiki","Digunakan")))</f>
        <v>Digunakan</v>
      </c>
      <c r="CW15" s="121" t="str">
        <f t="shared" si="20"/>
        <v>Digunakan</v>
      </c>
      <c r="CX15" s="121" t="str">
        <f t="shared" si="20"/>
        <v>Digunakan</v>
      </c>
      <c r="CY15" s="121" t="str">
        <f t="shared" si="20"/>
        <v>Digunakan</v>
      </c>
      <c r="CZ15" s="121" t="str">
        <f t="shared" si="20"/>
        <v>Digunakan</v>
      </c>
      <c r="DA15" s="121" t="str">
        <f t="shared" si="20"/>
        <v>Digunakan</v>
      </c>
      <c r="DB15" s="121" t="str">
        <f t="shared" si="20"/>
        <v>Digunakan</v>
      </c>
      <c r="DC15" s="121" t="str">
        <f t="shared" si="20"/>
        <v>Digunakan</v>
      </c>
      <c r="DD15" s="121" t="str">
        <f t="shared" si="20"/>
        <v>Digunakan</v>
      </c>
      <c r="DE15" s="121" t="str">
        <f t="shared" si="20"/>
        <v>Digunakan</v>
      </c>
      <c r="DF15" s="121" t="str">
        <f t="shared" si="20"/>
        <v>Digunakan</v>
      </c>
      <c r="DG15" s="121" t="str">
        <f t="shared" si="20"/>
        <v>Digunakan</v>
      </c>
      <c r="DH15" s="121" t="str">
        <f t="shared" si="20"/>
        <v>Digunakan</v>
      </c>
      <c r="DI15" s="121" t="str">
        <f t="shared" si="20"/>
        <v>Digunakan</v>
      </c>
      <c r="DJ15" s="121" t="str">
        <f t="shared" si="20"/>
        <v>Digunakan</v>
      </c>
      <c r="DK15" s="121" t="str">
        <f t="shared" si="20"/>
        <v>Digunakan</v>
      </c>
      <c r="DL15" s="121" t="str">
        <f t="shared" si="20"/>
        <v>Digunakan</v>
      </c>
      <c r="DM15" s="121" t="str">
        <f t="shared" si="20"/>
        <v>Digunakan</v>
      </c>
      <c r="DN15" s="121" t="str">
        <f t="shared" si="20"/>
        <v>Digunakan</v>
      </c>
      <c r="DO15" s="121" t="str">
        <f t="shared" si="20"/>
        <v>Digunakan</v>
      </c>
      <c r="DP15" s="121" t="str">
        <f t="shared" si="20"/>
        <v>Digunakan</v>
      </c>
      <c r="DQ15" s="121" t="str">
        <f t="shared" si="20"/>
        <v>Digunakan</v>
      </c>
      <c r="DR15" s="121" t="str">
        <f t="shared" si="20"/>
        <v>Digunakan</v>
      </c>
      <c r="DS15" s="121" t="str">
        <f t="shared" si="20"/>
        <v>Digunakan</v>
      </c>
      <c r="DT15" s="121" t="str">
        <f t="shared" si="20"/>
        <v>Digunakan</v>
      </c>
      <c r="DU15" s="121" t="str">
        <f t="shared" si="20"/>
        <v>Digunakan</v>
      </c>
      <c r="DV15" s="121" t="str">
        <f t="shared" si="20"/>
        <v>Digunakan</v>
      </c>
      <c r="DW15" s="121" t="str">
        <f t="shared" si="20"/>
        <v>Digunakan</v>
      </c>
      <c r="DX15" s="121" t="str">
        <f t="shared" si="20"/>
        <v>Digunakan</v>
      </c>
      <c r="DY15" s="121" t="str">
        <f t="shared" si="20"/>
        <v>Digunakan</v>
      </c>
      <c r="DZ15" s="121" t="str">
        <f t="shared" si="20"/>
        <v>Digunakan</v>
      </c>
      <c r="EA15" s="121" t="str">
        <f t="shared" si="20"/>
        <v>Digunakan</v>
      </c>
      <c r="EB15" s="121" t="str">
        <f t="shared" si="20"/>
        <v>Digunakan</v>
      </c>
      <c r="EC15" s="121" t="str">
        <f t="shared" si="20"/>
        <v>Digunakan</v>
      </c>
      <c r="ED15" s="121" t="str">
        <f t="shared" si="20"/>
        <v>Digunakan</v>
      </c>
      <c r="EE15" s="121" t="str">
        <f t="shared" si="20"/>
        <v>Digunakan</v>
      </c>
      <c r="EF15" s="121" t="str">
        <f t="shared" si="20"/>
        <v>Digunakan</v>
      </c>
      <c r="EG15" s="121" t="str">
        <f t="shared" si="20"/>
        <v>Digunakan</v>
      </c>
      <c r="EH15" s="121" t="str">
        <f t="shared" si="20"/>
        <v>Digunakan</v>
      </c>
      <c r="EI15" s="121" t="str">
        <f t="shared" ref="EI15:EM15" si="21">IF(CP15="","",IF(CP15=0,"Ditolak",IF(AND(CP15&gt;=1,CP15&lt;2),"Diperbaiki","Digunakan")))</f>
        <v/>
      </c>
      <c r="EJ15" s="121" t="str">
        <f t="shared" si="21"/>
        <v/>
      </c>
      <c r="EK15" s="121" t="str">
        <f t="shared" si="21"/>
        <v/>
      </c>
      <c r="EL15" s="121" t="str">
        <f t="shared" si="21"/>
        <v/>
      </c>
      <c r="EM15" s="121" t="str">
        <f t="shared" si="21"/>
        <v/>
      </c>
      <c r="EN15" s="117" t="str">
        <f t="shared" ref="EN15:GA15" si="22">IF(COUNTIF(CU15:CU20,"Diperbaiki")&gt;=1,"materi","")</f>
        <v/>
      </c>
      <c r="EO15" s="117" t="str">
        <f t="shared" si="22"/>
        <v/>
      </c>
      <c r="EP15" s="117" t="str">
        <f t="shared" si="22"/>
        <v/>
      </c>
      <c r="EQ15" s="117" t="str">
        <f t="shared" si="22"/>
        <v/>
      </c>
      <c r="ER15" s="117" t="str">
        <f t="shared" si="22"/>
        <v/>
      </c>
      <c r="ES15" s="117" t="str">
        <f t="shared" si="22"/>
        <v/>
      </c>
      <c r="ET15" s="117" t="str">
        <f t="shared" si="22"/>
        <v/>
      </c>
      <c r="EU15" s="117" t="str">
        <f t="shared" si="22"/>
        <v/>
      </c>
      <c r="EV15" s="117" t="str">
        <f t="shared" si="22"/>
        <v/>
      </c>
      <c r="EW15" s="117" t="str">
        <f t="shared" si="22"/>
        <v/>
      </c>
      <c r="EX15" s="117" t="str">
        <f t="shared" si="22"/>
        <v/>
      </c>
      <c r="EY15" s="117" t="str">
        <f t="shared" si="22"/>
        <v/>
      </c>
      <c r="EZ15" s="117" t="str">
        <f t="shared" si="22"/>
        <v/>
      </c>
      <c r="FA15" s="117" t="str">
        <f t="shared" si="22"/>
        <v/>
      </c>
      <c r="FB15" s="117" t="str">
        <f t="shared" si="22"/>
        <v/>
      </c>
      <c r="FC15" s="117" t="str">
        <f t="shared" si="22"/>
        <v/>
      </c>
      <c r="FD15" s="117" t="str">
        <f t="shared" si="22"/>
        <v/>
      </c>
      <c r="FE15" s="117" t="str">
        <f t="shared" si="22"/>
        <v/>
      </c>
      <c r="FF15" s="117" t="str">
        <f t="shared" si="22"/>
        <v/>
      </c>
      <c r="FG15" s="117" t="str">
        <f t="shared" si="22"/>
        <v/>
      </c>
      <c r="FH15" s="117" t="str">
        <f t="shared" si="22"/>
        <v/>
      </c>
      <c r="FI15" s="117" t="str">
        <f t="shared" si="22"/>
        <v/>
      </c>
      <c r="FJ15" s="117" t="str">
        <f t="shared" si="22"/>
        <v/>
      </c>
      <c r="FK15" s="117" t="str">
        <f t="shared" si="22"/>
        <v/>
      </c>
      <c r="FL15" s="117" t="str">
        <f t="shared" si="22"/>
        <v/>
      </c>
      <c r="FM15" s="117" t="str">
        <f t="shared" si="22"/>
        <v/>
      </c>
      <c r="FN15" s="117" t="str">
        <f t="shared" si="22"/>
        <v/>
      </c>
      <c r="FO15" s="117" t="str">
        <f t="shared" si="22"/>
        <v/>
      </c>
      <c r="FP15" s="117" t="str">
        <f t="shared" si="22"/>
        <v/>
      </c>
      <c r="FQ15" s="117" t="str">
        <f t="shared" si="22"/>
        <v/>
      </c>
      <c r="FR15" s="117" t="str">
        <f t="shared" si="22"/>
        <v/>
      </c>
      <c r="FS15" s="117" t="str">
        <f t="shared" si="22"/>
        <v/>
      </c>
      <c r="FT15" s="117" t="str">
        <f t="shared" si="22"/>
        <v/>
      </c>
      <c r="FU15" s="117" t="str">
        <f t="shared" si="22"/>
        <v/>
      </c>
      <c r="FV15" s="117" t="str">
        <f t="shared" si="22"/>
        <v/>
      </c>
      <c r="FW15" s="117" t="str">
        <f t="shared" si="22"/>
        <v/>
      </c>
      <c r="FX15" s="117" t="str">
        <f t="shared" si="22"/>
        <v/>
      </c>
      <c r="FY15" s="117" t="str">
        <f t="shared" si="22"/>
        <v/>
      </c>
      <c r="FZ15" s="117" t="str">
        <f t="shared" si="22"/>
        <v/>
      </c>
      <c r="GA15" s="117" t="str">
        <f t="shared" si="22"/>
        <v/>
      </c>
      <c r="GB15" s="117" t="str">
        <f t="shared" ref="GB15:GF15" si="23">IF(COUNTIF(EI15:EI20,"Diperbaiki")&gt;=1,"materi","")</f>
        <v/>
      </c>
      <c r="GC15" s="117" t="str">
        <f t="shared" si="23"/>
        <v/>
      </c>
      <c r="GD15" s="117" t="str">
        <f t="shared" si="23"/>
        <v/>
      </c>
      <c r="GE15" s="117" t="str">
        <f t="shared" si="23"/>
        <v/>
      </c>
      <c r="GF15" s="117" t="str">
        <f t="shared" si="23"/>
        <v/>
      </c>
      <c r="GG15" s="115" t="str">
        <f>IF(EN15="","",",")</f>
        <v/>
      </c>
      <c r="GH15" s="115" t="str">
        <f t="shared" ref="GH15:HT15" si="24">IF(EO15="","",",")</f>
        <v/>
      </c>
      <c r="GI15" s="115" t="str">
        <f t="shared" si="24"/>
        <v/>
      </c>
      <c r="GJ15" s="115" t="str">
        <f t="shared" si="24"/>
        <v/>
      </c>
      <c r="GK15" s="115" t="str">
        <f t="shared" si="24"/>
        <v/>
      </c>
      <c r="GL15" s="115" t="str">
        <f t="shared" si="24"/>
        <v/>
      </c>
      <c r="GM15" s="115" t="str">
        <f t="shared" si="24"/>
        <v/>
      </c>
      <c r="GN15" s="115" t="str">
        <f t="shared" si="24"/>
        <v/>
      </c>
      <c r="GO15" s="115" t="str">
        <f t="shared" si="24"/>
        <v/>
      </c>
      <c r="GP15" s="115" t="str">
        <f t="shared" si="24"/>
        <v/>
      </c>
      <c r="GQ15" s="115" t="str">
        <f t="shared" si="24"/>
        <v/>
      </c>
      <c r="GR15" s="115" t="str">
        <f t="shared" si="24"/>
        <v/>
      </c>
      <c r="GS15" s="115" t="str">
        <f t="shared" si="24"/>
        <v/>
      </c>
      <c r="GT15" s="115" t="str">
        <f t="shared" si="24"/>
        <v/>
      </c>
      <c r="GU15" s="115" t="str">
        <f t="shared" si="24"/>
        <v/>
      </c>
      <c r="GV15" s="115" t="str">
        <f t="shared" si="24"/>
        <v/>
      </c>
      <c r="GW15" s="115" t="str">
        <f t="shared" si="24"/>
        <v/>
      </c>
      <c r="GX15" s="115" t="str">
        <f t="shared" si="24"/>
        <v/>
      </c>
      <c r="GY15" s="115" t="str">
        <f t="shared" si="24"/>
        <v/>
      </c>
      <c r="GZ15" s="115" t="str">
        <f t="shared" si="24"/>
        <v/>
      </c>
      <c r="HA15" s="115" t="str">
        <f t="shared" si="24"/>
        <v/>
      </c>
      <c r="HB15" s="115" t="str">
        <f t="shared" si="24"/>
        <v/>
      </c>
      <c r="HC15" s="115" t="str">
        <f t="shared" si="24"/>
        <v/>
      </c>
      <c r="HD15" s="115" t="str">
        <f t="shared" si="24"/>
        <v/>
      </c>
      <c r="HE15" s="115" t="str">
        <f t="shared" si="24"/>
        <v/>
      </c>
      <c r="HF15" s="115" t="str">
        <f t="shared" si="24"/>
        <v/>
      </c>
      <c r="HG15" s="115" t="str">
        <f t="shared" si="24"/>
        <v/>
      </c>
      <c r="HH15" s="115" t="str">
        <f t="shared" si="24"/>
        <v/>
      </c>
      <c r="HI15" s="115" t="str">
        <f t="shared" si="24"/>
        <v/>
      </c>
      <c r="HJ15" s="115" t="str">
        <f t="shared" si="24"/>
        <v/>
      </c>
      <c r="HK15" s="115" t="str">
        <f t="shared" si="24"/>
        <v/>
      </c>
      <c r="HL15" s="115" t="str">
        <f t="shared" si="24"/>
        <v/>
      </c>
      <c r="HM15" s="115" t="str">
        <f t="shared" si="24"/>
        <v/>
      </c>
      <c r="HN15" s="115" t="str">
        <f t="shared" si="24"/>
        <v/>
      </c>
      <c r="HO15" s="115" t="str">
        <f t="shared" si="24"/>
        <v/>
      </c>
      <c r="HP15" s="115" t="str">
        <f t="shared" si="24"/>
        <v/>
      </c>
      <c r="HQ15" s="115" t="str">
        <f t="shared" si="24"/>
        <v/>
      </c>
      <c r="HR15" s="115" t="str">
        <f t="shared" si="24"/>
        <v/>
      </c>
      <c r="HS15" s="115" t="str">
        <f t="shared" si="24"/>
        <v/>
      </c>
      <c r="HT15" s="115" t="str">
        <f t="shared" si="24"/>
        <v/>
      </c>
      <c r="HU15" s="115" t="str">
        <f t="shared" ref="HU15" si="25">IF(GB15="","",",")</f>
        <v/>
      </c>
      <c r="HV15" s="115" t="str">
        <f t="shared" ref="HV15" si="26">IF(GC15="","",",")</f>
        <v/>
      </c>
      <c r="HW15" s="115" t="str">
        <f t="shared" ref="HW15" si="27">IF(GD15="","",",")</f>
        <v/>
      </c>
      <c r="HX15" s="115" t="str">
        <f t="shared" ref="HX15" si="28">IF(GE15="","",",")</f>
        <v/>
      </c>
      <c r="HY15" s="115" t="str">
        <f t="shared" ref="HY15" si="29">IF(GF15="","",",")</f>
        <v/>
      </c>
      <c r="HZ15" s="117"/>
      <c r="IA15" s="117"/>
      <c r="IB15" s="117"/>
      <c r="IC15" s="117"/>
      <c r="ID15" s="117"/>
      <c r="IE15" s="117"/>
      <c r="IF15" s="117"/>
      <c r="IG15" s="117"/>
      <c r="IH15" s="117"/>
      <c r="II15" s="117"/>
      <c r="IJ15" s="117"/>
      <c r="IK15" s="117"/>
      <c r="IL15" s="117"/>
      <c r="IM15" s="117"/>
      <c r="IN15" s="117"/>
      <c r="IO15" s="117"/>
      <c r="IP15" s="117"/>
      <c r="IQ15" s="117"/>
      <c r="IR15" s="117"/>
      <c r="IS15" s="117"/>
      <c r="IT15" s="117"/>
      <c r="IU15" s="117"/>
      <c r="IV15" s="117"/>
      <c r="IW15" s="117"/>
      <c r="IX15" s="117"/>
      <c r="IY15" s="117"/>
      <c r="IZ15" s="117"/>
      <c r="JA15" s="117"/>
      <c r="JB15" s="117"/>
      <c r="JC15" s="117"/>
      <c r="JD15" s="117"/>
      <c r="JE15" s="117"/>
      <c r="JF15" s="117"/>
      <c r="JG15" s="117"/>
      <c r="JH15" s="117"/>
      <c r="JI15" s="117"/>
      <c r="JJ15" s="117"/>
      <c r="JK15" s="117"/>
      <c r="JL15" s="117"/>
      <c r="JM15" s="117"/>
      <c r="JN15" s="117"/>
      <c r="JO15" s="117"/>
      <c r="JP15" s="117"/>
      <c r="JQ15" s="117"/>
      <c r="JR15" s="117"/>
      <c r="JS15" s="114"/>
      <c r="JT15" s="114"/>
      <c r="JU15" s="114"/>
      <c r="JV15" s="114"/>
      <c r="JW15" s="114"/>
      <c r="JX15" s="114"/>
      <c r="JY15" s="114"/>
      <c r="JZ15" s="114"/>
      <c r="KA15" s="114"/>
      <c r="KB15" s="114"/>
      <c r="KC15" s="114"/>
      <c r="KD15" s="114"/>
      <c r="KE15" s="114"/>
      <c r="KF15" s="114"/>
      <c r="KG15" s="114"/>
      <c r="KH15" s="114"/>
      <c r="KI15" s="114"/>
      <c r="KJ15" s="114"/>
      <c r="KK15" s="114"/>
      <c r="KL15" s="114"/>
      <c r="KM15" s="114"/>
      <c r="KN15" s="114"/>
      <c r="KO15" s="114"/>
      <c r="KP15" s="114"/>
      <c r="KQ15" s="114"/>
      <c r="KR15" s="114"/>
      <c r="KS15" s="114"/>
      <c r="KT15" s="114"/>
      <c r="KU15" s="114"/>
      <c r="KV15" s="114"/>
      <c r="KW15" s="114"/>
      <c r="KX15" s="114"/>
      <c r="KY15" s="114"/>
      <c r="KZ15" s="114"/>
      <c r="LA15" s="114"/>
      <c r="LB15" s="114"/>
      <c r="LC15" s="114"/>
      <c r="LD15" s="114"/>
      <c r="LE15" s="114"/>
      <c r="LF15" s="114"/>
      <c r="LG15" s="114"/>
      <c r="LH15" s="114"/>
      <c r="LI15" s="114"/>
      <c r="LJ15" s="114"/>
      <c r="LK15" s="114"/>
    </row>
    <row r="16" spans="1:323" ht="31.5" x14ac:dyDescent="0.25">
      <c r="A16" s="127"/>
      <c r="B16" s="133"/>
      <c r="C16" s="134"/>
      <c r="D16" s="132"/>
      <c r="E16" s="127"/>
      <c r="F16" s="126"/>
      <c r="G16" s="20" t="s">
        <v>56</v>
      </c>
      <c r="H16" s="23" t="s">
        <v>3</v>
      </c>
      <c r="I16" s="78" t="s">
        <v>269</v>
      </c>
      <c r="J16" s="78" t="s">
        <v>269</v>
      </c>
      <c r="K16" s="78" t="s">
        <v>269</v>
      </c>
      <c r="L16" s="78" t="s">
        <v>269</v>
      </c>
      <c r="M16" s="78" t="s">
        <v>269</v>
      </c>
      <c r="N16" s="78" t="s">
        <v>269</v>
      </c>
      <c r="O16" s="78" t="s">
        <v>269</v>
      </c>
      <c r="P16" s="78" t="s">
        <v>269</v>
      </c>
      <c r="Q16" s="78" t="s">
        <v>269</v>
      </c>
      <c r="R16" s="78" t="s">
        <v>269</v>
      </c>
      <c r="S16" s="78" t="s">
        <v>269</v>
      </c>
      <c r="T16" s="78" t="s">
        <v>269</v>
      </c>
      <c r="U16" s="78" t="s">
        <v>269</v>
      </c>
      <c r="V16" s="78" t="s">
        <v>269</v>
      </c>
      <c r="W16" s="78" t="s">
        <v>269</v>
      </c>
      <c r="X16" s="78" t="s">
        <v>269</v>
      </c>
      <c r="Y16" s="78" t="s">
        <v>269</v>
      </c>
      <c r="Z16" s="78" t="s">
        <v>269</v>
      </c>
      <c r="AA16" s="78" t="s">
        <v>269</v>
      </c>
      <c r="AB16" s="78" t="s">
        <v>269</v>
      </c>
      <c r="AC16" s="78" t="s">
        <v>269</v>
      </c>
      <c r="AD16" s="78" t="s">
        <v>269</v>
      </c>
      <c r="AE16" s="78" t="s">
        <v>269</v>
      </c>
      <c r="AF16" s="78" t="s">
        <v>269</v>
      </c>
      <c r="AG16" s="78" t="s">
        <v>269</v>
      </c>
      <c r="AH16" s="78" t="s">
        <v>269</v>
      </c>
      <c r="AI16" s="78" t="s">
        <v>269</v>
      </c>
      <c r="AJ16" s="78" t="s">
        <v>269</v>
      </c>
      <c r="AK16" s="78" t="s">
        <v>269</v>
      </c>
      <c r="AL16" s="78" t="s">
        <v>269</v>
      </c>
      <c r="AM16" s="78" t="s">
        <v>269</v>
      </c>
      <c r="AN16" s="78" t="s">
        <v>269</v>
      </c>
      <c r="AO16" s="78" t="s">
        <v>269</v>
      </c>
      <c r="AP16" s="78" t="s">
        <v>269</v>
      </c>
      <c r="AQ16" s="78" t="s">
        <v>269</v>
      </c>
      <c r="AR16" s="78" t="s">
        <v>269</v>
      </c>
      <c r="AS16" s="78" t="s">
        <v>269</v>
      </c>
      <c r="AT16" s="78" t="s">
        <v>269</v>
      </c>
      <c r="AU16" s="78" t="s">
        <v>269</v>
      </c>
      <c r="AV16" s="78" t="s">
        <v>269</v>
      </c>
      <c r="AW16" s="78"/>
      <c r="AX16" s="78"/>
      <c r="AY16" s="78"/>
      <c r="AZ16" s="78"/>
      <c r="BA16" s="78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  <c r="DK16" s="121"/>
      <c r="DL16" s="121"/>
      <c r="DM16" s="121"/>
      <c r="DN16" s="121"/>
      <c r="DO16" s="121"/>
      <c r="DP16" s="121"/>
      <c r="DQ16" s="121"/>
      <c r="DR16" s="121"/>
      <c r="DS16" s="121"/>
      <c r="DT16" s="121"/>
      <c r="DU16" s="121"/>
      <c r="DV16" s="121"/>
      <c r="DW16" s="121"/>
      <c r="DX16" s="121"/>
      <c r="DY16" s="121"/>
      <c r="DZ16" s="121"/>
      <c r="EA16" s="121"/>
      <c r="EB16" s="121"/>
      <c r="EC16" s="121"/>
      <c r="ED16" s="121"/>
      <c r="EE16" s="121"/>
      <c r="EF16" s="121"/>
      <c r="EG16" s="121"/>
      <c r="EH16" s="121"/>
      <c r="EI16" s="121"/>
      <c r="EJ16" s="121"/>
      <c r="EK16" s="121"/>
      <c r="EL16" s="121"/>
      <c r="EM16" s="121"/>
      <c r="EN16" s="117"/>
      <c r="EO16" s="117"/>
      <c r="EP16" s="117"/>
      <c r="EQ16" s="117"/>
      <c r="ER16" s="117"/>
      <c r="ES16" s="117"/>
      <c r="ET16" s="117"/>
      <c r="EU16" s="117"/>
      <c r="EV16" s="117"/>
      <c r="EW16" s="117"/>
      <c r="EX16" s="117"/>
      <c r="EY16" s="117"/>
      <c r="EZ16" s="117"/>
      <c r="FA16" s="117"/>
      <c r="FB16" s="117"/>
      <c r="FC16" s="117"/>
      <c r="FD16" s="117"/>
      <c r="FE16" s="117"/>
      <c r="FF16" s="117"/>
      <c r="FG16" s="117"/>
      <c r="FH16" s="117"/>
      <c r="FI16" s="117"/>
      <c r="FJ16" s="117"/>
      <c r="FK16" s="117"/>
      <c r="FL16" s="117"/>
      <c r="FM16" s="117"/>
      <c r="FN16" s="117"/>
      <c r="FO16" s="117"/>
      <c r="FP16" s="117"/>
      <c r="FQ16" s="117"/>
      <c r="FR16" s="117"/>
      <c r="FS16" s="117"/>
      <c r="FT16" s="117"/>
      <c r="FU16" s="117"/>
      <c r="FV16" s="117"/>
      <c r="FW16" s="117"/>
      <c r="FX16" s="117"/>
      <c r="FY16" s="117"/>
      <c r="FZ16" s="117"/>
      <c r="GA16" s="117"/>
      <c r="GB16" s="117"/>
      <c r="GC16" s="117"/>
      <c r="GD16" s="117"/>
      <c r="GE16" s="117"/>
      <c r="GF16" s="117"/>
      <c r="GG16" s="115"/>
      <c r="GH16" s="115"/>
      <c r="GI16" s="115"/>
      <c r="GJ16" s="115"/>
      <c r="GK16" s="115"/>
      <c r="GL16" s="115"/>
      <c r="GM16" s="115"/>
      <c r="GN16" s="115"/>
      <c r="GO16" s="115"/>
      <c r="GP16" s="115"/>
      <c r="GQ16" s="115"/>
      <c r="GR16" s="115"/>
      <c r="GS16" s="115"/>
      <c r="GT16" s="115"/>
      <c r="GU16" s="115"/>
      <c r="GV16" s="115"/>
      <c r="GW16" s="115"/>
      <c r="GX16" s="115"/>
      <c r="GY16" s="115"/>
      <c r="GZ16" s="115"/>
      <c r="HA16" s="115"/>
      <c r="HB16" s="115"/>
      <c r="HC16" s="115"/>
      <c r="HD16" s="115"/>
      <c r="HE16" s="115"/>
      <c r="HF16" s="115"/>
      <c r="HG16" s="115"/>
      <c r="HH16" s="115"/>
      <c r="HI16" s="115"/>
      <c r="HJ16" s="115"/>
      <c r="HK16" s="115"/>
      <c r="HL16" s="115"/>
      <c r="HM16" s="115"/>
      <c r="HN16" s="115"/>
      <c r="HO16" s="115"/>
      <c r="HP16" s="115"/>
      <c r="HQ16" s="115"/>
      <c r="HR16" s="115"/>
      <c r="HS16" s="115"/>
      <c r="HT16" s="115"/>
      <c r="HU16" s="115"/>
      <c r="HV16" s="115"/>
      <c r="HW16" s="115"/>
      <c r="HX16" s="115"/>
      <c r="HY16" s="115"/>
      <c r="HZ16" s="117"/>
      <c r="IA16" s="117"/>
      <c r="IB16" s="117"/>
      <c r="IC16" s="117"/>
      <c r="ID16" s="117"/>
      <c r="IE16" s="117"/>
      <c r="IF16" s="117"/>
      <c r="IG16" s="117"/>
      <c r="IH16" s="117"/>
      <c r="II16" s="117"/>
      <c r="IJ16" s="117"/>
      <c r="IK16" s="117"/>
      <c r="IL16" s="117"/>
      <c r="IM16" s="117"/>
      <c r="IN16" s="117"/>
      <c r="IO16" s="117"/>
      <c r="IP16" s="117"/>
      <c r="IQ16" s="117"/>
      <c r="IR16" s="117"/>
      <c r="IS16" s="117"/>
      <c r="IT16" s="117"/>
      <c r="IU16" s="117"/>
      <c r="IV16" s="117"/>
      <c r="IW16" s="117"/>
      <c r="IX16" s="117"/>
      <c r="IY16" s="117"/>
      <c r="IZ16" s="117"/>
      <c r="JA16" s="117"/>
      <c r="JB16" s="117"/>
      <c r="JC16" s="117"/>
      <c r="JD16" s="117"/>
      <c r="JE16" s="117"/>
      <c r="JF16" s="117"/>
      <c r="JG16" s="117"/>
      <c r="JH16" s="117"/>
      <c r="JI16" s="117"/>
      <c r="JJ16" s="117"/>
      <c r="JK16" s="117"/>
      <c r="JL16" s="117"/>
      <c r="JM16" s="117"/>
      <c r="JN16" s="117"/>
      <c r="JO16" s="117"/>
      <c r="JP16" s="117"/>
      <c r="JQ16" s="117"/>
      <c r="JR16" s="117"/>
      <c r="JS16" s="114"/>
      <c r="JT16" s="114"/>
      <c r="JU16" s="114"/>
      <c r="JV16" s="114"/>
      <c r="JW16" s="114"/>
      <c r="JX16" s="114"/>
      <c r="JY16" s="114"/>
      <c r="JZ16" s="114"/>
      <c r="KA16" s="114"/>
      <c r="KB16" s="114"/>
      <c r="KC16" s="114"/>
      <c r="KD16" s="114"/>
      <c r="KE16" s="114"/>
      <c r="KF16" s="114"/>
      <c r="KG16" s="114"/>
      <c r="KH16" s="114"/>
      <c r="KI16" s="114"/>
      <c r="KJ16" s="114"/>
      <c r="KK16" s="114"/>
      <c r="KL16" s="114"/>
      <c r="KM16" s="114"/>
      <c r="KN16" s="114"/>
      <c r="KO16" s="114"/>
      <c r="KP16" s="114"/>
      <c r="KQ16" s="114"/>
      <c r="KR16" s="114"/>
      <c r="KS16" s="114"/>
      <c r="KT16" s="114"/>
      <c r="KU16" s="114"/>
      <c r="KV16" s="114"/>
      <c r="KW16" s="114"/>
      <c r="KX16" s="114"/>
      <c r="KY16" s="114"/>
      <c r="KZ16" s="114"/>
      <c r="LA16" s="114"/>
      <c r="LB16" s="114"/>
      <c r="LC16" s="114"/>
      <c r="LD16" s="114"/>
      <c r="LE16" s="114"/>
      <c r="LF16" s="114"/>
      <c r="LG16" s="114"/>
      <c r="LH16" s="114"/>
      <c r="LI16" s="114"/>
      <c r="LJ16" s="114"/>
      <c r="LK16" s="114"/>
    </row>
    <row r="17" spans="1:323" ht="18" x14ac:dyDescent="0.25">
      <c r="A17" s="127"/>
      <c r="B17" s="133"/>
      <c r="C17" s="134"/>
      <c r="D17" s="132"/>
      <c r="E17" s="127">
        <v>2</v>
      </c>
      <c r="F17" s="126" t="s">
        <v>72</v>
      </c>
      <c r="G17" s="20" t="s">
        <v>56</v>
      </c>
      <c r="H17" s="21" t="s">
        <v>2</v>
      </c>
      <c r="I17" s="78" t="s">
        <v>269</v>
      </c>
      <c r="J17" s="78" t="s">
        <v>269</v>
      </c>
      <c r="K17" s="78" t="s">
        <v>269</v>
      </c>
      <c r="L17" s="78" t="s">
        <v>269</v>
      </c>
      <c r="M17" s="78" t="s">
        <v>269</v>
      </c>
      <c r="N17" s="78" t="s">
        <v>269</v>
      </c>
      <c r="O17" s="78" t="s">
        <v>269</v>
      </c>
      <c r="P17" s="78" t="s">
        <v>269</v>
      </c>
      <c r="Q17" s="78" t="s">
        <v>269</v>
      </c>
      <c r="R17" s="78" t="s">
        <v>269</v>
      </c>
      <c r="S17" s="78" t="s">
        <v>269</v>
      </c>
      <c r="T17" s="78" t="s">
        <v>269</v>
      </c>
      <c r="U17" s="78" t="s">
        <v>269</v>
      </c>
      <c r="V17" s="78" t="s">
        <v>269</v>
      </c>
      <c r="W17" s="78" t="s">
        <v>269</v>
      </c>
      <c r="X17" s="78" t="s">
        <v>269</v>
      </c>
      <c r="Y17" s="78" t="s">
        <v>269</v>
      </c>
      <c r="Z17" s="78" t="s">
        <v>269</v>
      </c>
      <c r="AA17" s="78" t="s">
        <v>269</v>
      </c>
      <c r="AB17" s="78" t="s">
        <v>269</v>
      </c>
      <c r="AC17" s="78" t="s">
        <v>269</v>
      </c>
      <c r="AD17" s="78" t="s">
        <v>269</v>
      </c>
      <c r="AE17" s="78" t="s">
        <v>269</v>
      </c>
      <c r="AF17" s="78" t="s">
        <v>269</v>
      </c>
      <c r="AG17" s="78" t="s">
        <v>269</v>
      </c>
      <c r="AH17" s="78" t="s">
        <v>269</v>
      </c>
      <c r="AI17" s="78" t="s">
        <v>269</v>
      </c>
      <c r="AJ17" s="78" t="s">
        <v>269</v>
      </c>
      <c r="AK17" s="78" t="s">
        <v>269</v>
      </c>
      <c r="AL17" s="78" t="s">
        <v>269</v>
      </c>
      <c r="AM17" s="78" t="s">
        <v>269</v>
      </c>
      <c r="AN17" s="78" t="s">
        <v>269</v>
      </c>
      <c r="AO17" s="78" t="s">
        <v>269</v>
      </c>
      <c r="AP17" s="78" t="s">
        <v>269</v>
      </c>
      <c r="AQ17" s="78" t="s">
        <v>269</v>
      </c>
      <c r="AR17" s="78" t="s">
        <v>269</v>
      </c>
      <c r="AS17" s="78" t="s">
        <v>269</v>
      </c>
      <c r="AT17" s="78" t="s">
        <v>269</v>
      </c>
      <c r="AU17" s="78" t="s">
        <v>269</v>
      </c>
      <c r="AV17" s="78" t="s">
        <v>269</v>
      </c>
      <c r="AW17" s="78"/>
      <c r="AX17" s="78"/>
      <c r="AY17" s="78"/>
      <c r="AZ17" s="78"/>
      <c r="BA17" s="78"/>
      <c r="BB17" s="122">
        <f t="shared" ref="BB17:CO17" si="30">IF(AND(I17="",I18=""),"",COUNTIF(I17:I18,"v"))</f>
        <v>2</v>
      </c>
      <c r="BC17" s="122">
        <f t="shared" si="30"/>
        <v>2</v>
      </c>
      <c r="BD17" s="122">
        <f t="shared" si="30"/>
        <v>2</v>
      </c>
      <c r="BE17" s="122">
        <f t="shared" si="30"/>
        <v>2</v>
      </c>
      <c r="BF17" s="122">
        <f t="shared" si="30"/>
        <v>2</v>
      </c>
      <c r="BG17" s="122">
        <f t="shared" si="30"/>
        <v>2</v>
      </c>
      <c r="BH17" s="122">
        <f t="shared" si="30"/>
        <v>2</v>
      </c>
      <c r="BI17" s="122">
        <f t="shared" si="30"/>
        <v>2</v>
      </c>
      <c r="BJ17" s="122">
        <f t="shared" si="30"/>
        <v>2</v>
      </c>
      <c r="BK17" s="122">
        <f t="shared" si="30"/>
        <v>2</v>
      </c>
      <c r="BL17" s="122">
        <f t="shared" si="30"/>
        <v>2</v>
      </c>
      <c r="BM17" s="122">
        <f t="shared" si="30"/>
        <v>2</v>
      </c>
      <c r="BN17" s="122">
        <f t="shared" si="30"/>
        <v>2</v>
      </c>
      <c r="BO17" s="122">
        <f t="shared" si="30"/>
        <v>2</v>
      </c>
      <c r="BP17" s="122">
        <f t="shared" si="30"/>
        <v>2</v>
      </c>
      <c r="BQ17" s="122">
        <f t="shared" si="30"/>
        <v>2</v>
      </c>
      <c r="BR17" s="122">
        <f t="shared" si="30"/>
        <v>2</v>
      </c>
      <c r="BS17" s="122">
        <f t="shared" si="30"/>
        <v>2</v>
      </c>
      <c r="BT17" s="122">
        <f t="shared" si="30"/>
        <v>2</v>
      </c>
      <c r="BU17" s="122">
        <f t="shared" si="30"/>
        <v>2</v>
      </c>
      <c r="BV17" s="122">
        <f t="shared" si="30"/>
        <v>2</v>
      </c>
      <c r="BW17" s="122">
        <f t="shared" si="30"/>
        <v>2</v>
      </c>
      <c r="BX17" s="122">
        <f t="shared" si="30"/>
        <v>2</v>
      </c>
      <c r="BY17" s="122">
        <f t="shared" si="30"/>
        <v>2</v>
      </c>
      <c r="BZ17" s="122">
        <f t="shared" si="30"/>
        <v>2</v>
      </c>
      <c r="CA17" s="122">
        <f t="shared" si="30"/>
        <v>2</v>
      </c>
      <c r="CB17" s="122">
        <f t="shared" si="30"/>
        <v>2</v>
      </c>
      <c r="CC17" s="122">
        <f t="shared" si="30"/>
        <v>2</v>
      </c>
      <c r="CD17" s="122">
        <f t="shared" si="30"/>
        <v>2</v>
      </c>
      <c r="CE17" s="122">
        <f t="shared" si="30"/>
        <v>2</v>
      </c>
      <c r="CF17" s="122">
        <f t="shared" si="30"/>
        <v>2</v>
      </c>
      <c r="CG17" s="122">
        <f t="shared" si="30"/>
        <v>2</v>
      </c>
      <c r="CH17" s="122">
        <f t="shared" si="30"/>
        <v>2</v>
      </c>
      <c r="CI17" s="122">
        <f t="shared" si="30"/>
        <v>2</v>
      </c>
      <c r="CJ17" s="122">
        <f t="shared" si="30"/>
        <v>2</v>
      </c>
      <c r="CK17" s="122">
        <f t="shared" si="30"/>
        <v>2</v>
      </c>
      <c r="CL17" s="122">
        <f t="shared" si="30"/>
        <v>2</v>
      </c>
      <c r="CM17" s="122">
        <f t="shared" si="30"/>
        <v>2</v>
      </c>
      <c r="CN17" s="122">
        <f t="shared" si="30"/>
        <v>2</v>
      </c>
      <c r="CO17" s="122">
        <f t="shared" si="30"/>
        <v>2</v>
      </c>
      <c r="CP17" s="122" t="str">
        <f t="shared" ref="CP17:CT17" si="31">IF(AND(AW17="",AW18=""),"",COUNTIF(AW17:AW18,"v"))</f>
        <v/>
      </c>
      <c r="CQ17" s="122" t="str">
        <f t="shared" si="31"/>
        <v/>
      </c>
      <c r="CR17" s="122" t="str">
        <f t="shared" si="31"/>
        <v/>
      </c>
      <c r="CS17" s="122" t="str">
        <f t="shared" si="31"/>
        <v/>
      </c>
      <c r="CT17" s="122" t="str">
        <f t="shared" si="31"/>
        <v/>
      </c>
      <c r="CU17" s="121" t="str">
        <f t="shared" ref="CU17" si="32">IF(BB17="","",IF(BB17=0,"Ditolak",IF(BB17=1,"Diperbaiki","Digunakan")))</f>
        <v>Digunakan</v>
      </c>
      <c r="CV17" s="121" t="str">
        <f t="shared" ref="CV17:EH17" si="33">IF(BC17="","",IF(BC17=0,"Ditolak",IF(AND(BC17&gt;=1,BC17&lt;2),"Diperbaiki","Digunakan")))</f>
        <v>Digunakan</v>
      </c>
      <c r="CW17" s="121" t="str">
        <f t="shared" si="33"/>
        <v>Digunakan</v>
      </c>
      <c r="CX17" s="121" t="str">
        <f t="shared" si="33"/>
        <v>Digunakan</v>
      </c>
      <c r="CY17" s="121" t="str">
        <f t="shared" si="33"/>
        <v>Digunakan</v>
      </c>
      <c r="CZ17" s="121" t="str">
        <f t="shared" si="33"/>
        <v>Digunakan</v>
      </c>
      <c r="DA17" s="121" t="str">
        <f t="shared" si="33"/>
        <v>Digunakan</v>
      </c>
      <c r="DB17" s="121" t="str">
        <f t="shared" si="33"/>
        <v>Digunakan</v>
      </c>
      <c r="DC17" s="121" t="str">
        <f t="shared" si="33"/>
        <v>Digunakan</v>
      </c>
      <c r="DD17" s="121" t="str">
        <f t="shared" si="33"/>
        <v>Digunakan</v>
      </c>
      <c r="DE17" s="121" t="str">
        <f t="shared" si="33"/>
        <v>Digunakan</v>
      </c>
      <c r="DF17" s="121" t="str">
        <f t="shared" si="33"/>
        <v>Digunakan</v>
      </c>
      <c r="DG17" s="121" t="str">
        <f t="shared" si="33"/>
        <v>Digunakan</v>
      </c>
      <c r="DH17" s="121" t="str">
        <f t="shared" si="33"/>
        <v>Digunakan</v>
      </c>
      <c r="DI17" s="121" t="str">
        <f t="shared" si="33"/>
        <v>Digunakan</v>
      </c>
      <c r="DJ17" s="121" t="str">
        <f t="shared" si="33"/>
        <v>Digunakan</v>
      </c>
      <c r="DK17" s="121" t="str">
        <f t="shared" si="33"/>
        <v>Digunakan</v>
      </c>
      <c r="DL17" s="121" t="str">
        <f t="shared" si="33"/>
        <v>Digunakan</v>
      </c>
      <c r="DM17" s="121" t="str">
        <f t="shared" si="33"/>
        <v>Digunakan</v>
      </c>
      <c r="DN17" s="121" t="str">
        <f t="shared" si="33"/>
        <v>Digunakan</v>
      </c>
      <c r="DO17" s="121" t="str">
        <f t="shared" si="33"/>
        <v>Digunakan</v>
      </c>
      <c r="DP17" s="121" t="str">
        <f t="shared" si="33"/>
        <v>Digunakan</v>
      </c>
      <c r="DQ17" s="121" t="str">
        <f t="shared" si="33"/>
        <v>Digunakan</v>
      </c>
      <c r="DR17" s="121" t="str">
        <f t="shared" si="33"/>
        <v>Digunakan</v>
      </c>
      <c r="DS17" s="121" t="str">
        <f t="shared" si="33"/>
        <v>Digunakan</v>
      </c>
      <c r="DT17" s="121" t="str">
        <f t="shared" si="33"/>
        <v>Digunakan</v>
      </c>
      <c r="DU17" s="121" t="str">
        <f t="shared" si="33"/>
        <v>Digunakan</v>
      </c>
      <c r="DV17" s="121" t="str">
        <f t="shared" si="33"/>
        <v>Digunakan</v>
      </c>
      <c r="DW17" s="121" t="str">
        <f t="shared" si="33"/>
        <v>Digunakan</v>
      </c>
      <c r="DX17" s="121" t="str">
        <f t="shared" si="33"/>
        <v>Digunakan</v>
      </c>
      <c r="DY17" s="121" t="str">
        <f t="shared" si="33"/>
        <v>Digunakan</v>
      </c>
      <c r="DZ17" s="121" t="str">
        <f t="shared" si="33"/>
        <v>Digunakan</v>
      </c>
      <c r="EA17" s="121" t="str">
        <f t="shared" si="33"/>
        <v>Digunakan</v>
      </c>
      <c r="EB17" s="121" t="str">
        <f t="shared" si="33"/>
        <v>Digunakan</v>
      </c>
      <c r="EC17" s="121" t="str">
        <f t="shared" si="33"/>
        <v>Digunakan</v>
      </c>
      <c r="ED17" s="121" t="str">
        <f t="shared" si="33"/>
        <v>Digunakan</v>
      </c>
      <c r="EE17" s="121" t="str">
        <f t="shared" si="33"/>
        <v>Digunakan</v>
      </c>
      <c r="EF17" s="121" t="str">
        <f t="shared" si="33"/>
        <v>Digunakan</v>
      </c>
      <c r="EG17" s="121" t="str">
        <f t="shared" si="33"/>
        <v>Digunakan</v>
      </c>
      <c r="EH17" s="121" t="str">
        <f t="shared" si="33"/>
        <v>Digunakan</v>
      </c>
      <c r="EI17" s="121" t="str">
        <f t="shared" ref="EI17:EM17" si="34">IF(CP17="","",IF(CP17=0,"Ditolak",IF(AND(CP17&gt;=1,CP17&lt;2),"Diperbaiki","Digunakan")))</f>
        <v/>
      </c>
      <c r="EJ17" s="121" t="str">
        <f t="shared" si="34"/>
        <v/>
      </c>
      <c r="EK17" s="121" t="str">
        <f t="shared" si="34"/>
        <v/>
      </c>
      <c r="EL17" s="121" t="str">
        <f t="shared" si="34"/>
        <v/>
      </c>
      <c r="EM17" s="121" t="str">
        <f t="shared" si="34"/>
        <v/>
      </c>
      <c r="EN17" s="117"/>
      <c r="EO17" s="117"/>
      <c r="EP17" s="117"/>
      <c r="EQ17" s="117"/>
      <c r="ER17" s="117"/>
      <c r="ES17" s="117"/>
      <c r="ET17" s="117"/>
      <c r="EU17" s="117"/>
      <c r="EV17" s="117"/>
      <c r="EW17" s="117"/>
      <c r="EX17" s="117"/>
      <c r="EY17" s="117"/>
      <c r="EZ17" s="117"/>
      <c r="FA17" s="117"/>
      <c r="FB17" s="117"/>
      <c r="FC17" s="117"/>
      <c r="FD17" s="117"/>
      <c r="FE17" s="117"/>
      <c r="FF17" s="117"/>
      <c r="FG17" s="117"/>
      <c r="FH17" s="117"/>
      <c r="FI17" s="117"/>
      <c r="FJ17" s="117"/>
      <c r="FK17" s="117"/>
      <c r="FL17" s="117"/>
      <c r="FM17" s="117"/>
      <c r="FN17" s="117"/>
      <c r="FO17" s="117"/>
      <c r="FP17" s="117"/>
      <c r="FQ17" s="117"/>
      <c r="FR17" s="117"/>
      <c r="FS17" s="117"/>
      <c r="FT17" s="117"/>
      <c r="FU17" s="117"/>
      <c r="FV17" s="117"/>
      <c r="FW17" s="117"/>
      <c r="FX17" s="117"/>
      <c r="FY17" s="117"/>
      <c r="FZ17" s="117"/>
      <c r="GA17" s="117"/>
      <c r="GB17" s="117"/>
      <c r="GC17" s="117"/>
      <c r="GD17" s="117"/>
      <c r="GE17" s="117"/>
      <c r="GF17" s="117"/>
      <c r="GG17" s="115"/>
      <c r="GH17" s="115"/>
      <c r="GI17" s="115"/>
      <c r="GJ17" s="115"/>
      <c r="GK17" s="115"/>
      <c r="GL17" s="115"/>
      <c r="GM17" s="115"/>
      <c r="GN17" s="115"/>
      <c r="GO17" s="115"/>
      <c r="GP17" s="115"/>
      <c r="GQ17" s="115"/>
      <c r="GR17" s="115"/>
      <c r="GS17" s="115"/>
      <c r="GT17" s="115"/>
      <c r="GU17" s="115"/>
      <c r="GV17" s="115"/>
      <c r="GW17" s="115"/>
      <c r="GX17" s="115"/>
      <c r="GY17" s="115"/>
      <c r="GZ17" s="115"/>
      <c r="HA17" s="115"/>
      <c r="HB17" s="115"/>
      <c r="HC17" s="115"/>
      <c r="HD17" s="115"/>
      <c r="HE17" s="115"/>
      <c r="HF17" s="115"/>
      <c r="HG17" s="115"/>
      <c r="HH17" s="115"/>
      <c r="HI17" s="115"/>
      <c r="HJ17" s="115"/>
      <c r="HK17" s="115"/>
      <c r="HL17" s="115"/>
      <c r="HM17" s="115"/>
      <c r="HN17" s="115"/>
      <c r="HO17" s="115"/>
      <c r="HP17" s="115"/>
      <c r="HQ17" s="115"/>
      <c r="HR17" s="115"/>
      <c r="HS17" s="115"/>
      <c r="HT17" s="115"/>
      <c r="HU17" s="115"/>
      <c r="HV17" s="115"/>
      <c r="HW17" s="115"/>
      <c r="HX17" s="115"/>
      <c r="HY17" s="115"/>
      <c r="HZ17" s="117"/>
      <c r="IA17" s="117"/>
      <c r="IB17" s="117"/>
      <c r="IC17" s="117"/>
      <c r="ID17" s="117"/>
      <c r="IE17" s="117"/>
      <c r="IF17" s="117"/>
      <c r="IG17" s="117"/>
      <c r="IH17" s="117"/>
      <c r="II17" s="117"/>
      <c r="IJ17" s="117"/>
      <c r="IK17" s="117"/>
      <c r="IL17" s="117"/>
      <c r="IM17" s="117"/>
      <c r="IN17" s="117"/>
      <c r="IO17" s="117"/>
      <c r="IP17" s="117"/>
      <c r="IQ17" s="117"/>
      <c r="IR17" s="117"/>
      <c r="IS17" s="117"/>
      <c r="IT17" s="117"/>
      <c r="IU17" s="117"/>
      <c r="IV17" s="117"/>
      <c r="IW17" s="117"/>
      <c r="IX17" s="117"/>
      <c r="IY17" s="117"/>
      <c r="IZ17" s="117"/>
      <c r="JA17" s="117"/>
      <c r="JB17" s="117"/>
      <c r="JC17" s="117"/>
      <c r="JD17" s="117"/>
      <c r="JE17" s="117"/>
      <c r="JF17" s="117"/>
      <c r="JG17" s="117"/>
      <c r="JH17" s="117"/>
      <c r="JI17" s="117"/>
      <c r="JJ17" s="117"/>
      <c r="JK17" s="117"/>
      <c r="JL17" s="117"/>
      <c r="JM17" s="117"/>
      <c r="JN17" s="117"/>
      <c r="JO17" s="117"/>
      <c r="JP17" s="117"/>
      <c r="JQ17" s="117"/>
      <c r="JR17" s="117"/>
      <c r="JS17" s="114"/>
      <c r="JT17" s="114"/>
      <c r="JU17" s="114"/>
      <c r="JV17" s="114"/>
      <c r="JW17" s="114"/>
      <c r="JX17" s="114"/>
      <c r="JY17" s="114"/>
      <c r="JZ17" s="114"/>
      <c r="KA17" s="114"/>
      <c r="KB17" s="114"/>
      <c r="KC17" s="114"/>
      <c r="KD17" s="114"/>
      <c r="KE17" s="114"/>
      <c r="KF17" s="114"/>
      <c r="KG17" s="114"/>
      <c r="KH17" s="114"/>
      <c r="KI17" s="114"/>
      <c r="KJ17" s="114"/>
      <c r="KK17" s="114"/>
      <c r="KL17" s="114"/>
      <c r="KM17" s="114"/>
      <c r="KN17" s="114"/>
      <c r="KO17" s="114"/>
      <c r="KP17" s="114"/>
      <c r="KQ17" s="114"/>
      <c r="KR17" s="114"/>
      <c r="KS17" s="114"/>
      <c r="KT17" s="114"/>
      <c r="KU17" s="114"/>
      <c r="KV17" s="114"/>
      <c r="KW17" s="114"/>
      <c r="KX17" s="114"/>
      <c r="KY17" s="114"/>
      <c r="KZ17" s="114"/>
      <c r="LA17" s="114"/>
      <c r="LB17" s="114"/>
      <c r="LC17" s="114"/>
      <c r="LD17" s="114"/>
      <c r="LE17" s="114"/>
      <c r="LF17" s="114"/>
      <c r="LG17" s="114"/>
      <c r="LH17" s="114"/>
      <c r="LI17" s="114"/>
      <c r="LJ17" s="114"/>
      <c r="LK17" s="114"/>
    </row>
    <row r="18" spans="1:323" ht="18" x14ac:dyDescent="0.25">
      <c r="A18" s="127"/>
      <c r="B18" s="133"/>
      <c r="C18" s="134"/>
      <c r="D18" s="132"/>
      <c r="E18" s="127"/>
      <c r="F18" s="126"/>
      <c r="G18" s="20" t="s">
        <v>56</v>
      </c>
      <c r="H18" s="21" t="s">
        <v>74</v>
      </c>
      <c r="I18" s="78" t="s">
        <v>269</v>
      </c>
      <c r="J18" s="78" t="s">
        <v>269</v>
      </c>
      <c r="K18" s="78" t="s">
        <v>269</v>
      </c>
      <c r="L18" s="78" t="s">
        <v>269</v>
      </c>
      <c r="M18" s="78" t="s">
        <v>269</v>
      </c>
      <c r="N18" s="78" t="s">
        <v>269</v>
      </c>
      <c r="O18" s="78" t="s">
        <v>269</v>
      </c>
      <c r="P18" s="78" t="s">
        <v>269</v>
      </c>
      <c r="Q18" s="78" t="s">
        <v>269</v>
      </c>
      <c r="R18" s="78" t="s">
        <v>269</v>
      </c>
      <c r="S18" s="78" t="s">
        <v>269</v>
      </c>
      <c r="T18" s="78" t="s">
        <v>269</v>
      </c>
      <c r="U18" s="78" t="s">
        <v>269</v>
      </c>
      <c r="V18" s="78" t="s">
        <v>269</v>
      </c>
      <c r="W18" s="78" t="s">
        <v>269</v>
      </c>
      <c r="X18" s="78" t="s">
        <v>269</v>
      </c>
      <c r="Y18" s="78" t="s">
        <v>269</v>
      </c>
      <c r="Z18" s="78" t="s">
        <v>269</v>
      </c>
      <c r="AA18" s="78" t="s">
        <v>269</v>
      </c>
      <c r="AB18" s="78" t="s">
        <v>269</v>
      </c>
      <c r="AC18" s="78" t="s">
        <v>269</v>
      </c>
      <c r="AD18" s="78" t="s">
        <v>269</v>
      </c>
      <c r="AE18" s="78" t="s">
        <v>269</v>
      </c>
      <c r="AF18" s="78" t="s">
        <v>269</v>
      </c>
      <c r="AG18" s="78" t="s">
        <v>269</v>
      </c>
      <c r="AH18" s="78" t="s">
        <v>269</v>
      </c>
      <c r="AI18" s="78" t="s">
        <v>269</v>
      </c>
      <c r="AJ18" s="78" t="s">
        <v>269</v>
      </c>
      <c r="AK18" s="78" t="s">
        <v>269</v>
      </c>
      <c r="AL18" s="78" t="s">
        <v>269</v>
      </c>
      <c r="AM18" s="78" t="s">
        <v>269</v>
      </c>
      <c r="AN18" s="78" t="s">
        <v>269</v>
      </c>
      <c r="AO18" s="78" t="s">
        <v>269</v>
      </c>
      <c r="AP18" s="78" t="s">
        <v>269</v>
      </c>
      <c r="AQ18" s="78" t="s">
        <v>269</v>
      </c>
      <c r="AR18" s="78" t="s">
        <v>269</v>
      </c>
      <c r="AS18" s="78" t="s">
        <v>269</v>
      </c>
      <c r="AT18" s="78" t="s">
        <v>269</v>
      </c>
      <c r="AU18" s="78" t="s">
        <v>269</v>
      </c>
      <c r="AV18" s="78" t="s">
        <v>269</v>
      </c>
      <c r="AW18" s="78"/>
      <c r="AX18" s="78"/>
      <c r="AY18" s="78"/>
      <c r="AZ18" s="78"/>
      <c r="BA18" s="78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  <c r="DK18" s="121"/>
      <c r="DL18" s="121"/>
      <c r="DM18" s="121"/>
      <c r="DN18" s="121"/>
      <c r="DO18" s="121"/>
      <c r="DP18" s="121"/>
      <c r="DQ18" s="121"/>
      <c r="DR18" s="121"/>
      <c r="DS18" s="121"/>
      <c r="DT18" s="121"/>
      <c r="DU18" s="121"/>
      <c r="DV18" s="121"/>
      <c r="DW18" s="121"/>
      <c r="DX18" s="121"/>
      <c r="DY18" s="121"/>
      <c r="DZ18" s="121"/>
      <c r="EA18" s="121"/>
      <c r="EB18" s="121"/>
      <c r="EC18" s="121"/>
      <c r="ED18" s="121"/>
      <c r="EE18" s="121"/>
      <c r="EF18" s="121"/>
      <c r="EG18" s="121"/>
      <c r="EH18" s="121"/>
      <c r="EI18" s="121"/>
      <c r="EJ18" s="121"/>
      <c r="EK18" s="121"/>
      <c r="EL18" s="121"/>
      <c r="EM18" s="121"/>
      <c r="EN18" s="117"/>
      <c r="EO18" s="117"/>
      <c r="EP18" s="117"/>
      <c r="EQ18" s="117"/>
      <c r="ER18" s="117"/>
      <c r="ES18" s="117"/>
      <c r="ET18" s="117"/>
      <c r="EU18" s="117"/>
      <c r="EV18" s="117"/>
      <c r="EW18" s="117"/>
      <c r="EX18" s="117"/>
      <c r="EY18" s="117"/>
      <c r="EZ18" s="117"/>
      <c r="FA18" s="117"/>
      <c r="FB18" s="117"/>
      <c r="FC18" s="117"/>
      <c r="FD18" s="117"/>
      <c r="FE18" s="117"/>
      <c r="FF18" s="117"/>
      <c r="FG18" s="117"/>
      <c r="FH18" s="117"/>
      <c r="FI18" s="117"/>
      <c r="FJ18" s="117"/>
      <c r="FK18" s="117"/>
      <c r="FL18" s="117"/>
      <c r="FM18" s="117"/>
      <c r="FN18" s="117"/>
      <c r="FO18" s="117"/>
      <c r="FP18" s="117"/>
      <c r="FQ18" s="117"/>
      <c r="FR18" s="117"/>
      <c r="FS18" s="117"/>
      <c r="FT18" s="117"/>
      <c r="FU18" s="117"/>
      <c r="FV18" s="117"/>
      <c r="FW18" s="117"/>
      <c r="FX18" s="117"/>
      <c r="FY18" s="117"/>
      <c r="FZ18" s="117"/>
      <c r="GA18" s="117"/>
      <c r="GB18" s="117"/>
      <c r="GC18" s="117"/>
      <c r="GD18" s="117"/>
      <c r="GE18" s="117"/>
      <c r="GF18" s="117"/>
      <c r="GG18" s="115"/>
      <c r="GH18" s="115"/>
      <c r="GI18" s="115"/>
      <c r="GJ18" s="115"/>
      <c r="GK18" s="115"/>
      <c r="GL18" s="115"/>
      <c r="GM18" s="115"/>
      <c r="GN18" s="115"/>
      <c r="GO18" s="115"/>
      <c r="GP18" s="115"/>
      <c r="GQ18" s="115"/>
      <c r="GR18" s="115"/>
      <c r="GS18" s="115"/>
      <c r="GT18" s="115"/>
      <c r="GU18" s="115"/>
      <c r="GV18" s="115"/>
      <c r="GW18" s="115"/>
      <c r="GX18" s="115"/>
      <c r="GY18" s="115"/>
      <c r="GZ18" s="115"/>
      <c r="HA18" s="115"/>
      <c r="HB18" s="115"/>
      <c r="HC18" s="115"/>
      <c r="HD18" s="115"/>
      <c r="HE18" s="115"/>
      <c r="HF18" s="115"/>
      <c r="HG18" s="115"/>
      <c r="HH18" s="115"/>
      <c r="HI18" s="115"/>
      <c r="HJ18" s="115"/>
      <c r="HK18" s="115"/>
      <c r="HL18" s="115"/>
      <c r="HM18" s="115"/>
      <c r="HN18" s="115"/>
      <c r="HO18" s="115"/>
      <c r="HP18" s="115"/>
      <c r="HQ18" s="115"/>
      <c r="HR18" s="115"/>
      <c r="HS18" s="115"/>
      <c r="HT18" s="115"/>
      <c r="HU18" s="115"/>
      <c r="HV18" s="115"/>
      <c r="HW18" s="115"/>
      <c r="HX18" s="115"/>
      <c r="HY18" s="115"/>
      <c r="HZ18" s="117"/>
      <c r="IA18" s="117"/>
      <c r="IB18" s="117"/>
      <c r="IC18" s="117"/>
      <c r="ID18" s="117"/>
      <c r="IE18" s="117"/>
      <c r="IF18" s="117"/>
      <c r="IG18" s="117"/>
      <c r="IH18" s="117"/>
      <c r="II18" s="117"/>
      <c r="IJ18" s="117"/>
      <c r="IK18" s="117"/>
      <c r="IL18" s="117"/>
      <c r="IM18" s="117"/>
      <c r="IN18" s="117"/>
      <c r="IO18" s="117"/>
      <c r="IP18" s="117"/>
      <c r="IQ18" s="117"/>
      <c r="IR18" s="117"/>
      <c r="IS18" s="117"/>
      <c r="IT18" s="117"/>
      <c r="IU18" s="117"/>
      <c r="IV18" s="117"/>
      <c r="IW18" s="117"/>
      <c r="IX18" s="117"/>
      <c r="IY18" s="117"/>
      <c r="IZ18" s="117"/>
      <c r="JA18" s="117"/>
      <c r="JB18" s="117"/>
      <c r="JC18" s="117"/>
      <c r="JD18" s="117"/>
      <c r="JE18" s="117"/>
      <c r="JF18" s="117"/>
      <c r="JG18" s="117"/>
      <c r="JH18" s="117"/>
      <c r="JI18" s="117"/>
      <c r="JJ18" s="117"/>
      <c r="JK18" s="117"/>
      <c r="JL18" s="117"/>
      <c r="JM18" s="117"/>
      <c r="JN18" s="117"/>
      <c r="JO18" s="117"/>
      <c r="JP18" s="117"/>
      <c r="JQ18" s="117"/>
      <c r="JR18" s="117"/>
      <c r="JS18" s="114"/>
      <c r="JT18" s="114"/>
      <c r="JU18" s="114"/>
      <c r="JV18" s="114"/>
      <c r="JW18" s="114"/>
      <c r="JX18" s="114"/>
      <c r="JY18" s="114"/>
      <c r="JZ18" s="114"/>
      <c r="KA18" s="114"/>
      <c r="KB18" s="114"/>
      <c r="KC18" s="114"/>
      <c r="KD18" s="114"/>
      <c r="KE18" s="114"/>
      <c r="KF18" s="114"/>
      <c r="KG18" s="114"/>
      <c r="KH18" s="114"/>
      <c r="KI18" s="114"/>
      <c r="KJ18" s="114"/>
      <c r="KK18" s="114"/>
      <c r="KL18" s="114"/>
      <c r="KM18" s="114"/>
      <c r="KN18" s="114"/>
      <c r="KO18" s="114"/>
      <c r="KP18" s="114"/>
      <c r="KQ18" s="114"/>
      <c r="KR18" s="114"/>
      <c r="KS18" s="114"/>
      <c r="KT18" s="114"/>
      <c r="KU18" s="114"/>
      <c r="KV18" s="114"/>
      <c r="KW18" s="114"/>
      <c r="KX18" s="114"/>
      <c r="KY18" s="114"/>
      <c r="KZ18" s="114"/>
      <c r="LA18" s="114"/>
      <c r="LB18" s="114"/>
      <c r="LC18" s="114"/>
      <c r="LD18" s="114"/>
      <c r="LE18" s="114"/>
      <c r="LF18" s="114"/>
      <c r="LG18" s="114"/>
      <c r="LH18" s="114"/>
      <c r="LI18" s="114"/>
      <c r="LJ18" s="114"/>
      <c r="LK18" s="114"/>
    </row>
    <row r="19" spans="1:323" ht="31.5" x14ac:dyDescent="0.25">
      <c r="A19" s="127"/>
      <c r="B19" s="133"/>
      <c r="C19" s="134"/>
      <c r="D19" s="132"/>
      <c r="E19" s="127">
        <v>3</v>
      </c>
      <c r="F19" s="126" t="s">
        <v>71</v>
      </c>
      <c r="G19" s="20" t="s">
        <v>56</v>
      </c>
      <c r="H19" s="23" t="s">
        <v>5</v>
      </c>
      <c r="I19" s="78" t="s">
        <v>269</v>
      </c>
      <c r="J19" s="78" t="s">
        <v>269</v>
      </c>
      <c r="K19" s="78" t="s">
        <v>269</v>
      </c>
      <c r="L19" s="78" t="s">
        <v>269</v>
      </c>
      <c r="M19" s="78" t="s">
        <v>269</v>
      </c>
      <c r="N19" s="78" t="s">
        <v>269</v>
      </c>
      <c r="O19" s="78" t="s">
        <v>269</v>
      </c>
      <c r="P19" s="78" t="s">
        <v>269</v>
      </c>
      <c r="Q19" s="78" t="s">
        <v>269</v>
      </c>
      <c r="R19" s="78" t="s">
        <v>269</v>
      </c>
      <c r="S19" s="78" t="s">
        <v>269</v>
      </c>
      <c r="T19" s="78" t="s">
        <v>269</v>
      </c>
      <c r="U19" s="78" t="s">
        <v>269</v>
      </c>
      <c r="V19" s="78" t="s">
        <v>269</v>
      </c>
      <c r="W19" s="78" t="s">
        <v>269</v>
      </c>
      <c r="X19" s="78" t="s">
        <v>269</v>
      </c>
      <c r="Y19" s="78" t="s">
        <v>269</v>
      </c>
      <c r="Z19" s="78" t="s">
        <v>269</v>
      </c>
      <c r="AA19" s="78" t="s">
        <v>269</v>
      </c>
      <c r="AB19" s="78" t="s">
        <v>269</v>
      </c>
      <c r="AC19" s="78" t="s">
        <v>269</v>
      </c>
      <c r="AD19" s="78" t="s">
        <v>269</v>
      </c>
      <c r="AE19" s="78" t="s">
        <v>269</v>
      </c>
      <c r="AF19" s="78" t="s">
        <v>269</v>
      </c>
      <c r="AG19" s="78" t="s">
        <v>269</v>
      </c>
      <c r="AH19" s="78" t="s">
        <v>269</v>
      </c>
      <c r="AI19" s="78" t="s">
        <v>269</v>
      </c>
      <c r="AJ19" s="78" t="s">
        <v>269</v>
      </c>
      <c r="AK19" s="78" t="s">
        <v>269</v>
      </c>
      <c r="AL19" s="78" t="s">
        <v>269</v>
      </c>
      <c r="AM19" s="78" t="s">
        <v>269</v>
      </c>
      <c r="AN19" s="78" t="s">
        <v>269</v>
      </c>
      <c r="AO19" s="78" t="s">
        <v>269</v>
      </c>
      <c r="AP19" s="78" t="s">
        <v>269</v>
      </c>
      <c r="AQ19" s="78" t="s">
        <v>269</v>
      </c>
      <c r="AR19" s="78" t="s">
        <v>269</v>
      </c>
      <c r="AS19" s="78" t="s">
        <v>269</v>
      </c>
      <c r="AT19" s="78" t="s">
        <v>269</v>
      </c>
      <c r="AU19" s="78" t="s">
        <v>269</v>
      </c>
      <c r="AV19" s="78" t="s">
        <v>269</v>
      </c>
      <c r="AW19" s="78"/>
      <c r="AX19" s="78"/>
      <c r="AY19" s="78"/>
      <c r="AZ19" s="78"/>
      <c r="BA19" s="78"/>
      <c r="BB19" s="122">
        <f t="shared" ref="BB19:CO19" si="35">IF(AND(I19="",I20=""),"",COUNTIF(I19:I20,"v"))</f>
        <v>2</v>
      </c>
      <c r="BC19" s="122">
        <f t="shared" si="35"/>
        <v>2</v>
      </c>
      <c r="BD19" s="122">
        <f t="shared" si="35"/>
        <v>2</v>
      </c>
      <c r="BE19" s="122">
        <f t="shared" si="35"/>
        <v>2</v>
      </c>
      <c r="BF19" s="122">
        <f t="shared" si="35"/>
        <v>2</v>
      </c>
      <c r="BG19" s="122">
        <f t="shared" si="35"/>
        <v>2</v>
      </c>
      <c r="BH19" s="122">
        <f t="shared" si="35"/>
        <v>2</v>
      </c>
      <c r="BI19" s="122">
        <f t="shared" si="35"/>
        <v>2</v>
      </c>
      <c r="BJ19" s="122">
        <f t="shared" si="35"/>
        <v>2</v>
      </c>
      <c r="BK19" s="122">
        <f t="shared" si="35"/>
        <v>2</v>
      </c>
      <c r="BL19" s="122">
        <f t="shared" si="35"/>
        <v>2</v>
      </c>
      <c r="BM19" s="122">
        <f t="shared" si="35"/>
        <v>2</v>
      </c>
      <c r="BN19" s="122">
        <f t="shared" si="35"/>
        <v>2</v>
      </c>
      <c r="BO19" s="122">
        <f t="shared" si="35"/>
        <v>2</v>
      </c>
      <c r="BP19" s="122">
        <f t="shared" si="35"/>
        <v>2</v>
      </c>
      <c r="BQ19" s="122">
        <f t="shared" si="35"/>
        <v>2</v>
      </c>
      <c r="BR19" s="122">
        <f t="shared" si="35"/>
        <v>2</v>
      </c>
      <c r="BS19" s="122">
        <f t="shared" si="35"/>
        <v>2</v>
      </c>
      <c r="BT19" s="122">
        <f t="shared" si="35"/>
        <v>2</v>
      </c>
      <c r="BU19" s="122">
        <f t="shared" si="35"/>
        <v>2</v>
      </c>
      <c r="BV19" s="122">
        <f t="shared" si="35"/>
        <v>2</v>
      </c>
      <c r="BW19" s="122">
        <f t="shared" si="35"/>
        <v>2</v>
      </c>
      <c r="BX19" s="122">
        <f t="shared" si="35"/>
        <v>2</v>
      </c>
      <c r="BY19" s="122">
        <f t="shared" si="35"/>
        <v>2</v>
      </c>
      <c r="BZ19" s="122">
        <f t="shared" si="35"/>
        <v>2</v>
      </c>
      <c r="CA19" s="122">
        <f t="shared" si="35"/>
        <v>2</v>
      </c>
      <c r="CB19" s="122">
        <f t="shared" si="35"/>
        <v>2</v>
      </c>
      <c r="CC19" s="122">
        <f t="shared" si="35"/>
        <v>2</v>
      </c>
      <c r="CD19" s="122">
        <f t="shared" si="35"/>
        <v>2</v>
      </c>
      <c r="CE19" s="122">
        <f t="shared" si="35"/>
        <v>2</v>
      </c>
      <c r="CF19" s="122">
        <f t="shared" si="35"/>
        <v>2</v>
      </c>
      <c r="CG19" s="122">
        <f t="shared" si="35"/>
        <v>2</v>
      </c>
      <c r="CH19" s="122">
        <f t="shared" si="35"/>
        <v>2</v>
      </c>
      <c r="CI19" s="122">
        <f t="shared" si="35"/>
        <v>2</v>
      </c>
      <c r="CJ19" s="122">
        <f t="shared" si="35"/>
        <v>2</v>
      </c>
      <c r="CK19" s="122">
        <f t="shared" si="35"/>
        <v>2</v>
      </c>
      <c r="CL19" s="122">
        <f t="shared" si="35"/>
        <v>2</v>
      </c>
      <c r="CM19" s="122">
        <f t="shared" si="35"/>
        <v>2</v>
      </c>
      <c r="CN19" s="122">
        <f t="shared" si="35"/>
        <v>2</v>
      </c>
      <c r="CO19" s="122">
        <f t="shared" si="35"/>
        <v>2</v>
      </c>
      <c r="CP19" s="122" t="str">
        <f t="shared" ref="CP19:CT19" si="36">IF(AND(AW19="",AW20=""),"",COUNTIF(AW19:AW20,"v"))</f>
        <v/>
      </c>
      <c r="CQ19" s="122" t="str">
        <f t="shared" si="36"/>
        <v/>
      </c>
      <c r="CR19" s="122" t="str">
        <f t="shared" si="36"/>
        <v/>
      </c>
      <c r="CS19" s="122" t="str">
        <f t="shared" si="36"/>
        <v/>
      </c>
      <c r="CT19" s="122" t="str">
        <f t="shared" si="36"/>
        <v/>
      </c>
      <c r="CU19" s="121" t="str">
        <f t="shared" ref="CU19" si="37">IF(BB19="","",IF(BB19=0,"Ditolak",IF(BB19=1,"Diperbaiki","Digunakan")))</f>
        <v>Digunakan</v>
      </c>
      <c r="CV19" s="121" t="str">
        <f t="shared" ref="CV19:EH19" si="38">IF(BC19="","",IF(BC19=0,"Ditolak",IF(AND(BC19&gt;=1,BC19&lt;2),"Diperbaiki","Digunakan")))</f>
        <v>Digunakan</v>
      </c>
      <c r="CW19" s="121" t="str">
        <f t="shared" si="38"/>
        <v>Digunakan</v>
      </c>
      <c r="CX19" s="121" t="str">
        <f t="shared" si="38"/>
        <v>Digunakan</v>
      </c>
      <c r="CY19" s="121" t="str">
        <f t="shared" si="38"/>
        <v>Digunakan</v>
      </c>
      <c r="CZ19" s="121" t="str">
        <f t="shared" si="38"/>
        <v>Digunakan</v>
      </c>
      <c r="DA19" s="121" t="str">
        <f t="shared" si="38"/>
        <v>Digunakan</v>
      </c>
      <c r="DB19" s="121" t="str">
        <f t="shared" si="38"/>
        <v>Digunakan</v>
      </c>
      <c r="DC19" s="121" t="str">
        <f t="shared" si="38"/>
        <v>Digunakan</v>
      </c>
      <c r="DD19" s="121" t="str">
        <f t="shared" si="38"/>
        <v>Digunakan</v>
      </c>
      <c r="DE19" s="121" t="str">
        <f t="shared" si="38"/>
        <v>Digunakan</v>
      </c>
      <c r="DF19" s="121" t="str">
        <f t="shared" si="38"/>
        <v>Digunakan</v>
      </c>
      <c r="DG19" s="121" t="str">
        <f t="shared" si="38"/>
        <v>Digunakan</v>
      </c>
      <c r="DH19" s="121" t="str">
        <f t="shared" si="38"/>
        <v>Digunakan</v>
      </c>
      <c r="DI19" s="121" t="str">
        <f t="shared" si="38"/>
        <v>Digunakan</v>
      </c>
      <c r="DJ19" s="121" t="str">
        <f t="shared" si="38"/>
        <v>Digunakan</v>
      </c>
      <c r="DK19" s="121" t="str">
        <f t="shared" si="38"/>
        <v>Digunakan</v>
      </c>
      <c r="DL19" s="121" t="str">
        <f t="shared" si="38"/>
        <v>Digunakan</v>
      </c>
      <c r="DM19" s="121" t="str">
        <f t="shared" si="38"/>
        <v>Digunakan</v>
      </c>
      <c r="DN19" s="121" t="str">
        <f t="shared" si="38"/>
        <v>Digunakan</v>
      </c>
      <c r="DO19" s="121" t="str">
        <f t="shared" si="38"/>
        <v>Digunakan</v>
      </c>
      <c r="DP19" s="121" t="str">
        <f t="shared" si="38"/>
        <v>Digunakan</v>
      </c>
      <c r="DQ19" s="121" t="str">
        <f t="shared" si="38"/>
        <v>Digunakan</v>
      </c>
      <c r="DR19" s="121" t="str">
        <f t="shared" si="38"/>
        <v>Digunakan</v>
      </c>
      <c r="DS19" s="121" t="str">
        <f t="shared" si="38"/>
        <v>Digunakan</v>
      </c>
      <c r="DT19" s="121" t="str">
        <f t="shared" si="38"/>
        <v>Digunakan</v>
      </c>
      <c r="DU19" s="121" t="str">
        <f t="shared" si="38"/>
        <v>Digunakan</v>
      </c>
      <c r="DV19" s="121" t="str">
        <f t="shared" si="38"/>
        <v>Digunakan</v>
      </c>
      <c r="DW19" s="121" t="str">
        <f t="shared" si="38"/>
        <v>Digunakan</v>
      </c>
      <c r="DX19" s="121" t="str">
        <f t="shared" si="38"/>
        <v>Digunakan</v>
      </c>
      <c r="DY19" s="121" t="str">
        <f t="shared" si="38"/>
        <v>Digunakan</v>
      </c>
      <c r="DZ19" s="121" t="str">
        <f t="shared" si="38"/>
        <v>Digunakan</v>
      </c>
      <c r="EA19" s="121" t="str">
        <f t="shared" si="38"/>
        <v>Digunakan</v>
      </c>
      <c r="EB19" s="121" t="str">
        <f t="shared" si="38"/>
        <v>Digunakan</v>
      </c>
      <c r="EC19" s="121" t="str">
        <f t="shared" si="38"/>
        <v>Digunakan</v>
      </c>
      <c r="ED19" s="121" t="str">
        <f t="shared" si="38"/>
        <v>Digunakan</v>
      </c>
      <c r="EE19" s="121" t="str">
        <f t="shared" si="38"/>
        <v>Digunakan</v>
      </c>
      <c r="EF19" s="121" t="str">
        <f t="shared" si="38"/>
        <v>Digunakan</v>
      </c>
      <c r="EG19" s="121" t="str">
        <f t="shared" si="38"/>
        <v>Digunakan</v>
      </c>
      <c r="EH19" s="121" t="str">
        <f t="shared" si="38"/>
        <v>Digunakan</v>
      </c>
      <c r="EI19" s="121" t="str">
        <f t="shared" ref="EI19:EM19" si="39">IF(CP19="","",IF(CP19=0,"Ditolak",IF(AND(CP19&gt;=1,CP19&lt;2),"Diperbaiki","Digunakan")))</f>
        <v/>
      </c>
      <c r="EJ19" s="121" t="str">
        <f t="shared" si="39"/>
        <v/>
      </c>
      <c r="EK19" s="121" t="str">
        <f t="shared" si="39"/>
        <v/>
      </c>
      <c r="EL19" s="121" t="str">
        <f t="shared" si="39"/>
        <v/>
      </c>
      <c r="EM19" s="121" t="str">
        <f t="shared" si="39"/>
        <v/>
      </c>
      <c r="EN19" s="117"/>
      <c r="EO19" s="117"/>
      <c r="EP19" s="117"/>
      <c r="EQ19" s="117"/>
      <c r="ER19" s="117"/>
      <c r="ES19" s="117"/>
      <c r="ET19" s="117"/>
      <c r="EU19" s="117"/>
      <c r="EV19" s="117"/>
      <c r="EW19" s="117"/>
      <c r="EX19" s="117"/>
      <c r="EY19" s="117"/>
      <c r="EZ19" s="117"/>
      <c r="FA19" s="117"/>
      <c r="FB19" s="117"/>
      <c r="FC19" s="117"/>
      <c r="FD19" s="117"/>
      <c r="FE19" s="117"/>
      <c r="FF19" s="117"/>
      <c r="FG19" s="117"/>
      <c r="FH19" s="117"/>
      <c r="FI19" s="117"/>
      <c r="FJ19" s="117"/>
      <c r="FK19" s="117"/>
      <c r="FL19" s="117"/>
      <c r="FM19" s="117"/>
      <c r="FN19" s="117"/>
      <c r="FO19" s="117"/>
      <c r="FP19" s="117"/>
      <c r="FQ19" s="117"/>
      <c r="FR19" s="117"/>
      <c r="FS19" s="117"/>
      <c r="FT19" s="117"/>
      <c r="FU19" s="117"/>
      <c r="FV19" s="117"/>
      <c r="FW19" s="117"/>
      <c r="FX19" s="117"/>
      <c r="FY19" s="117"/>
      <c r="FZ19" s="117"/>
      <c r="GA19" s="117"/>
      <c r="GB19" s="117"/>
      <c r="GC19" s="117"/>
      <c r="GD19" s="117"/>
      <c r="GE19" s="117"/>
      <c r="GF19" s="117"/>
      <c r="GG19" s="115"/>
      <c r="GH19" s="115"/>
      <c r="GI19" s="115"/>
      <c r="GJ19" s="115"/>
      <c r="GK19" s="115"/>
      <c r="GL19" s="115"/>
      <c r="GM19" s="115"/>
      <c r="GN19" s="115"/>
      <c r="GO19" s="115"/>
      <c r="GP19" s="115"/>
      <c r="GQ19" s="115"/>
      <c r="GR19" s="115"/>
      <c r="GS19" s="115"/>
      <c r="GT19" s="115"/>
      <c r="GU19" s="115"/>
      <c r="GV19" s="115"/>
      <c r="GW19" s="115"/>
      <c r="GX19" s="115"/>
      <c r="GY19" s="115"/>
      <c r="GZ19" s="115"/>
      <c r="HA19" s="115"/>
      <c r="HB19" s="115"/>
      <c r="HC19" s="115"/>
      <c r="HD19" s="115"/>
      <c r="HE19" s="115"/>
      <c r="HF19" s="115"/>
      <c r="HG19" s="115"/>
      <c r="HH19" s="115"/>
      <c r="HI19" s="115"/>
      <c r="HJ19" s="115"/>
      <c r="HK19" s="115"/>
      <c r="HL19" s="115"/>
      <c r="HM19" s="115"/>
      <c r="HN19" s="115"/>
      <c r="HO19" s="115"/>
      <c r="HP19" s="115"/>
      <c r="HQ19" s="115"/>
      <c r="HR19" s="115"/>
      <c r="HS19" s="115"/>
      <c r="HT19" s="115"/>
      <c r="HU19" s="115"/>
      <c r="HV19" s="115"/>
      <c r="HW19" s="115"/>
      <c r="HX19" s="115"/>
      <c r="HY19" s="115"/>
      <c r="HZ19" s="117"/>
      <c r="IA19" s="117"/>
      <c r="IB19" s="117"/>
      <c r="IC19" s="117"/>
      <c r="ID19" s="117"/>
      <c r="IE19" s="117"/>
      <c r="IF19" s="117"/>
      <c r="IG19" s="117"/>
      <c r="IH19" s="117"/>
      <c r="II19" s="117"/>
      <c r="IJ19" s="117"/>
      <c r="IK19" s="117"/>
      <c r="IL19" s="117"/>
      <c r="IM19" s="117"/>
      <c r="IN19" s="117"/>
      <c r="IO19" s="117"/>
      <c r="IP19" s="117"/>
      <c r="IQ19" s="117"/>
      <c r="IR19" s="117"/>
      <c r="IS19" s="117"/>
      <c r="IT19" s="117"/>
      <c r="IU19" s="117"/>
      <c r="IV19" s="117"/>
      <c r="IW19" s="117"/>
      <c r="IX19" s="117"/>
      <c r="IY19" s="117"/>
      <c r="IZ19" s="117"/>
      <c r="JA19" s="117"/>
      <c r="JB19" s="117"/>
      <c r="JC19" s="117"/>
      <c r="JD19" s="117"/>
      <c r="JE19" s="117"/>
      <c r="JF19" s="117"/>
      <c r="JG19" s="117"/>
      <c r="JH19" s="117"/>
      <c r="JI19" s="117"/>
      <c r="JJ19" s="117"/>
      <c r="JK19" s="117"/>
      <c r="JL19" s="117"/>
      <c r="JM19" s="117"/>
      <c r="JN19" s="117"/>
      <c r="JO19" s="117"/>
      <c r="JP19" s="117"/>
      <c r="JQ19" s="117"/>
      <c r="JR19" s="117"/>
      <c r="JS19" s="114"/>
      <c r="JT19" s="114"/>
      <c r="JU19" s="114"/>
      <c r="JV19" s="114"/>
      <c r="JW19" s="114"/>
      <c r="JX19" s="114"/>
      <c r="JY19" s="114"/>
      <c r="JZ19" s="114"/>
      <c r="KA19" s="114"/>
      <c r="KB19" s="114"/>
      <c r="KC19" s="114"/>
      <c r="KD19" s="114"/>
      <c r="KE19" s="114"/>
      <c r="KF19" s="114"/>
      <c r="KG19" s="114"/>
      <c r="KH19" s="114"/>
      <c r="KI19" s="114"/>
      <c r="KJ19" s="114"/>
      <c r="KK19" s="114"/>
      <c r="KL19" s="114"/>
      <c r="KM19" s="114"/>
      <c r="KN19" s="114"/>
      <c r="KO19" s="114"/>
      <c r="KP19" s="114"/>
      <c r="KQ19" s="114"/>
      <c r="KR19" s="114"/>
      <c r="KS19" s="114"/>
      <c r="KT19" s="114"/>
      <c r="KU19" s="114"/>
      <c r="KV19" s="114"/>
      <c r="KW19" s="114"/>
      <c r="KX19" s="114"/>
      <c r="KY19" s="114"/>
      <c r="KZ19" s="114"/>
      <c r="LA19" s="114"/>
      <c r="LB19" s="114"/>
      <c r="LC19" s="114"/>
      <c r="LD19" s="114"/>
      <c r="LE19" s="114"/>
      <c r="LF19" s="114"/>
      <c r="LG19" s="114"/>
      <c r="LH19" s="114"/>
      <c r="LI19" s="114"/>
      <c r="LJ19" s="114"/>
      <c r="LK19" s="114"/>
    </row>
    <row r="20" spans="1:323" ht="31.5" x14ac:dyDescent="0.25">
      <c r="A20" s="127"/>
      <c r="B20" s="133"/>
      <c r="C20" s="134"/>
      <c r="D20" s="132"/>
      <c r="E20" s="127"/>
      <c r="F20" s="126"/>
      <c r="G20" s="20" t="s">
        <v>56</v>
      </c>
      <c r="H20" s="23" t="s">
        <v>4</v>
      </c>
      <c r="I20" s="78" t="s">
        <v>269</v>
      </c>
      <c r="J20" s="78" t="s">
        <v>269</v>
      </c>
      <c r="K20" s="78" t="s">
        <v>269</v>
      </c>
      <c r="L20" s="78" t="s">
        <v>269</v>
      </c>
      <c r="M20" s="78" t="s">
        <v>269</v>
      </c>
      <c r="N20" s="78" t="s">
        <v>269</v>
      </c>
      <c r="O20" s="78" t="s">
        <v>269</v>
      </c>
      <c r="P20" s="78" t="s">
        <v>269</v>
      </c>
      <c r="Q20" s="78" t="s">
        <v>269</v>
      </c>
      <c r="R20" s="78" t="s">
        <v>269</v>
      </c>
      <c r="S20" s="78" t="s">
        <v>269</v>
      </c>
      <c r="T20" s="78" t="s">
        <v>269</v>
      </c>
      <c r="U20" s="78" t="s">
        <v>269</v>
      </c>
      <c r="V20" s="78" t="s">
        <v>269</v>
      </c>
      <c r="W20" s="78" t="s">
        <v>269</v>
      </c>
      <c r="X20" s="78" t="s">
        <v>269</v>
      </c>
      <c r="Y20" s="78" t="s">
        <v>269</v>
      </c>
      <c r="Z20" s="78" t="s">
        <v>269</v>
      </c>
      <c r="AA20" s="78" t="s">
        <v>269</v>
      </c>
      <c r="AB20" s="78" t="s">
        <v>269</v>
      </c>
      <c r="AC20" s="78" t="s">
        <v>269</v>
      </c>
      <c r="AD20" s="78" t="s">
        <v>269</v>
      </c>
      <c r="AE20" s="78" t="s">
        <v>269</v>
      </c>
      <c r="AF20" s="78" t="s">
        <v>269</v>
      </c>
      <c r="AG20" s="78" t="s">
        <v>269</v>
      </c>
      <c r="AH20" s="78" t="s">
        <v>269</v>
      </c>
      <c r="AI20" s="78" t="s">
        <v>269</v>
      </c>
      <c r="AJ20" s="78" t="s">
        <v>269</v>
      </c>
      <c r="AK20" s="78" t="s">
        <v>269</v>
      </c>
      <c r="AL20" s="78" t="s">
        <v>269</v>
      </c>
      <c r="AM20" s="78" t="s">
        <v>269</v>
      </c>
      <c r="AN20" s="78" t="s">
        <v>269</v>
      </c>
      <c r="AO20" s="78" t="s">
        <v>269</v>
      </c>
      <c r="AP20" s="78" t="s">
        <v>269</v>
      </c>
      <c r="AQ20" s="78" t="s">
        <v>269</v>
      </c>
      <c r="AR20" s="78" t="s">
        <v>269</v>
      </c>
      <c r="AS20" s="78" t="s">
        <v>269</v>
      </c>
      <c r="AT20" s="78" t="s">
        <v>269</v>
      </c>
      <c r="AU20" s="78" t="s">
        <v>269</v>
      </c>
      <c r="AV20" s="78" t="s">
        <v>269</v>
      </c>
      <c r="AW20" s="78"/>
      <c r="AX20" s="78"/>
      <c r="AY20" s="78"/>
      <c r="AZ20" s="78"/>
      <c r="BA20" s="78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17"/>
      <c r="EO20" s="117"/>
      <c r="EP20" s="117"/>
      <c r="EQ20" s="117"/>
      <c r="ER20" s="117"/>
      <c r="ES20" s="117"/>
      <c r="ET20" s="117"/>
      <c r="EU20" s="117"/>
      <c r="EV20" s="117"/>
      <c r="EW20" s="117"/>
      <c r="EX20" s="117"/>
      <c r="EY20" s="117"/>
      <c r="EZ20" s="117"/>
      <c r="FA20" s="117"/>
      <c r="FB20" s="117"/>
      <c r="FC20" s="117"/>
      <c r="FD20" s="117"/>
      <c r="FE20" s="117"/>
      <c r="FF20" s="117"/>
      <c r="FG20" s="117"/>
      <c r="FH20" s="117"/>
      <c r="FI20" s="117"/>
      <c r="FJ20" s="117"/>
      <c r="FK20" s="117"/>
      <c r="FL20" s="117"/>
      <c r="FM20" s="117"/>
      <c r="FN20" s="117"/>
      <c r="FO20" s="117"/>
      <c r="FP20" s="117"/>
      <c r="FQ20" s="117"/>
      <c r="FR20" s="117"/>
      <c r="FS20" s="117"/>
      <c r="FT20" s="117"/>
      <c r="FU20" s="117"/>
      <c r="FV20" s="117"/>
      <c r="FW20" s="117"/>
      <c r="FX20" s="117"/>
      <c r="FY20" s="117"/>
      <c r="FZ20" s="117"/>
      <c r="GA20" s="117"/>
      <c r="GB20" s="117"/>
      <c r="GC20" s="117"/>
      <c r="GD20" s="117"/>
      <c r="GE20" s="117"/>
      <c r="GF20" s="117"/>
      <c r="GG20" s="115"/>
      <c r="GH20" s="115"/>
      <c r="GI20" s="115"/>
      <c r="GJ20" s="115"/>
      <c r="GK20" s="115"/>
      <c r="GL20" s="115"/>
      <c r="GM20" s="115"/>
      <c r="GN20" s="115"/>
      <c r="GO20" s="115"/>
      <c r="GP20" s="115"/>
      <c r="GQ20" s="115"/>
      <c r="GR20" s="115"/>
      <c r="GS20" s="115"/>
      <c r="GT20" s="115"/>
      <c r="GU20" s="115"/>
      <c r="GV20" s="115"/>
      <c r="GW20" s="115"/>
      <c r="GX20" s="115"/>
      <c r="GY20" s="115"/>
      <c r="GZ20" s="115"/>
      <c r="HA20" s="115"/>
      <c r="HB20" s="115"/>
      <c r="HC20" s="115"/>
      <c r="HD20" s="115"/>
      <c r="HE20" s="115"/>
      <c r="HF20" s="115"/>
      <c r="HG20" s="115"/>
      <c r="HH20" s="115"/>
      <c r="HI20" s="115"/>
      <c r="HJ20" s="115"/>
      <c r="HK20" s="115"/>
      <c r="HL20" s="115"/>
      <c r="HM20" s="115"/>
      <c r="HN20" s="115"/>
      <c r="HO20" s="115"/>
      <c r="HP20" s="115"/>
      <c r="HQ20" s="115"/>
      <c r="HR20" s="115"/>
      <c r="HS20" s="115"/>
      <c r="HT20" s="115"/>
      <c r="HU20" s="115"/>
      <c r="HV20" s="115"/>
      <c r="HW20" s="115"/>
      <c r="HX20" s="115"/>
      <c r="HY20" s="115"/>
      <c r="HZ20" s="117"/>
      <c r="IA20" s="117"/>
      <c r="IB20" s="117"/>
      <c r="IC20" s="117"/>
      <c r="ID20" s="117"/>
      <c r="IE20" s="117"/>
      <c r="IF20" s="117"/>
      <c r="IG20" s="117"/>
      <c r="IH20" s="117"/>
      <c r="II20" s="117"/>
      <c r="IJ20" s="117"/>
      <c r="IK20" s="117"/>
      <c r="IL20" s="117"/>
      <c r="IM20" s="117"/>
      <c r="IN20" s="117"/>
      <c r="IO20" s="117"/>
      <c r="IP20" s="117"/>
      <c r="IQ20" s="117"/>
      <c r="IR20" s="117"/>
      <c r="IS20" s="117"/>
      <c r="IT20" s="117"/>
      <c r="IU20" s="117"/>
      <c r="IV20" s="117"/>
      <c r="IW20" s="117"/>
      <c r="IX20" s="117"/>
      <c r="IY20" s="117"/>
      <c r="IZ20" s="117"/>
      <c r="JA20" s="117"/>
      <c r="JB20" s="117"/>
      <c r="JC20" s="117"/>
      <c r="JD20" s="117"/>
      <c r="JE20" s="117"/>
      <c r="JF20" s="117"/>
      <c r="JG20" s="117"/>
      <c r="JH20" s="117"/>
      <c r="JI20" s="117"/>
      <c r="JJ20" s="117"/>
      <c r="JK20" s="117"/>
      <c r="JL20" s="117"/>
      <c r="JM20" s="117"/>
      <c r="JN20" s="117"/>
      <c r="JO20" s="117"/>
      <c r="JP20" s="117"/>
      <c r="JQ20" s="117"/>
      <c r="JR20" s="117"/>
      <c r="JS20" s="114"/>
      <c r="JT20" s="114"/>
      <c r="JU20" s="114"/>
      <c r="JV20" s="114"/>
      <c r="JW20" s="114"/>
      <c r="JX20" s="114"/>
      <c r="JY20" s="114"/>
      <c r="JZ20" s="114"/>
      <c r="KA20" s="114"/>
      <c r="KB20" s="114"/>
      <c r="KC20" s="114"/>
      <c r="KD20" s="114"/>
      <c r="KE20" s="114"/>
      <c r="KF20" s="114"/>
      <c r="KG20" s="114"/>
      <c r="KH20" s="114"/>
      <c r="KI20" s="114"/>
      <c r="KJ20" s="114"/>
      <c r="KK20" s="114"/>
      <c r="KL20" s="114"/>
      <c r="KM20" s="114"/>
      <c r="KN20" s="114"/>
      <c r="KO20" s="114"/>
      <c r="KP20" s="114"/>
      <c r="KQ20" s="114"/>
      <c r="KR20" s="114"/>
      <c r="KS20" s="114"/>
      <c r="KT20" s="114"/>
      <c r="KU20" s="114"/>
      <c r="KV20" s="114"/>
      <c r="KW20" s="114"/>
      <c r="KX20" s="114"/>
      <c r="KY20" s="114"/>
      <c r="KZ20" s="114"/>
      <c r="LA20" s="114"/>
      <c r="LB20" s="114"/>
      <c r="LC20" s="114"/>
      <c r="LD20" s="114"/>
      <c r="LE20" s="114"/>
      <c r="LF20" s="114"/>
      <c r="LG20" s="114"/>
      <c r="LH20" s="114"/>
      <c r="LI20" s="114"/>
      <c r="LJ20" s="114"/>
      <c r="LK20" s="114"/>
    </row>
    <row r="21" spans="1:323" ht="47.25" x14ac:dyDescent="0.25">
      <c r="A21" s="127"/>
      <c r="B21" s="133"/>
      <c r="C21" s="134" t="s">
        <v>6</v>
      </c>
      <c r="D21" s="133" t="s">
        <v>7</v>
      </c>
      <c r="E21" s="127">
        <v>1</v>
      </c>
      <c r="F21" s="126" t="s">
        <v>75</v>
      </c>
      <c r="G21" s="20" t="s">
        <v>56</v>
      </c>
      <c r="H21" s="23" t="s">
        <v>12</v>
      </c>
      <c r="I21" s="78" t="s">
        <v>269</v>
      </c>
      <c r="J21" s="78" t="s">
        <v>269</v>
      </c>
      <c r="K21" s="78" t="s">
        <v>269</v>
      </c>
      <c r="L21" s="78" t="s">
        <v>269</v>
      </c>
      <c r="M21" s="78" t="s">
        <v>269</v>
      </c>
      <c r="N21" s="78" t="s">
        <v>269</v>
      </c>
      <c r="O21" s="78" t="s">
        <v>269</v>
      </c>
      <c r="P21" s="78" t="s">
        <v>269</v>
      </c>
      <c r="Q21" s="78" t="s">
        <v>269</v>
      </c>
      <c r="R21" s="78" t="s">
        <v>269</v>
      </c>
      <c r="S21" s="78" t="s">
        <v>269</v>
      </c>
      <c r="T21" s="78" t="s">
        <v>269</v>
      </c>
      <c r="U21" s="78" t="s">
        <v>269</v>
      </c>
      <c r="V21" s="78" t="s">
        <v>269</v>
      </c>
      <c r="W21" s="78" t="s">
        <v>269</v>
      </c>
      <c r="X21" s="78" t="s">
        <v>269</v>
      </c>
      <c r="Y21" s="78" t="s">
        <v>269</v>
      </c>
      <c r="Z21" s="78" t="s">
        <v>269</v>
      </c>
      <c r="AA21" s="78" t="s">
        <v>269</v>
      </c>
      <c r="AB21" s="78" t="s">
        <v>269</v>
      </c>
      <c r="AC21" s="78" t="s">
        <v>269</v>
      </c>
      <c r="AD21" s="78" t="s">
        <v>269</v>
      </c>
      <c r="AE21" s="78" t="s">
        <v>269</v>
      </c>
      <c r="AF21" s="78" t="s">
        <v>269</v>
      </c>
      <c r="AG21" s="78" t="s">
        <v>269</v>
      </c>
      <c r="AH21" s="78" t="s">
        <v>269</v>
      </c>
      <c r="AI21" s="78" t="s">
        <v>269</v>
      </c>
      <c r="AJ21" s="78" t="s">
        <v>269</v>
      </c>
      <c r="AK21" s="78" t="s">
        <v>269</v>
      </c>
      <c r="AL21" s="78" t="s">
        <v>269</v>
      </c>
      <c r="AM21" s="78" t="s">
        <v>269</v>
      </c>
      <c r="AN21" s="78" t="s">
        <v>269</v>
      </c>
      <c r="AO21" s="78" t="s">
        <v>269</v>
      </c>
      <c r="AP21" s="78" t="s">
        <v>269</v>
      </c>
      <c r="AQ21" s="78" t="s">
        <v>269</v>
      </c>
      <c r="AR21" s="78" t="s">
        <v>269</v>
      </c>
      <c r="AS21" s="78" t="s">
        <v>269</v>
      </c>
      <c r="AT21" s="78" t="s">
        <v>269</v>
      </c>
      <c r="AU21" s="78" t="s">
        <v>269</v>
      </c>
      <c r="AV21" s="78" t="s">
        <v>269</v>
      </c>
      <c r="AW21" s="78"/>
      <c r="AX21" s="78"/>
      <c r="AY21" s="78"/>
      <c r="AZ21" s="78"/>
      <c r="BA21" s="78"/>
      <c r="BB21" s="122">
        <f t="shared" ref="BB21:CO21" si="40">IF(AND(I21="",I22=""),"",COUNTIF(I21:I22,"v"))</f>
        <v>2</v>
      </c>
      <c r="BC21" s="122">
        <f t="shared" si="40"/>
        <v>2</v>
      </c>
      <c r="BD21" s="122">
        <f t="shared" si="40"/>
        <v>2</v>
      </c>
      <c r="BE21" s="122">
        <f t="shared" si="40"/>
        <v>2</v>
      </c>
      <c r="BF21" s="122">
        <f t="shared" si="40"/>
        <v>2</v>
      </c>
      <c r="BG21" s="122">
        <f t="shared" si="40"/>
        <v>2</v>
      </c>
      <c r="BH21" s="122">
        <f t="shared" si="40"/>
        <v>2</v>
      </c>
      <c r="BI21" s="122">
        <f t="shared" si="40"/>
        <v>2</v>
      </c>
      <c r="BJ21" s="122">
        <f t="shared" si="40"/>
        <v>2</v>
      </c>
      <c r="BK21" s="122">
        <f t="shared" si="40"/>
        <v>2</v>
      </c>
      <c r="BL21" s="122">
        <f t="shared" si="40"/>
        <v>2</v>
      </c>
      <c r="BM21" s="122">
        <f t="shared" si="40"/>
        <v>2</v>
      </c>
      <c r="BN21" s="122">
        <f t="shared" si="40"/>
        <v>2</v>
      </c>
      <c r="BO21" s="122">
        <f t="shared" si="40"/>
        <v>2</v>
      </c>
      <c r="BP21" s="122">
        <f t="shared" si="40"/>
        <v>2</v>
      </c>
      <c r="BQ21" s="122">
        <f t="shared" si="40"/>
        <v>2</v>
      </c>
      <c r="BR21" s="122">
        <f t="shared" si="40"/>
        <v>2</v>
      </c>
      <c r="BS21" s="122">
        <f t="shared" si="40"/>
        <v>2</v>
      </c>
      <c r="BT21" s="122">
        <f t="shared" si="40"/>
        <v>2</v>
      </c>
      <c r="BU21" s="122">
        <f t="shared" si="40"/>
        <v>2</v>
      </c>
      <c r="BV21" s="122">
        <f t="shared" si="40"/>
        <v>2</v>
      </c>
      <c r="BW21" s="122">
        <f t="shared" si="40"/>
        <v>2</v>
      </c>
      <c r="BX21" s="122">
        <f t="shared" si="40"/>
        <v>2</v>
      </c>
      <c r="BY21" s="122">
        <f t="shared" si="40"/>
        <v>2</v>
      </c>
      <c r="BZ21" s="122">
        <f t="shared" si="40"/>
        <v>2</v>
      </c>
      <c r="CA21" s="122">
        <f t="shared" si="40"/>
        <v>2</v>
      </c>
      <c r="CB21" s="122">
        <f t="shared" si="40"/>
        <v>2</v>
      </c>
      <c r="CC21" s="122">
        <f t="shared" si="40"/>
        <v>2</v>
      </c>
      <c r="CD21" s="122">
        <f t="shared" si="40"/>
        <v>2</v>
      </c>
      <c r="CE21" s="122">
        <f t="shared" si="40"/>
        <v>2</v>
      </c>
      <c r="CF21" s="122">
        <f t="shared" si="40"/>
        <v>2</v>
      </c>
      <c r="CG21" s="122">
        <f t="shared" si="40"/>
        <v>2</v>
      </c>
      <c r="CH21" s="122">
        <f t="shared" si="40"/>
        <v>2</v>
      </c>
      <c r="CI21" s="122">
        <f t="shared" si="40"/>
        <v>2</v>
      </c>
      <c r="CJ21" s="122">
        <f t="shared" si="40"/>
        <v>2</v>
      </c>
      <c r="CK21" s="122">
        <f t="shared" si="40"/>
        <v>2</v>
      </c>
      <c r="CL21" s="122">
        <f t="shared" si="40"/>
        <v>2</v>
      </c>
      <c r="CM21" s="122">
        <f t="shared" si="40"/>
        <v>2</v>
      </c>
      <c r="CN21" s="122">
        <f t="shared" si="40"/>
        <v>2</v>
      </c>
      <c r="CO21" s="122">
        <f t="shared" si="40"/>
        <v>2</v>
      </c>
      <c r="CP21" s="122" t="str">
        <f t="shared" ref="CP21:CT21" si="41">IF(AND(AW21="",AW22=""),"",COUNTIF(AW21:AW22,"v"))</f>
        <v/>
      </c>
      <c r="CQ21" s="122" t="str">
        <f t="shared" si="41"/>
        <v/>
      </c>
      <c r="CR21" s="122" t="str">
        <f t="shared" si="41"/>
        <v/>
      </c>
      <c r="CS21" s="122" t="str">
        <f t="shared" si="41"/>
        <v/>
      </c>
      <c r="CT21" s="122" t="str">
        <f t="shared" si="41"/>
        <v/>
      </c>
      <c r="CU21" s="121" t="str">
        <f t="shared" ref="CU21" si="42">IF(BB21="","",IF(BB21=0,"Ditolak",IF(BB21=1,"Diperbaiki","Digunakan")))</f>
        <v>Digunakan</v>
      </c>
      <c r="CV21" s="121" t="str">
        <f t="shared" ref="CV21:EH21" si="43">IF(BC21="","",IF(BC21=0,"Ditolak",IF(AND(BC21&gt;=1,BC21&lt;2),"Diperbaiki","Digunakan")))</f>
        <v>Digunakan</v>
      </c>
      <c r="CW21" s="121" t="str">
        <f t="shared" si="43"/>
        <v>Digunakan</v>
      </c>
      <c r="CX21" s="121" t="str">
        <f t="shared" si="43"/>
        <v>Digunakan</v>
      </c>
      <c r="CY21" s="121" t="str">
        <f t="shared" si="43"/>
        <v>Digunakan</v>
      </c>
      <c r="CZ21" s="121" t="str">
        <f t="shared" si="43"/>
        <v>Digunakan</v>
      </c>
      <c r="DA21" s="121" t="str">
        <f t="shared" si="43"/>
        <v>Digunakan</v>
      </c>
      <c r="DB21" s="121" t="str">
        <f t="shared" si="43"/>
        <v>Digunakan</v>
      </c>
      <c r="DC21" s="121" t="str">
        <f t="shared" si="43"/>
        <v>Digunakan</v>
      </c>
      <c r="DD21" s="121" t="str">
        <f t="shared" si="43"/>
        <v>Digunakan</v>
      </c>
      <c r="DE21" s="121" t="str">
        <f t="shared" si="43"/>
        <v>Digunakan</v>
      </c>
      <c r="DF21" s="121" t="str">
        <f t="shared" si="43"/>
        <v>Digunakan</v>
      </c>
      <c r="DG21" s="121" t="str">
        <f t="shared" si="43"/>
        <v>Digunakan</v>
      </c>
      <c r="DH21" s="121" t="str">
        <f t="shared" si="43"/>
        <v>Digunakan</v>
      </c>
      <c r="DI21" s="121" t="str">
        <f t="shared" si="43"/>
        <v>Digunakan</v>
      </c>
      <c r="DJ21" s="121" t="str">
        <f t="shared" si="43"/>
        <v>Digunakan</v>
      </c>
      <c r="DK21" s="121" t="str">
        <f t="shared" si="43"/>
        <v>Digunakan</v>
      </c>
      <c r="DL21" s="121" t="str">
        <f t="shared" si="43"/>
        <v>Digunakan</v>
      </c>
      <c r="DM21" s="121" t="str">
        <f t="shared" si="43"/>
        <v>Digunakan</v>
      </c>
      <c r="DN21" s="121" t="str">
        <f t="shared" si="43"/>
        <v>Digunakan</v>
      </c>
      <c r="DO21" s="121" t="str">
        <f t="shared" si="43"/>
        <v>Digunakan</v>
      </c>
      <c r="DP21" s="121" t="str">
        <f t="shared" si="43"/>
        <v>Digunakan</v>
      </c>
      <c r="DQ21" s="121" t="str">
        <f t="shared" si="43"/>
        <v>Digunakan</v>
      </c>
      <c r="DR21" s="121" t="str">
        <f t="shared" si="43"/>
        <v>Digunakan</v>
      </c>
      <c r="DS21" s="121" t="str">
        <f t="shared" si="43"/>
        <v>Digunakan</v>
      </c>
      <c r="DT21" s="121" t="str">
        <f t="shared" si="43"/>
        <v>Digunakan</v>
      </c>
      <c r="DU21" s="121" t="str">
        <f t="shared" si="43"/>
        <v>Digunakan</v>
      </c>
      <c r="DV21" s="121" t="str">
        <f t="shared" si="43"/>
        <v>Digunakan</v>
      </c>
      <c r="DW21" s="121" t="str">
        <f t="shared" si="43"/>
        <v>Digunakan</v>
      </c>
      <c r="DX21" s="121" t="str">
        <f t="shared" si="43"/>
        <v>Digunakan</v>
      </c>
      <c r="DY21" s="121" t="str">
        <f t="shared" si="43"/>
        <v>Digunakan</v>
      </c>
      <c r="DZ21" s="121" t="str">
        <f t="shared" si="43"/>
        <v>Digunakan</v>
      </c>
      <c r="EA21" s="121" t="str">
        <f t="shared" si="43"/>
        <v>Digunakan</v>
      </c>
      <c r="EB21" s="121" t="str">
        <f t="shared" si="43"/>
        <v>Digunakan</v>
      </c>
      <c r="EC21" s="121" t="str">
        <f t="shared" si="43"/>
        <v>Digunakan</v>
      </c>
      <c r="ED21" s="121" t="str">
        <f t="shared" si="43"/>
        <v>Digunakan</v>
      </c>
      <c r="EE21" s="121" t="str">
        <f t="shared" si="43"/>
        <v>Digunakan</v>
      </c>
      <c r="EF21" s="121" t="str">
        <f t="shared" si="43"/>
        <v>Digunakan</v>
      </c>
      <c r="EG21" s="121" t="str">
        <f t="shared" si="43"/>
        <v>Digunakan</v>
      </c>
      <c r="EH21" s="121" t="str">
        <f t="shared" si="43"/>
        <v>Digunakan</v>
      </c>
      <c r="EI21" s="121" t="str">
        <f t="shared" ref="EI21:EM21" si="44">IF(CP21="","",IF(CP21=0,"Ditolak",IF(AND(CP21&gt;=1,CP21&lt;2),"Diperbaiki","Digunakan")))</f>
        <v/>
      </c>
      <c r="EJ21" s="121" t="str">
        <f t="shared" si="44"/>
        <v/>
      </c>
      <c r="EK21" s="121" t="str">
        <f t="shared" si="44"/>
        <v/>
      </c>
      <c r="EL21" s="121" t="str">
        <f t="shared" si="44"/>
        <v/>
      </c>
      <c r="EM21" s="121" t="str">
        <f t="shared" si="44"/>
        <v/>
      </c>
      <c r="EN21" s="120" t="str">
        <f>IF(COUNTIF(CU21:EH38,"Diperbaiki")&gt;=1,"konstruksi","")</f>
        <v/>
      </c>
      <c r="EO21" s="120" t="str">
        <f t="shared" ref="EO21:GA21" si="45">IF(COUNTIF(CV21:EN38,"Diperbaiki")&gt;=1,"konstruksi","")</f>
        <v/>
      </c>
      <c r="EP21" s="120" t="str">
        <f t="shared" si="45"/>
        <v/>
      </c>
      <c r="EQ21" s="120" t="str">
        <f t="shared" si="45"/>
        <v/>
      </c>
      <c r="ER21" s="120" t="str">
        <f t="shared" si="45"/>
        <v/>
      </c>
      <c r="ES21" s="120" t="str">
        <f t="shared" si="45"/>
        <v/>
      </c>
      <c r="ET21" s="120" t="str">
        <f t="shared" si="45"/>
        <v/>
      </c>
      <c r="EU21" s="120" t="str">
        <f t="shared" si="45"/>
        <v/>
      </c>
      <c r="EV21" s="120" t="str">
        <f t="shared" si="45"/>
        <v/>
      </c>
      <c r="EW21" s="120" t="str">
        <f t="shared" si="45"/>
        <v/>
      </c>
      <c r="EX21" s="120" t="str">
        <f t="shared" si="45"/>
        <v/>
      </c>
      <c r="EY21" s="120" t="str">
        <f t="shared" si="45"/>
        <v/>
      </c>
      <c r="EZ21" s="120" t="str">
        <f t="shared" si="45"/>
        <v/>
      </c>
      <c r="FA21" s="120" t="str">
        <f t="shared" si="45"/>
        <v/>
      </c>
      <c r="FB21" s="120" t="str">
        <f t="shared" si="45"/>
        <v/>
      </c>
      <c r="FC21" s="120" t="str">
        <f t="shared" si="45"/>
        <v/>
      </c>
      <c r="FD21" s="120" t="str">
        <f t="shared" si="45"/>
        <v/>
      </c>
      <c r="FE21" s="120" t="str">
        <f t="shared" si="45"/>
        <v/>
      </c>
      <c r="FF21" s="120" t="str">
        <f t="shared" si="45"/>
        <v/>
      </c>
      <c r="FG21" s="120" t="str">
        <f t="shared" si="45"/>
        <v/>
      </c>
      <c r="FH21" s="120" t="str">
        <f t="shared" si="45"/>
        <v/>
      </c>
      <c r="FI21" s="120" t="str">
        <f t="shared" si="45"/>
        <v/>
      </c>
      <c r="FJ21" s="120" t="str">
        <f t="shared" si="45"/>
        <v/>
      </c>
      <c r="FK21" s="120" t="str">
        <f t="shared" si="45"/>
        <v/>
      </c>
      <c r="FL21" s="120" t="str">
        <f t="shared" si="45"/>
        <v/>
      </c>
      <c r="FM21" s="120" t="str">
        <f t="shared" si="45"/>
        <v/>
      </c>
      <c r="FN21" s="120" t="str">
        <f t="shared" si="45"/>
        <v/>
      </c>
      <c r="FO21" s="120" t="str">
        <f t="shared" si="45"/>
        <v/>
      </c>
      <c r="FP21" s="120" t="str">
        <f t="shared" si="45"/>
        <v/>
      </c>
      <c r="FQ21" s="120" t="str">
        <f t="shared" si="45"/>
        <v/>
      </c>
      <c r="FR21" s="120" t="str">
        <f t="shared" si="45"/>
        <v/>
      </c>
      <c r="FS21" s="120" t="str">
        <f t="shared" si="45"/>
        <v/>
      </c>
      <c r="FT21" s="120" t="str">
        <f t="shared" si="45"/>
        <v/>
      </c>
      <c r="FU21" s="120" t="str">
        <f t="shared" si="45"/>
        <v/>
      </c>
      <c r="FV21" s="120" t="str">
        <f t="shared" si="45"/>
        <v/>
      </c>
      <c r="FW21" s="120" t="str">
        <f t="shared" si="45"/>
        <v/>
      </c>
      <c r="FX21" s="120" t="str">
        <f t="shared" si="45"/>
        <v/>
      </c>
      <c r="FY21" s="120" t="str">
        <f t="shared" si="45"/>
        <v/>
      </c>
      <c r="FZ21" s="120" t="str">
        <f t="shared" si="45"/>
        <v/>
      </c>
      <c r="GA21" s="120" t="str">
        <f t="shared" si="45"/>
        <v/>
      </c>
      <c r="GB21" s="120" t="str">
        <f t="shared" ref="GB21:GF21" si="46">IF(COUNTIF(EI21:GA38,"Diperbaiki")&gt;=1,"konstruksi","")</f>
        <v/>
      </c>
      <c r="GC21" s="120" t="str">
        <f t="shared" si="46"/>
        <v/>
      </c>
      <c r="GD21" s="120" t="str">
        <f t="shared" si="46"/>
        <v/>
      </c>
      <c r="GE21" s="120" t="str">
        <f t="shared" si="46"/>
        <v/>
      </c>
      <c r="GF21" s="120" t="str">
        <f t="shared" si="46"/>
        <v/>
      </c>
      <c r="GG21" s="115" t="str">
        <f>IF(EN21="","",",")</f>
        <v/>
      </c>
      <c r="GH21" s="115" t="str">
        <f t="shared" ref="GH21:HT21" si="47">IF(EO21="","",",")</f>
        <v/>
      </c>
      <c r="GI21" s="115" t="str">
        <f t="shared" si="47"/>
        <v/>
      </c>
      <c r="GJ21" s="115" t="str">
        <f t="shared" si="47"/>
        <v/>
      </c>
      <c r="GK21" s="115" t="str">
        <f t="shared" si="47"/>
        <v/>
      </c>
      <c r="GL21" s="115" t="str">
        <f t="shared" si="47"/>
        <v/>
      </c>
      <c r="GM21" s="115" t="str">
        <f t="shared" si="47"/>
        <v/>
      </c>
      <c r="GN21" s="115" t="str">
        <f t="shared" si="47"/>
        <v/>
      </c>
      <c r="GO21" s="115" t="str">
        <f t="shared" si="47"/>
        <v/>
      </c>
      <c r="GP21" s="115" t="str">
        <f t="shared" si="47"/>
        <v/>
      </c>
      <c r="GQ21" s="115" t="str">
        <f t="shared" si="47"/>
        <v/>
      </c>
      <c r="GR21" s="115" t="str">
        <f t="shared" si="47"/>
        <v/>
      </c>
      <c r="GS21" s="115" t="str">
        <f t="shared" si="47"/>
        <v/>
      </c>
      <c r="GT21" s="115" t="str">
        <f t="shared" si="47"/>
        <v/>
      </c>
      <c r="GU21" s="115" t="str">
        <f t="shared" si="47"/>
        <v/>
      </c>
      <c r="GV21" s="115" t="str">
        <f t="shared" si="47"/>
        <v/>
      </c>
      <c r="GW21" s="115" t="str">
        <f t="shared" si="47"/>
        <v/>
      </c>
      <c r="GX21" s="115" t="str">
        <f t="shared" si="47"/>
        <v/>
      </c>
      <c r="GY21" s="115" t="str">
        <f t="shared" si="47"/>
        <v/>
      </c>
      <c r="GZ21" s="115" t="str">
        <f t="shared" si="47"/>
        <v/>
      </c>
      <c r="HA21" s="115" t="str">
        <f t="shared" si="47"/>
        <v/>
      </c>
      <c r="HB21" s="115" t="str">
        <f t="shared" si="47"/>
        <v/>
      </c>
      <c r="HC21" s="115" t="str">
        <f t="shared" si="47"/>
        <v/>
      </c>
      <c r="HD21" s="115" t="str">
        <f t="shared" si="47"/>
        <v/>
      </c>
      <c r="HE21" s="115" t="str">
        <f t="shared" si="47"/>
        <v/>
      </c>
      <c r="HF21" s="115" t="str">
        <f t="shared" si="47"/>
        <v/>
      </c>
      <c r="HG21" s="115" t="str">
        <f t="shared" si="47"/>
        <v/>
      </c>
      <c r="HH21" s="115" t="str">
        <f t="shared" si="47"/>
        <v/>
      </c>
      <c r="HI21" s="115" t="str">
        <f t="shared" si="47"/>
        <v/>
      </c>
      <c r="HJ21" s="115" t="str">
        <f t="shared" si="47"/>
        <v/>
      </c>
      <c r="HK21" s="115" t="str">
        <f t="shared" si="47"/>
        <v/>
      </c>
      <c r="HL21" s="115" t="str">
        <f t="shared" si="47"/>
        <v/>
      </c>
      <c r="HM21" s="115" t="str">
        <f t="shared" si="47"/>
        <v/>
      </c>
      <c r="HN21" s="115" t="str">
        <f t="shared" si="47"/>
        <v/>
      </c>
      <c r="HO21" s="115" t="str">
        <f t="shared" si="47"/>
        <v/>
      </c>
      <c r="HP21" s="115" t="str">
        <f t="shared" si="47"/>
        <v/>
      </c>
      <c r="HQ21" s="115" t="str">
        <f t="shared" si="47"/>
        <v/>
      </c>
      <c r="HR21" s="115" t="str">
        <f t="shared" si="47"/>
        <v/>
      </c>
      <c r="HS21" s="115" t="str">
        <f t="shared" si="47"/>
        <v/>
      </c>
      <c r="HT21" s="115" t="str">
        <f t="shared" si="47"/>
        <v/>
      </c>
      <c r="HU21" s="115" t="str">
        <f t="shared" ref="HU21" si="48">IF(GB21="","",",")</f>
        <v/>
      </c>
      <c r="HV21" s="115" t="str">
        <f t="shared" ref="HV21" si="49">IF(GC21="","",",")</f>
        <v/>
      </c>
      <c r="HW21" s="115" t="str">
        <f t="shared" ref="HW21" si="50">IF(GD21="","",",")</f>
        <v/>
      </c>
      <c r="HX21" s="115" t="str">
        <f t="shared" ref="HX21" si="51">IF(GE21="","",",")</f>
        <v/>
      </c>
      <c r="HY21" s="115" t="str">
        <f t="shared" ref="HY21" si="52">IF(GF21="","",",")</f>
        <v/>
      </c>
      <c r="HZ21" s="117"/>
      <c r="IA21" s="117"/>
      <c r="IB21" s="117"/>
      <c r="IC21" s="117"/>
      <c r="ID21" s="117"/>
      <c r="IE21" s="117"/>
      <c r="IF21" s="117"/>
      <c r="IG21" s="117"/>
      <c r="IH21" s="117"/>
      <c r="II21" s="117"/>
      <c r="IJ21" s="117"/>
      <c r="IK21" s="117"/>
      <c r="IL21" s="117"/>
      <c r="IM21" s="117"/>
      <c r="IN21" s="117"/>
      <c r="IO21" s="117"/>
      <c r="IP21" s="117"/>
      <c r="IQ21" s="117"/>
      <c r="IR21" s="117"/>
      <c r="IS21" s="117"/>
      <c r="IT21" s="117"/>
      <c r="IU21" s="117"/>
      <c r="IV21" s="117"/>
      <c r="IW21" s="117"/>
      <c r="IX21" s="117"/>
      <c r="IY21" s="117"/>
      <c r="IZ21" s="117"/>
      <c r="JA21" s="117"/>
      <c r="JB21" s="117"/>
      <c r="JC21" s="117"/>
      <c r="JD21" s="117"/>
      <c r="JE21" s="117"/>
      <c r="JF21" s="117"/>
      <c r="JG21" s="117"/>
      <c r="JH21" s="117"/>
      <c r="JI21" s="117"/>
      <c r="JJ21" s="117"/>
      <c r="JK21" s="117"/>
      <c r="JL21" s="117"/>
      <c r="JM21" s="117"/>
      <c r="JN21" s="117"/>
      <c r="JO21" s="117"/>
      <c r="JP21" s="117"/>
      <c r="JQ21" s="117"/>
      <c r="JR21" s="117"/>
      <c r="JS21" s="114"/>
      <c r="JT21" s="114"/>
      <c r="JU21" s="114"/>
      <c r="JV21" s="114"/>
      <c r="JW21" s="114"/>
      <c r="JX21" s="114"/>
      <c r="JY21" s="114"/>
      <c r="JZ21" s="114"/>
      <c r="KA21" s="114"/>
      <c r="KB21" s="114"/>
      <c r="KC21" s="114"/>
      <c r="KD21" s="114"/>
      <c r="KE21" s="114"/>
      <c r="KF21" s="114"/>
      <c r="KG21" s="114"/>
      <c r="KH21" s="114"/>
      <c r="KI21" s="114"/>
      <c r="KJ21" s="114"/>
      <c r="KK21" s="114"/>
      <c r="KL21" s="114"/>
      <c r="KM21" s="114"/>
      <c r="KN21" s="114"/>
      <c r="KO21" s="114"/>
      <c r="KP21" s="114"/>
      <c r="KQ21" s="114"/>
      <c r="KR21" s="114"/>
      <c r="KS21" s="114"/>
      <c r="KT21" s="114"/>
      <c r="KU21" s="114"/>
      <c r="KV21" s="114"/>
      <c r="KW21" s="114"/>
      <c r="KX21" s="114"/>
      <c r="KY21" s="114"/>
      <c r="KZ21" s="114"/>
      <c r="LA21" s="114"/>
      <c r="LB21" s="114"/>
      <c r="LC21" s="114"/>
      <c r="LD21" s="114"/>
      <c r="LE21" s="114"/>
      <c r="LF21" s="114"/>
      <c r="LG21" s="114"/>
      <c r="LH21" s="114"/>
      <c r="LI21" s="114"/>
      <c r="LJ21" s="114"/>
      <c r="LK21" s="114"/>
    </row>
    <row r="22" spans="1:323" ht="18" x14ac:dyDescent="0.25">
      <c r="A22" s="127"/>
      <c r="B22" s="133"/>
      <c r="C22" s="134"/>
      <c r="D22" s="133"/>
      <c r="E22" s="127"/>
      <c r="F22" s="126"/>
      <c r="G22" s="20" t="s">
        <v>56</v>
      </c>
      <c r="H22" s="21" t="s">
        <v>13</v>
      </c>
      <c r="I22" s="78" t="s">
        <v>269</v>
      </c>
      <c r="J22" s="78" t="s">
        <v>269</v>
      </c>
      <c r="K22" s="78" t="s">
        <v>269</v>
      </c>
      <c r="L22" s="78" t="s">
        <v>269</v>
      </c>
      <c r="M22" s="78" t="s">
        <v>269</v>
      </c>
      <c r="N22" s="78" t="s">
        <v>269</v>
      </c>
      <c r="O22" s="78" t="s">
        <v>269</v>
      </c>
      <c r="P22" s="78" t="s">
        <v>269</v>
      </c>
      <c r="Q22" s="78" t="s">
        <v>269</v>
      </c>
      <c r="R22" s="78" t="s">
        <v>269</v>
      </c>
      <c r="S22" s="78" t="s">
        <v>269</v>
      </c>
      <c r="T22" s="78" t="s">
        <v>269</v>
      </c>
      <c r="U22" s="78" t="s">
        <v>269</v>
      </c>
      <c r="V22" s="78" t="s">
        <v>269</v>
      </c>
      <c r="W22" s="78" t="s">
        <v>269</v>
      </c>
      <c r="X22" s="78" t="s">
        <v>269</v>
      </c>
      <c r="Y22" s="78" t="s">
        <v>269</v>
      </c>
      <c r="Z22" s="78" t="s">
        <v>269</v>
      </c>
      <c r="AA22" s="78" t="s">
        <v>269</v>
      </c>
      <c r="AB22" s="78" t="s">
        <v>269</v>
      </c>
      <c r="AC22" s="78" t="s">
        <v>269</v>
      </c>
      <c r="AD22" s="78" t="s">
        <v>269</v>
      </c>
      <c r="AE22" s="78" t="s">
        <v>269</v>
      </c>
      <c r="AF22" s="78" t="s">
        <v>269</v>
      </c>
      <c r="AG22" s="78" t="s">
        <v>269</v>
      </c>
      <c r="AH22" s="78" t="s">
        <v>269</v>
      </c>
      <c r="AI22" s="78" t="s">
        <v>269</v>
      </c>
      <c r="AJ22" s="78" t="s">
        <v>269</v>
      </c>
      <c r="AK22" s="78" t="s">
        <v>269</v>
      </c>
      <c r="AL22" s="78" t="s">
        <v>269</v>
      </c>
      <c r="AM22" s="78" t="s">
        <v>269</v>
      </c>
      <c r="AN22" s="78" t="s">
        <v>269</v>
      </c>
      <c r="AO22" s="78" t="s">
        <v>269</v>
      </c>
      <c r="AP22" s="78" t="s">
        <v>269</v>
      </c>
      <c r="AQ22" s="78" t="s">
        <v>269</v>
      </c>
      <c r="AR22" s="78" t="s">
        <v>269</v>
      </c>
      <c r="AS22" s="78" t="s">
        <v>269</v>
      </c>
      <c r="AT22" s="78" t="s">
        <v>269</v>
      </c>
      <c r="AU22" s="78" t="s">
        <v>269</v>
      </c>
      <c r="AV22" s="78" t="s">
        <v>269</v>
      </c>
      <c r="AW22" s="78"/>
      <c r="AX22" s="78"/>
      <c r="AY22" s="78"/>
      <c r="AZ22" s="78"/>
      <c r="BA22" s="78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2"/>
      <c r="BR22" s="122"/>
      <c r="BS22" s="122"/>
      <c r="BT22" s="122"/>
      <c r="BU22" s="122"/>
      <c r="BV22" s="122"/>
      <c r="BW22" s="122"/>
      <c r="BX22" s="122"/>
      <c r="BY22" s="122"/>
      <c r="BZ22" s="122"/>
      <c r="CA22" s="122"/>
      <c r="CB22" s="122"/>
      <c r="CC22" s="122"/>
      <c r="CD22" s="122"/>
      <c r="CE22" s="122"/>
      <c r="CF22" s="122"/>
      <c r="CG22" s="122"/>
      <c r="CH22" s="122"/>
      <c r="CI22" s="122"/>
      <c r="CJ22" s="122"/>
      <c r="CK22" s="122"/>
      <c r="CL22" s="122"/>
      <c r="CM22" s="122"/>
      <c r="CN22" s="122"/>
      <c r="CO22" s="122"/>
      <c r="CP22" s="122"/>
      <c r="CQ22" s="122"/>
      <c r="CR22" s="122"/>
      <c r="CS22" s="122"/>
      <c r="CT22" s="122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0"/>
      <c r="EO22" s="120"/>
      <c r="EP22" s="120"/>
      <c r="EQ22" s="120"/>
      <c r="ER22" s="120"/>
      <c r="ES22" s="120"/>
      <c r="ET22" s="120"/>
      <c r="EU22" s="120"/>
      <c r="EV22" s="120"/>
      <c r="EW22" s="120"/>
      <c r="EX22" s="120"/>
      <c r="EY22" s="120"/>
      <c r="EZ22" s="120"/>
      <c r="FA22" s="120"/>
      <c r="FB22" s="120"/>
      <c r="FC22" s="120"/>
      <c r="FD22" s="120"/>
      <c r="FE22" s="120"/>
      <c r="FF22" s="120"/>
      <c r="FG22" s="120"/>
      <c r="FH22" s="120"/>
      <c r="FI22" s="120"/>
      <c r="FJ22" s="120"/>
      <c r="FK22" s="120"/>
      <c r="FL22" s="120"/>
      <c r="FM22" s="120"/>
      <c r="FN22" s="120"/>
      <c r="FO22" s="120"/>
      <c r="FP22" s="120"/>
      <c r="FQ22" s="120"/>
      <c r="FR22" s="120"/>
      <c r="FS22" s="120"/>
      <c r="FT22" s="120"/>
      <c r="FU22" s="120"/>
      <c r="FV22" s="120"/>
      <c r="FW22" s="120"/>
      <c r="FX22" s="120"/>
      <c r="FY22" s="120"/>
      <c r="FZ22" s="120"/>
      <c r="GA22" s="120"/>
      <c r="GB22" s="120"/>
      <c r="GC22" s="120"/>
      <c r="GD22" s="120"/>
      <c r="GE22" s="120"/>
      <c r="GF22" s="120"/>
      <c r="GG22" s="115"/>
      <c r="GH22" s="115"/>
      <c r="GI22" s="115"/>
      <c r="GJ22" s="115"/>
      <c r="GK22" s="115"/>
      <c r="GL22" s="115"/>
      <c r="GM22" s="115"/>
      <c r="GN22" s="115"/>
      <c r="GO22" s="115"/>
      <c r="GP22" s="115"/>
      <c r="GQ22" s="115"/>
      <c r="GR22" s="115"/>
      <c r="GS22" s="115"/>
      <c r="GT22" s="115"/>
      <c r="GU22" s="115"/>
      <c r="GV22" s="115"/>
      <c r="GW22" s="115"/>
      <c r="GX22" s="115"/>
      <c r="GY22" s="115"/>
      <c r="GZ22" s="115"/>
      <c r="HA22" s="115"/>
      <c r="HB22" s="115"/>
      <c r="HC22" s="115"/>
      <c r="HD22" s="115"/>
      <c r="HE22" s="115"/>
      <c r="HF22" s="115"/>
      <c r="HG22" s="115"/>
      <c r="HH22" s="115"/>
      <c r="HI22" s="115"/>
      <c r="HJ22" s="115"/>
      <c r="HK22" s="115"/>
      <c r="HL22" s="115"/>
      <c r="HM22" s="115"/>
      <c r="HN22" s="115"/>
      <c r="HO22" s="115"/>
      <c r="HP22" s="115"/>
      <c r="HQ22" s="115"/>
      <c r="HR22" s="115"/>
      <c r="HS22" s="115"/>
      <c r="HT22" s="115"/>
      <c r="HU22" s="115"/>
      <c r="HV22" s="115"/>
      <c r="HW22" s="115"/>
      <c r="HX22" s="115"/>
      <c r="HY22" s="115"/>
      <c r="HZ22" s="117"/>
      <c r="IA22" s="117"/>
      <c r="IB22" s="117"/>
      <c r="IC22" s="117"/>
      <c r="ID22" s="117"/>
      <c r="IE22" s="117"/>
      <c r="IF22" s="117"/>
      <c r="IG22" s="117"/>
      <c r="IH22" s="117"/>
      <c r="II22" s="117"/>
      <c r="IJ22" s="117"/>
      <c r="IK22" s="117"/>
      <c r="IL22" s="117"/>
      <c r="IM22" s="117"/>
      <c r="IN22" s="117"/>
      <c r="IO22" s="117"/>
      <c r="IP22" s="117"/>
      <c r="IQ22" s="117"/>
      <c r="IR22" s="117"/>
      <c r="IS22" s="117"/>
      <c r="IT22" s="117"/>
      <c r="IU22" s="117"/>
      <c r="IV22" s="117"/>
      <c r="IW22" s="117"/>
      <c r="IX22" s="117"/>
      <c r="IY22" s="117"/>
      <c r="IZ22" s="117"/>
      <c r="JA22" s="117"/>
      <c r="JB22" s="117"/>
      <c r="JC22" s="117"/>
      <c r="JD22" s="117"/>
      <c r="JE22" s="117"/>
      <c r="JF22" s="117"/>
      <c r="JG22" s="117"/>
      <c r="JH22" s="117"/>
      <c r="JI22" s="117"/>
      <c r="JJ22" s="117"/>
      <c r="JK22" s="117"/>
      <c r="JL22" s="117"/>
      <c r="JM22" s="117"/>
      <c r="JN22" s="117"/>
      <c r="JO22" s="117"/>
      <c r="JP22" s="117"/>
      <c r="JQ22" s="117"/>
      <c r="JR22" s="117"/>
      <c r="JS22" s="114"/>
      <c r="JT22" s="114"/>
      <c r="JU22" s="114"/>
      <c r="JV22" s="114"/>
      <c r="JW22" s="114"/>
      <c r="JX22" s="114"/>
      <c r="JY22" s="114"/>
      <c r="JZ22" s="114"/>
      <c r="KA22" s="114"/>
      <c r="KB22" s="114"/>
      <c r="KC22" s="114"/>
      <c r="KD22" s="114"/>
      <c r="KE22" s="114"/>
      <c r="KF22" s="114"/>
      <c r="KG22" s="114"/>
      <c r="KH22" s="114"/>
      <c r="KI22" s="114"/>
      <c r="KJ22" s="114"/>
      <c r="KK22" s="114"/>
      <c r="KL22" s="114"/>
      <c r="KM22" s="114"/>
      <c r="KN22" s="114"/>
      <c r="KO22" s="114"/>
      <c r="KP22" s="114"/>
      <c r="KQ22" s="114"/>
      <c r="KR22" s="114"/>
      <c r="KS22" s="114"/>
      <c r="KT22" s="114"/>
      <c r="KU22" s="114"/>
      <c r="KV22" s="114"/>
      <c r="KW22" s="114"/>
      <c r="KX22" s="114"/>
      <c r="KY22" s="114"/>
      <c r="KZ22" s="114"/>
      <c r="LA22" s="114"/>
      <c r="LB22" s="114"/>
      <c r="LC22" s="114"/>
      <c r="LD22" s="114"/>
      <c r="LE22" s="114"/>
      <c r="LF22" s="114"/>
      <c r="LG22" s="114"/>
      <c r="LH22" s="114"/>
      <c r="LI22" s="114"/>
      <c r="LJ22" s="114"/>
      <c r="LK22" s="114"/>
    </row>
    <row r="23" spans="1:323" ht="31.5" x14ac:dyDescent="0.25">
      <c r="A23" s="127"/>
      <c r="B23" s="133"/>
      <c r="C23" s="134"/>
      <c r="D23" s="133"/>
      <c r="E23" s="127">
        <v>2</v>
      </c>
      <c r="F23" s="126" t="s">
        <v>76</v>
      </c>
      <c r="G23" s="20" t="s">
        <v>56</v>
      </c>
      <c r="H23" s="23" t="s">
        <v>14</v>
      </c>
      <c r="I23" s="78" t="s">
        <v>269</v>
      </c>
      <c r="J23" s="78" t="s">
        <v>269</v>
      </c>
      <c r="K23" s="78" t="s">
        <v>269</v>
      </c>
      <c r="L23" s="78" t="s">
        <v>269</v>
      </c>
      <c r="M23" s="78" t="s">
        <v>269</v>
      </c>
      <c r="N23" s="78" t="s">
        <v>269</v>
      </c>
      <c r="O23" s="78" t="s">
        <v>269</v>
      </c>
      <c r="P23" s="78" t="s">
        <v>269</v>
      </c>
      <c r="Q23" s="78" t="s">
        <v>269</v>
      </c>
      <c r="R23" s="78" t="s">
        <v>269</v>
      </c>
      <c r="S23" s="78" t="s">
        <v>269</v>
      </c>
      <c r="T23" s="78" t="s">
        <v>269</v>
      </c>
      <c r="U23" s="78" t="s">
        <v>269</v>
      </c>
      <c r="V23" s="78" t="s">
        <v>269</v>
      </c>
      <c r="W23" s="78" t="s">
        <v>269</v>
      </c>
      <c r="X23" s="78" t="s">
        <v>269</v>
      </c>
      <c r="Y23" s="78" t="s">
        <v>269</v>
      </c>
      <c r="Z23" s="78" t="s">
        <v>269</v>
      </c>
      <c r="AA23" s="78" t="s">
        <v>269</v>
      </c>
      <c r="AB23" s="78" t="s">
        <v>269</v>
      </c>
      <c r="AC23" s="78" t="s">
        <v>269</v>
      </c>
      <c r="AD23" s="78" t="s">
        <v>269</v>
      </c>
      <c r="AE23" s="78" t="s">
        <v>269</v>
      </c>
      <c r="AF23" s="78" t="s">
        <v>269</v>
      </c>
      <c r="AG23" s="78" t="s">
        <v>269</v>
      </c>
      <c r="AH23" s="78" t="s">
        <v>269</v>
      </c>
      <c r="AI23" s="78" t="s">
        <v>269</v>
      </c>
      <c r="AJ23" s="78" t="s">
        <v>269</v>
      </c>
      <c r="AK23" s="78" t="s">
        <v>269</v>
      </c>
      <c r="AL23" s="78" t="s">
        <v>269</v>
      </c>
      <c r="AM23" s="78" t="s">
        <v>269</v>
      </c>
      <c r="AN23" s="78" t="s">
        <v>269</v>
      </c>
      <c r="AO23" s="78" t="s">
        <v>269</v>
      </c>
      <c r="AP23" s="78" t="s">
        <v>269</v>
      </c>
      <c r="AQ23" s="78" t="s">
        <v>269</v>
      </c>
      <c r="AR23" s="78" t="s">
        <v>269</v>
      </c>
      <c r="AS23" s="78" t="s">
        <v>269</v>
      </c>
      <c r="AT23" s="78" t="s">
        <v>269</v>
      </c>
      <c r="AU23" s="78" t="s">
        <v>269</v>
      </c>
      <c r="AV23" s="78" t="s">
        <v>269</v>
      </c>
      <c r="AW23" s="78"/>
      <c r="AX23" s="78"/>
      <c r="AY23" s="78"/>
      <c r="AZ23" s="78"/>
      <c r="BA23" s="78"/>
      <c r="BB23" s="122">
        <f t="shared" ref="BB23:CO23" si="53">IF(AND(I23="",I24=""),"",COUNTIF(I23:I24,"v"))</f>
        <v>2</v>
      </c>
      <c r="BC23" s="122">
        <f t="shared" si="53"/>
        <v>2</v>
      </c>
      <c r="BD23" s="122">
        <f t="shared" si="53"/>
        <v>2</v>
      </c>
      <c r="BE23" s="122">
        <f t="shared" si="53"/>
        <v>2</v>
      </c>
      <c r="BF23" s="122">
        <f t="shared" si="53"/>
        <v>2</v>
      </c>
      <c r="BG23" s="122">
        <f t="shared" si="53"/>
        <v>2</v>
      </c>
      <c r="BH23" s="122">
        <f t="shared" si="53"/>
        <v>2</v>
      </c>
      <c r="BI23" s="122">
        <f t="shared" si="53"/>
        <v>2</v>
      </c>
      <c r="BJ23" s="122">
        <f t="shared" si="53"/>
        <v>2</v>
      </c>
      <c r="BK23" s="122">
        <f t="shared" si="53"/>
        <v>2</v>
      </c>
      <c r="BL23" s="122">
        <f t="shared" si="53"/>
        <v>2</v>
      </c>
      <c r="BM23" s="122">
        <f t="shared" si="53"/>
        <v>2</v>
      </c>
      <c r="BN23" s="122">
        <f t="shared" si="53"/>
        <v>2</v>
      </c>
      <c r="BO23" s="122">
        <f t="shared" si="53"/>
        <v>2</v>
      </c>
      <c r="BP23" s="122">
        <f t="shared" si="53"/>
        <v>2</v>
      </c>
      <c r="BQ23" s="122">
        <f t="shared" si="53"/>
        <v>2</v>
      </c>
      <c r="BR23" s="122">
        <f t="shared" si="53"/>
        <v>2</v>
      </c>
      <c r="BS23" s="122">
        <f t="shared" si="53"/>
        <v>2</v>
      </c>
      <c r="BT23" s="122">
        <f t="shared" si="53"/>
        <v>2</v>
      </c>
      <c r="BU23" s="122">
        <f t="shared" si="53"/>
        <v>2</v>
      </c>
      <c r="BV23" s="122">
        <f t="shared" si="53"/>
        <v>2</v>
      </c>
      <c r="BW23" s="122">
        <f t="shared" si="53"/>
        <v>2</v>
      </c>
      <c r="BX23" s="122">
        <f t="shared" si="53"/>
        <v>2</v>
      </c>
      <c r="BY23" s="122">
        <f t="shared" si="53"/>
        <v>2</v>
      </c>
      <c r="BZ23" s="122">
        <f t="shared" si="53"/>
        <v>2</v>
      </c>
      <c r="CA23" s="122">
        <f t="shared" si="53"/>
        <v>2</v>
      </c>
      <c r="CB23" s="122">
        <f t="shared" si="53"/>
        <v>2</v>
      </c>
      <c r="CC23" s="122">
        <f t="shared" si="53"/>
        <v>2</v>
      </c>
      <c r="CD23" s="122">
        <f t="shared" si="53"/>
        <v>2</v>
      </c>
      <c r="CE23" s="122">
        <f t="shared" si="53"/>
        <v>2</v>
      </c>
      <c r="CF23" s="122">
        <f t="shared" si="53"/>
        <v>2</v>
      </c>
      <c r="CG23" s="122">
        <f t="shared" si="53"/>
        <v>2</v>
      </c>
      <c r="CH23" s="122">
        <f t="shared" si="53"/>
        <v>2</v>
      </c>
      <c r="CI23" s="122">
        <f t="shared" si="53"/>
        <v>2</v>
      </c>
      <c r="CJ23" s="122">
        <f t="shared" si="53"/>
        <v>2</v>
      </c>
      <c r="CK23" s="122">
        <f t="shared" si="53"/>
        <v>2</v>
      </c>
      <c r="CL23" s="122">
        <f t="shared" si="53"/>
        <v>2</v>
      </c>
      <c r="CM23" s="122">
        <f t="shared" si="53"/>
        <v>2</v>
      </c>
      <c r="CN23" s="122">
        <f t="shared" si="53"/>
        <v>2</v>
      </c>
      <c r="CO23" s="122">
        <f t="shared" si="53"/>
        <v>2</v>
      </c>
      <c r="CP23" s="122" t="str">
        <f t="shared" ref="CP23:CT23" si="54">IF(AND(AW23="",AW24=""),"",COUNTIF(AW23:AW24,"v"))</f>
        <v/>
      </c>
      <c r="CQ23" s="122" t="str">
        <f t="shared" si="54"/>
        <v/>
      </c>
      <c r="CR23" s="122" t="str">
        <f t="shared" si="54"/>
        <v/>
      </c>
      <c r="CS23" s="122" t="str">
        <f t="shared" si="54"/>
        <v/>
      </c>
      <c r="CT23" s="122" t="str">
        <f t="shared" si="54"/>
        <v/>
      </c>
      <c r="CU23" s="121" t="str">
        <f t="shared" ref="CU23" si="55">IF(BB23="","",IF(BB23=0,"Ditolak",IF(BB23=1,"Diperbaiki","Digunakan")))</f>
        <v>Digunakan</v>
      </c>
      <c r="CV23" s="121" t="str">
        <f t="shared" ref="CV23:EH23" si="56">IF(BC23="","",IF(BC23=0,"Ditolak",IF(AND(BC23&gt;=1,BC23&lt;2),"Diperbaiki","Digunakan")))</f>
        <v>Digunakan</v>
      </c>
      <c r="CW23" s="121" t="str">
        <f t="shared" si="56"/>
        <v>Digunakan</v>
      </c>
      <c r="CX23" s="121" t="str">
        <f t="shared" si="56"/>
        <v>Digunakan</v>
      </c>
      <c r="CY23" s="121" t="str">
        <f t="shared" si="56"/>
        <v>Digunakan</v>
      </c>
      <c r="CZ23" s="121" t="str">
        <f t="shared" si="56"/>
        <v>Digunakan</v>
      </c>
      <c r="DA23" s="121" t="str">
        <f t="shared" si="56"/>
        <v>Digunakan</v>
      </c>
      <c r="DB23" s="121" t="str">
        <f t="shared" si="56"/>
        <v>Digunakan</v>
      </c>
      <c r="DC23" s="121" t="str">
        <f t="shared" si="56"/>
        <v>Digunakan</v>
      </c>
      <c r="DD23" s="121" t="str">
        <f t="shared" si="56"/>
        <v>Digunakan</v>
      </c>
      <c r="DE23" s="121" t="str">
        <f t="shared" si="56"/>
        <v>Digunakan</v>
      </c>
      <c r="DF23" s="121" t="str">
        <f t="shared" si="56"/>
        <v>Digunakan</v>
      </c>
      <c r="DG23" s="121" t="str">
        <f t="shared" si="56"/>
        <v>Digunakan</v>
      </c>
      <c r="DH23" s="121" t="str">
        <f t="shared" si="56"/>
        <v>Digunakan</v>
      </c>
      <c r="DI23" s="121" t="str">
        <f t="shared" si="56"/>
        <v>Digunakan</v>
      </c>
      <c r="DJ23" s="121" t="str">
        <f t="shared" si="56"/>
        <v>Digunakan</v>
      </c>
      <c r="DK23" s="121" t="str">
        <f t="shared" si="56"/>
        <v>Digunakan</v>
      </c>
      <c r="DL23" s="121" t="str">
        <f t="shared" si="56"/>
        <v>Digunakan</v>
      </c>
      <c r="DM23" s="121" t="str">
        <f t="shared" si="56"/>
        <v>Digunakan</v>
      </c>
      <c r="DN23" s="121" t="str">
        <f t="shared" si="56"/>
        <v>Digunakan</v>
      </c>
      <c r="DO23" s="121" t="str">
        <f t="shared" si="56"/>
        <v>Digunakan</v>
      </c>
      <c r="DP23" s="121" t="str">
        <f t="shared" si="56"/>
        <v>Digunakan</v>
      </c>
      <c r="DQ23" s="121" t="str">
        <f t="shared" si="56"/>
        <v>Digunakan</v>
      </c>
      <c r="DR23" s="121" t="str">
        <f t="shared" si="56"/>
        <v>Digunakan</v>
      </c>
      <c r="DS23" s="121" t="str">
        <f t="shared" si="56"/>
        <v>Digunakan</v>
      </c>
      <c r="DT23" s="121" t="str">
        <f t="shared" si="56"/>
        <v>Digunakan</v>
      </c>
      <c r="DU23" s="121" t="str">
        <f t="shared" si="56"/>
        <v>Digunakan</v>
      </c>
      <c r="DV23" s="121" t="str">
        <f t="shared" si="56"/>
        <v>Digunakan</v>
      </c>
      <c r="DW23" s="121" t="str">
        <f t="shared" si="56"/>
        <v>Digunakan</v>
      </c>
      <c r="DX23" s="121" t="str">
        <f t="shared" si="56"/>
        <v>Digunakan</v>
      </c>
      <c r="DY23" s="121" t="str">
        <f t="shared" si="56"/>
        <v>Digunakan</v>
      </c>
      <c r="DZ23" s="121" t="str">
        <f t="shared" si="56"/>
        <v>Digunakan</v>
      </c>
      <c r="EA23" s="121" t="str">
        <f t="shared" si="56"/>
        <v>Digunakan</v>
      </c>
      <c r="EB23" s="121" t="str">
        <f t="shared" si="56"/>
        <v>Digunakan</v>
      </c>
      <c r="EC23" s="121" t="str">
        <f t="shared" si="56"/>
        <v>Digunakan</v>
      </c>
      <c r="ED23" s="121" t="str">
        <f t="shared" si="56"/>
        <v>Digunakan</v>
      </c>
      <c r="EE23" s="121" t="str">
        <f t="shared" si="56"/>
        <v>Digunakan</v>
      </c>
      <c r="EF23" s="121" t="str">
        <f t="shared" si="56"/>
        <v>Digunakan</v>
      </c>
      <c r="EG23" s="121" t="str">
        <f t="shared" si="56"/>
        <v>Digunakan</v>
      </c>
      <c r="EH23" s="121" t="str">
        <f t="shared" si="56"/>
        <v>Digunakan</v>
      </c>
      <c r="EI23" s="121" t="str">
        <f t="shared" ref="EI23:EM23" si="57">IF(CP23="","",IF(CP23=0,"Ditolak",IF(AND(CP23&gt;=1,CP23&lt;2),"Diperbaiki","Digunakan")))</f>
        <v/>
      </c>
      <c r="EJ23" s="121" t="str">
        <f t="shared" si="57"/>
        <v/>
      </c>
      <c r="EK23" s="121" t="str">
        <f t="shared" si="57"/>
        <v/>
      </c>
      <c r="EL23" s="121" t="str">
        <f t="shared" si="57"/>
        <v/>
      </c>
      <c r="EM23" s="121" t="str">
        <f t="shared" si="57"/>
        <v/>
      </c>
      <c r="EN23" s="120"/>
      <c r="EO23" s="120"/>
      <c r="EP23" s="120"/>
      <c r="EQ23" s="120"/>
      <c r="ER23" s="120"/>
      <c r="ES23" s="120"/>
      <c r="ET23" s="120"/>
      <c r="EU23" s="120"/>
      <c r="EV23" s="120"/>
      <c r="EW23" s="120"/>
      <c r="EX23" s="120"/>
      <c r="EY23" s="120"/>
      <c r="EZ23" s="120"/>
      <c r="FA23" s="120"/>
      <c r="FB23" s="120"/>
      <c r="FC23" s="120"/>
      <c r="FD23" s="120"/>
      <c r="FE23" s="120"/>
      <c r="FF23" s="120"/>
      <c r="FG23" s="120"/>
      <c r="FH23" s="120"/>
      <c r="FI23" s="120"/>
      <c r="FJ23" s="120"/>
      <c r="FK23" s="120"/>
      <c r="FL23" s="120"/>
      <c r="FM23" s="120"/>
      <c r="FN23" s="120"/>
      <c r="FO23" s="120"/>
      <c r="FP23" s="120"/>
      <c r="FQ23" s="120"/>
      <c r="FR23" s="120"/>
      <c r="FS23" s="120"/>
      <c r="FT23" s="120"/>
      <c r="FU23" s="120"/>
      <c r="FV23" s="120"/>
      <c r="FW23" s="120"/>
      <c r="FX23" s="120"/>
      <c r="FY23" s="120"/>
      <c r="FZ23" s="120"/>
      <c r="GA23" s="120"/>
      <c r="GB23" s="120"/>
      <c r="GC23" s="120"/>
      <c r="GD23" s="120"/>
      <c r="GE23" s="120"/>
      <c r="GF23" s="120"/>
      <c r="GG23" s="115"/>
      <c r="GH23" s="115"/>
      <c r="GI23" s="115"/>
      <c r="GJ23" s="115"/>
      <c r="GK23" s="115"/>
      <c r="GL23" s="115"/>
      <c r="GM23" s="115"/>
      <c r="GN23" s="115"/>
      <c r="GO23" s="115"/>
      <c r="GP23" s="115"/>
      <c r="GQ23" s="115"/>
      <c r="GR23" s="115"/>
      <c r="GS23" s="115"/>
      <c r="GT23" s="115"/>
      <c r="GU23" s="115"/>
      <c r="GV23" s="115"/>
      <c r="GW23" s="115"/>
      <c r="GX23" s="115"/>
      <c r="GY23" s="115"/>
      <c r="GZ23" s="115"/>
      <c r="HA23" s="115"/>
      <c r="HB23" s="115"/>
      <c r="HC23" s="115"/>
      <c r="HD23" s="115"/>
      <c r="HE23" s="115"/>
      <c r="HF23" s="115"/>
      <c r="HG23" s="115"/>
      <c r="HH23" s="115"/>
      <c r="HI23" s="115"/>
      <c r="HJ23" s="115"/>
      <c r="HK23" s="115"/>
      <c r="HL23" s="115"/>
      <c r="HM23" s="115"/>
      <c r="HN23" s="115"/>
      <c r="HO23" s="115"/>
      <c r="HP23" s="115"/>
      <c r="HQ23" s="115"/>
      <c r="HR23" s="115"/>
      <c r="HS23" s="115"/>
      <c r="HT23" s="115"/>
      <c r="HU23" s="115"/>
      <c r="HV23" s="115"/>
      <c r="HW23" s="115"/>
      <c r="HX23" s="115"/>
      <c r="HY23" s="115"/>
      <c r="HZ23" s="117"/>
      <c r="IA23" s="117"/>
      <c r="IB23" s="117"/>
      <c r="IC23" s="117"/>
      <c r="ID23" s="117"/>
      <c r="IE23" s="117"/>
      <c r="IF23" s="117"/>
      <c r="IG23" s="117"/>
      <c r="IH23" s="117"/>
      <c r="II23" s="117"/>
      <c r="IJ23" s="117"/>
      <c r="IK23" s="117"/>
      <c r="IL23" s="117"/>
      <c r="IM23" s="117"/>
      <c r="IN23" s="117"/>
      <c r="IO23" s="117"/>
      <c r="IP23" s="117"/>
      <c r="IQ23" s="117"/>
      <c r="IR23" s="117"/>
      <c r="IS23" s="117"/>
      <c r="IT23" s="117"/>
      <c r="IU23" s="117"/>
      <c r="IV23" s="117"/>
      <c r="IW23" s="117"/>
      <c r="IX23" s="117"/>
      <c r="IY23" s="117"/>
      <c r="IZ23" s="117"/>
      <c r="JA23" s="117"/>
      <c r="JB23" s="117"/>
      <c r="JC23" s="117"/>
      <c r="JD23" s="117"/>
      <c r="JE23" s="117"/>
      <c r="JF23" s="117"/>
      <c r="JG23" s="117"/>
      <c r="JH23" s="117"/>
      <c r="JI23" s="117"/>
      <c r="JJ23" s="117"/>
      <c r="JK23" s="117"/>
      <c r="JL23" s="117"/>
      <c r="JM23" s="117"/>
      <c r="JN23" s="117"/>
      <c r="JO23" s="117"/>
      <c r="JP23" s="117"/>
      <c r="JQ23" s="117"/>
      <c r="JR23" s="117"/>
      <c r="JS23" s="114"/>
      <c r="JT23" s="114"/>
      <c r="JU23" s="114"/>
      <c r="JV23" s="114"/>
      <c r="JW23" s="114"/>
      <c r="JX23" s="114"/>
      <c r="JY23" s="114"/>
      <c r="JZ23" s="114"/>
      <c r="KA23" s="114"/>
      <c r="KB23" s="114"/>
      <c r="KC23" s="114"/>
      <c r="KD23" s="114"/>
      <c r="KE23" s="114"/>
      <c r="KF23" s="114"/>
      <c r="KG23" s="114"/>
      <c r="KH23" s="114"/>
      <c r="KI23" s="114"/>
      <c r="KJ23" s="114"/>
      <c r="KK23" s="114"/>
      <c r="KL23" s="114"/>
      <c r="KM23" s="114"/>
      <c r="KN23" s="114"/>
      <c r="KO23" s="114"/>
      <c r="KP23" s="114"/>
      <c r="KQ23" s="114"/>
      <c r="KR23" s="114"/>
      <c r="KS23" s="114"/>
      <c r="KT23" s="114"/>
      <c r="KU23" s="114"/>
      <c r="KV23" s="114"/>
      <c r="KW23" s="114"/>
      <c r="KX23" s="114"/>
      <c r="KY23" s="114"/>
      <c r="KZ23" s="114"/>
      <c r="LA23" s="114"/>
      <c r="LB23" s="114"/>
      <c r="LC23" s="114"/>
      <c r="LD23" s="114"/>
      <c r="LE23" s="114"/>
      <c r="LF23" s="114"/>
      <c r="LG23" s="114"/>
      <c r="LH23" s="114"/>
      <c r="LI23" s="114"/>
      <c r="LJ23" s="114"/>
      <c r="LK23" s="114"/>
    </row>
    <row r="24" spans="1:323" ht="31.5" x14ac:dyDescent="0.25">
      <c r="A24" s="127"/>
      <c r="B24" s="133"/>
      <c r="C24" s="134"/>
      <c r="D24" s="133"/>
      <c r="E24" s="127"/>
      <c r="F24" s="126"/>
      <c r="G24" s="20" t="s">
        <v>56</v>
      </c>
      <c r="H24" s="23" t="s">
        <v>77</v>
      </c>
      <c r="I24" s="78" t="s">
        <v>269</v>
      </c>
      <c r="J24" s="78" t="s">
        <v>269</v>
      </c>
      <c r="K24" s="78" t="s">
        <v>269</v>
      </c>
      <c r="L24" s="78" t="s">
        <v>269</v>
      </c>
      <c r="M24" s="78" t="s">
        <v>269</v>
      </c>
      <c r="N24" s="78" t="s">
        <v>269</v>
      </c>
      <c r="O24" s="78" t="s">
        <v>269</v>
      </c>
      <c r="P24" s="78" t="s">
        <v>269</v>
      </c>
      <c r="Q24" s="78" t="s">
        <v>269</v>
      </c>
      <c r="R24" s="78" t="s">
        <v>269</v>
      </c>
      <c r="S24" s="78" t="s">
        <v>269</v>
      </c>
      <c r="T24" s="78" t="s">
        <v>269</v>
      </c>
      <c r="U24" s="78" t="s">
        <v>269</v>
      </c>
      <c r="V24" s="78" t="s">
        <v>269</v>
      </c>
      <c r="W24" s="78" t="s">
        <v>269</v>
      </c>
      <c r="X24" s="78" t="s">
        <v>269</v>
      </c>
      <c r="Y24" s="78" t="s">
        <v>269</v>
      </c>
      <c r="Z24" s="78" t="s">
        <v>269</v>
      </c>
      <c r="AA24" s="78" t="s">
        <v>269</v>
      </c>
      <c r="AB24" s="78" t="s">
        <v>269</v>
      </c>
      <c r="AC24" s="78" t="s">
        <v>269</v>
      </c>
      <c r="AD24" s="78" t="s">
        <v>269</v>
      </c>
      <c r="AE24" s="78" t="s">
        <v>269</v>
      </c>
      <c r="AF24" s="78" t="s">
        <v>269</v>
      </c>
      <c r="AG24" s="78" t="s">
        <v>269</v>
      </c>
      <c r="AH24" s="78" t="s">
        <v>269</v>
      </c>
      <c r="AI24" s="78" t="s">
        <v>269</v>
      </c>
      <c r="AJ24" s="78" t="s">
        <v>269</v>
      </c>
      <c r="AK24" s="78" t="s">
        <v>269</v>
      </c>
      <c r="AL24" s="78" t="s">
        <v>269</v>
      </c>
      <c r="AM24" s="78" t="s">
        <v>269</v>
      </c>
      <c r="AN24" s="78" t="s">
        <v>269</v>
      </c>
      <c r="AO24" s="78" t="s">
        <v>269</v>
      </c>
      <c r="AP24" s="78" t="s">
        <v>269</v>
      </c>
      <c r="AQ24" s="78" t="s">
        <v>269</v>
      </c>
      <c r="AR24" s="78" t="s">
        <v>269</v>
      </c>
      <c r="AS24" s="78" t="s">
        <v>269</v>
      </c>
      <c r="AT24" s="78" t="s">
        <v>269</v>
      </c>
      <c r="AU24" s="78" t="s">
        <v>269</v>
      </c>
      <c r="AV24" s="78" t="s">
        <v>269</v>
      </c>
      <c r="AW24" s="78"/>
      <c r="AX24" s="78"/>
      <c r="AY24" s="78"/>
      <c r="AZ24" s="78"/>
      <c r="BA24" s="78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0"/>
      <c r="EO24" s="120"/>
      <c r="EP24" s="120"/>
      <c r="EQ24" s="120"/>
      <c r="ER24" s="120"/>
      <c r="ES24" s="120"/>
      <c r="ET24" s="120"/>
      <c r="EU24" s="120"/>
      <c r="EV24" s="120"/>
      <c r="EW24" s="120"/>
      <c r="EX24" s="120"/>
      <c r="EY24" s="120"/>
      <c r="EZ24" s="120"/>
      <c r="FA24" s="120"/>
      <c r="FB24" s="120"/>
      <c r="FC24" s="120"/>
      <c r="FD24" s="120"/>
      <c r="FE24" s="120"/>
      <c r="FF24" s="120"/>
      <c r="FG24" s="120"/>
      <c r="FH24" s="120"/>
      <c r="FI24" s="120"/>
      <c r="FJ24" s="120"/>
      <c r="FK24" s="120"/>
      <c r="FL24" s="120"/>
      <c r="FM24" s="120"/>
      <c r="FN24" s="120"/>
      <c r="FO24" s="120"/>
      <c r="FP24" s="120"/>
      <c r="FQ24" s="120"/>
      <c r="FR24" s="120"/>
      <c r="FS24" s="120"/>
      <c r="FT24" s="120"/>
      <c r="FU24" s="120"/>
      <c r="FV24" s="120"/>
      <c r="FW24" s="120"/>
      <c r="FX24" s="120"/>
      <c r="FY24" s="120"/>
      <c r="FZ24" s="120"/>
      <c r="GA24" s="120"/>
      <c r="GB24" s="120"/>
      <c r="GC24" s="120"/>
      <c r="GD24" s="120"/>
      <c r="GE24" s="120"/>
      <c r="GF24" s="120"/>
      <c r="GG24" s="115"/>
      <c r="GH24" s="115"/>
      <c r="GI24" s="115"/>
      <c r="GJ24" s="115"/>
      <c r="GK24" s="115"/>
      <c r="GL24" s="115"/>
      <c r="GM24" s="115"/>
      <c r="GN24" s="115"/>
      <c r="GO24" s="115"/>
      <c r="GP24" s="115"/>
      <c r="GQ24" s="115"/>
      <c r="GR24" s="115"/>
      <c r="GS24" s="115"/>
      <c r="GT24" s="115"/>
      <c r="GU24" s="115"/>
      <c r="GV24" s="115"/>
      <c r="GW24" s="115"/>
      <c r="GX24" s="115"/>
      <c r="GY24" s="115"/>
      <c r="GZ24" s="115"/>
      <c r="HA24" s="115"/>
      <c r="HB24" s="115"/>
      <c r="HC24" s="115"/>
      <c r="HD24" s="115"/>
      <c r="HE24" s="115"/>
      <c r="HF24" s="115"/>
      <c r="HG24" s="115"/>
      <c r="HH24" s="115"/>
      <c r="HI24" s="115"/>
      <c r="HJ24" s="115"/>
      <c r="HK24" s="115"/>
      <c r="HL24" s="115"/>
      <c r="HM24" s="115"/>
      <c r="HN24" s="115"/>
      <c r="HO24" s="115"/>
      <c r="HP24" s="115"/>
      <c r="HQ24" s="115"/>
      <c r="HR24" s="115"/>
      <c r="HS24" s="115"/>
      <c r="HT24" s="115"/>
      <c r="HU24" s="115"/>
      <c r="HV24" s="115"/>
      <c r="HW24" s="115"/>
      <c r="HX24" s="115"/>
      <c r="HY24" s="115"/>
      <c r="HZ24" s="117"/>
      <c r="IA24" s="117"/>
      <c r="IB24" s="117"/>
      <c r="IC24" s="117"/>
      <c r="ID24" s="117"/>
      <c r="IE24" s="117"/>
      <c r="IF24" s="117"/>
      <c r="IG24" s="117"/>
      <c r="IH24" s="117"/>
      <c r="II24" s="117"/>
      <c r="IJ24" s="117"/>
      <c r="IK24" s="117"/>
      <c r="IL24" s="117"/>
      <c r="IM24" s="117"/>
      <c r="IN24" s="117"/>
      <c r="IO24" s="117"/>
      <c r="IP24" s="117"/>
      <c r="IQ24" s="117"/>
      <c r="IR24" s="117"/>
      <c r="IS24" s="117"/>
      <c r="IT24" s="117"/>
      <c r="IU24" s="117"/>
      <c r="IV24" s="117"/>
      <c r="IW24" s="117"/>
      <c r="IX24" s="117"/>
      <c r="IY24" s="117"/>
      <c r="IZ24" s="117"/>
      <c r="JA24" s="117"/>
      <c r="JB24" s="117"/>
      <c r="JC24" s="117"/>
      <c r="JD24" s="117"/>
      <c r="JE24" s="117"/>
      <c r="JF24" s="117"/>
      <c r="JG24" s="117"/>
      <c r="JH24" s="117"/>
      <c r="JI24" s="117"/>
      <c r="JJ24" s="117"/>
      <c r="JK24" s="117"/>
      <c r="JL24" s="117"/>
      <c r="JM24" s="117"/>
      <c r="JN24" s="117"/>
      <c r="JO24" s="117"/>
      <c r="JP24" s="117"/>
      <c r="JQ24" s="117"/>
      <c r="JR24" s="117"/>
      <c r="JS24" s="114"/>
      <c r="JT24" s="114"/>
      <c r="JU24" s="114"/>
      <c r="JV24" s="114"/>
      <c r="JW24" s="114"/>
      <c r="JX24" s="114"/>
      <c r="JY24" s="114"/>
      <c r="JZ24" s="114"/>
      <c r="KA24" s="114"/>
      <c r="KB24" s="114"/>
      <c r="KC24" s="114"/>
      <c r="KD24" s="114"/>
      <c r="KE24" s="114"/>
      <c r="KF24" s="114"/>
      <c r="KG24" s="114"/>
      <c r="KH24" s="114"/>
      <c r="KI24" s="114"/>
      <c r="KJ24" s="114"/>
      <c r="KK24" s="114"/>
      <c r="KL24" s="114"/>
      <c r="KM24" s="114"/>
      <c r="KN24" s="114"/>
      <c r="KO24" s="114"/>
      <c r="KP24" s="114"/>
      <c r="KQ24" s="114"/>
      <c r="KR24" s="114"/>
      <c r="KS24" s="114"/>
      <c r="KT24" s="114"/>
      <c r="KU24" s="114"/>
      <c r="KV24" s="114"/>
      <c r="KW24" s="114"/>
      <c r="KX24" s="114"/>
      <c r="KY24" s="114"/>
      <c r="KZ24" s="114"/>
      <c r="LA24" s="114"/>
      <c r="LB24" s="114"/>
      <c r="LC24" s="114"/>
      <c r="LD24" s="114"/>
      <c r="LE24" s="114"/>
      <c r="LF24" s="114"/>
      <c r="LG24" s="114"/>
      <c r="LH24" s="114"/>
      <c r="LI24" s="114"/>
      <c r="LJ24" s="114"/>
      <c r="LK24" s="114"/>
    </row>
    <row r="25" spans="1:323" ht="63" x14ac:dyDescent="0.25">
      <c r="A25" s="127"/>
      <c r="B25" s="133"/>
      <c r="C25" s="134"/>
      <c r="D25" s="133"/>
      <c r="E25" s="127">
        <v>3</v>
      </c>
      <c r="F25" s="126" t="s">
        <v>78</v>
      </c>
      <c r="G25" s="20" t="s">
        <v>56</v>
      </c>
      <c r="H25" s="23" t="s">
        <v>15</v>
      </c>
      <c r="I25" s="78" t="s">
        <v>269</v>
      </c>
      <c r="J25" s="78" t="s">
        <v>269</v>
      </c>
      <c r="K25" s="78" t="s">
        <v>269</v>
      </c>
      <c r="L25" s="78" t="s">
        <v>269</v>
      </c>
      <c r="M25" s="78" t="s">
        <v>269</v>
      </c>
      <c r="N25" s="78" t="s">
        <v>269</v>
      </c>
      <c r="O25" s="78" t="s">
        <v>269</v>
      </c>
      <c r="P25" s="78" t="s">
        <v>269</v>
      </c>
      <c r="Q25" s="78" t="s">
        <v>269</v>
      </c>
      <c r="R25" s="78" t="s">
        <v>269</v>
      </c>
      <c r="S25" s="78" t="s">
        <v>269</v>
      </c>
      <c r="T25" s="78" t="s">
        <v>269</v>
      </c>
      <c r="U25" s="78" t="s">
        <v>269</v>
      </c>
      <c r="V25" s="78" t="s">
        <v>269</v>
      </c>
      <c r="W25" s="78" t="s">
        <v>269</v>
      </c>
      <c r="X25" s="78" t="s">
        <v>269</v>
      </c>
      <c r="Y25" s="78" t="s">
        <v>269</v>
      </c>
      <c r="Z25" s="78" t="s">
        <v>269</v>
      </c>
      <c r="AA25" s="78" t="s">
        <v>269</v>
      </c>
      <c r="AB25" s="78" t="s">
        <v>269</v>
      </c>
      <c r="AC25" s="78" t="s">
        <v>269</v>
      </c>
      <c r="AD25" s="78" t="s">
        <v>269</v>
      </c>
      <c r="AE25" s="78" t="s">
        <v>269</v>
      </c>
      <c r="AF25" s="78" t="s">
        <v>269</v>
      </c>
      <c r="AG25" s="78" t="s">
        <v>269</v>
      </c>
      <c r="AH25" s="78" t="s">
        <v>269</v>
      </c>
      <c r="AI25" s="78" t="s">
        <v>269</v>
      </c>
      <c r="AJ25" s="78" t="s">
        <v>269</v>
      </c>
      <c r="AK25" s="78" t="s">
        <v>269</v>
      </c>
      <c r="AL25" s="78" t="s">
        <v>269</v>
      </c>
      <c r="AM25" s="78" t="s">
        <v>269</v>
      </c>
      <c r="AN25" s="78" t="s">
        <v>269</v>
      </c>
      <c r="AO25" s="78" t="s">
        <v>269</v>
      </c>
      <c r="AP25" s="78" t="s">
        <v>269</v>
      </c>
      <c r="AQ25" s="78" t="s">
        <v>269</v>
      </c>
      <c r="AR25" s="78" t="s">
        <v>269</v>
      </c>
      <c r="AS25" s="78" t="s">
        <v>269</v>
      </c>
      <c r="AT25" s="78" t="s">
        <v>269</v>
      </c>
      <c r="AU25" s="78" t="s">
        <v>269</v>
      </c>
      <c r="AV25" s="78" t="s">
        <v>269</v>
      </c>
      <c r="AW25" s="78"/>
      <c r="AX25" s="78"/>
      <c r="AY25" s="78"/>
      <c r="AZ25" s="78"/>
      <c r="BA25" s="78"/>
      <c r="BB25" s="122">
        <f t="shared" ref="BB25:CO25" si="58">IF(AND(I25="",I26=""),"",COUNTIF(I25:I26,"v"))</f>
        <v>2</v>
      </c>
      <c r="BC25" s="122">
        <f t="shared" si="58"/>
        <v>2</v>
      </c>
      <c r="BD25" s="122">
        <f t="shared" si="58"/>
        <v>2</v>
      </c>
      <c r="BE25" s="122">
        <f t="shared" si="58"/>
        <v>2</v>
      </c>
      <c r="BF25" s="122">
        <f t="shared" si="58"/>
        <v>2</v>
      </c>
      <c r="BG25" s="122">
        <f t="shared" si="58"/>
        <v>2</v>
      </c>
      <c r="BH25" s="122">
        <f t="shared" si="58"/>
        <v>2</v>
      </c>
      <c r="BI25" s="122">
        <f t="shared" si="58"/>
        <v>2</v>
      </c>
      <c r="BJ25" s="122">
        <f t="shared" si="58"/>
        <v>2</v>
      </c>
      <c r="BK25" s="122">
        <f t="shared" si="58"/>
        <v>2</v>
      </c>
      <c r="BL25" s="122">
        <f t="shared" si="58"/>
        <v>2</v>
      </c>
      <c r="BM25" s="122">
        <f t="shared" si="58"/>
        <v>2</v>
      </c>
      <c r="BN25" s="122">
        <f t="shared" si="58"/>
        <v>2</v>
      </c>
      <c r="BO25" s="122">
        <f t="shared" si="58"/>
        <v>2</v>
      </c>
      <c r="BP25" s="122">
        <f t="shared" si="58"/>
        <v>2</v>
      </c>
      <c r="BQ25" s="122">
        <f t="shared" si="58"/>
        <v>2</v>
      </c>
      <c r="BR25" s="122">
        <f t="shared" si="58"/>
        <v>2</v>
      </c>
      <c r="BS25" s="122">
        <f t="shared" si="58"/>
        <v>2</v>
      </c>
      <c r="BT25" s="122">
        <f t="shared" si="58"/>
        <v>2</v>
      </c>
      <c r="BU25" s="122">
        <f t="shared" si="58"/>
        <v>2</v>
      </c>
      <c r="BV25" s="122">
        <f t="shared" si="58"/>
        <v>2</v>
      </c>
      <c r="BW25" s="122">
        <f t="shared" si="58"/>
        <v>2</v>
      </c>
      <c r="BX25" s="122">
        <f t="shared" si="58"/>
        <v>2</v>
      </c>
      <c r="BY25" s="122">
        <f t="shared" si="58"/>
        <v>2</v>
      </c>
      <c r="BZ25" s="122">
        <f t="shared" si="58"/>
        <v>2</v>
      </c>
      <c r="CA25" s="122">
        <f t="shared" si="58"/>
        <v>2</v>
      </c>
      <c r="CB25" s="122">
        <f t="shared" si="58"/>
        <v>2</v>
      </c>
      <c r="CC25" s="122">
        <f t="shared" si="58"/>
        <v>2</v>
      </c>
      <c r="CD25" s="122">
        <f t="shared" si="58"/>
        <v>2</v>
      </c>
      <c r="CE25" s="122">
        <f t="shared" si="58"/>
        <v>2</v>
      </c>
      <c r="CF25" s="122">
        <f t="shared" si="58"/>
        <v>2</v>
      </c>
      <c r="CG25" s="122">
        <f t="shared" si="58"/>
        <v>2</v>
      </c>
      <c r="CH25" s="122">
        <f t="shared" si="58"/>
        <v>2</v>
      </c>
      <c r="CI25" s="122">
        <f t="shared" si="58"/>
        <v>2</v>
      </c>
      <c r="CJ25" s="122">
        <f t="shared" si="58"/>
        <v>2</v>
      </c>
      <c r="CK25" s="122">
        <f t="shared" si="58"/>
        <v>2</v>
      </c>
      <c r="CL25" s="122">
        <f t="shared" si="58"/>
        <v>2</v>
      </c>
      <c r="CM25" s="122">
        <f t="shared" si="58"/>
        <v>2</v>
      </c>
      <c r="CN25" s="122">
        <f t="shared" si="58"/>
        <v>2</v>
      </c>
      <c r="CO25" s="122">
        <f t="shared" si="58"/>
        <v>2</v>
      </c>
      <c r="CP25" s="122" t="str">
        <f t="shared" ref="CP25:CT25" si="59">IF(AND(AW25="",AW26=""),"",COUNTIF(AW25:AW26,"v"))</f>
        <v/>
      </c>
      <c r="CQ25" s="122" t="str">
        <f t="shared" si="59"/>
        <v/>
      </c>
      <c r="CR25" s="122" t="str">
        <f t="shared" si="59"/>
        <v/>
      </c>
      <c r="CS25" s="122" t="str">
        <f t="shared" si="59"/>
        <v/>
      </c>
      <c r="CT25" s="122" t="str">
        <f t="shared" si="59"/>
        <v/>
      </c>
      <c r="CU25" s="121" t="str">
        <f t="shared" ref="CU25" si="60">IF(BB25="","",IF(BB25=0,"Ditolak",IF(BB25=1,"Diperbaiki","Digunakan")))</f>
        <v>Digunakan</v>
      </c>
      <c r="CV25" s="121" t="str">
        <f t="shared" ref="CV25:EH25" si="61">IF(BC25="","",IF(BC25=0,"Ditolak",IF(AND(BC25&gt;=1,BC25&lt;2),"Diperbaiki","Digunakan")))</f>
        <v>Digunakan</v>
      </c>
      <c r="CW25" s="121" t="str">
        <f t="shared" si="61"/>
        <v>Digunakan</v>
      </c>
      <c r="CX25" s="121" t="str">
        <f t="shared" si="61"/>
        <v>Digunakan</v>
      </c>
      <c r="CY25" s="121" t="str">
        <f t="shared" si="61"/>
        <v>Digunakan</v>
      </c>
      <c r="CZ25" s="121" t="str">
        <f t="shared" si="61"/>
        <v>Digunakan</v>
      </c>
      <c r="DA25" s="121" t="str">
        <f t="shared" si="61"/>
        <v>Digunakan</v>
      </c>
      <c r="DB25" s="121" t="str">
        <f t="shared" si="61"/>
        <v>Digunakan</v>
      </c>
      <c r="DC25" s="121" t="str">
        <f t="shared" si="61"/>
        <v>Digunakan</v>
      </c>
      <c r="DD25" s="121" t="str">
        <f t="shared" si="61"/>
        <v>Digunakan</v>
      </c>
      <c r="DE25" s="121" t="str">
        <f t="shared" si="61"/>
        <v>Digunakan</v>
      </c>
      <c r="DF25" s="121" t="str">
        <f t="shared" si="61"/>
        <v>Digunakan</v>
      </c>
      <c r="DG25" s="121" t="str">
        <f t="shared" si="61"/>
        <v>Digunakan</v>
      </c>
      <c r="DH25" s="121" t="str">
        <f t="shared" si="61"/>
        <v>Digunakan</v>
      </c>
      <c r="DI25" s="121" t="str">
        <f t="shared" si="61"/>
        <v>Digunakan</v>
      </c>
      <c r="DJ25" s="121" t="str">
        <f t="shared" si="61"/>
        <v>Digunakan</v>
      </c>
      <c r="DK25" s="121" t="str">
        <f t="shared" si="61"/>
        <v>Digunakan</v>
      </c>
      <c r="DL25" s="121" t="str">
        <f t="shared" si="61"/>
        <v>Digunakan</v>
      </c>
      <c r="DM25" s="121" t="str">
        <f t="shared" si="61"/>
        <v>Digunakan</v>
      </c>
      <c r="DN25" s="121" t="str">
        <f t="shared" si="61"/>
        <v>Digunakan</v>
      </c>
      <c r="DO25" s="121" t="str">
        <f t="shared" si="61"/>
        <v>Digunakan</v>
      </c>
      <c r="DP25" s="121" t="str">
        <f t="shared" si="61"/>
        <v>Digunakan</v>
      </c>
      <c r="DQ25" s="121" t="str">
        <f t="shared" si="61"/>
        <v>Digunakan</v>
      </c>
      <c r="DR25" s="121" t="str">
        <f t="shared" si="61"/>
        <v>Digunakan</v>
      </c>
      <c r="DS25" s="121" t="str">
        <f t="shared" si="61"/>
        <v>Digunakan</v>
      </c>
      <c r="DT25" s="121" t="str">
        <f t="shared" si="61"/>
        <v>Digunakan</v>
      </c>
      <c r="DU25" s="121" t="str">
        <f t="shared" si="61"/>
        <v>Digunakan</v>
      </c>
      <c r="DV25" s="121" t="str">
        <f t="shared" si="61"/>
        <v>Digunakan</v>
      </c>
      <c r="DW25" s="121" t="str">
        <f t="shared" si="61"/>
        <v>Digunakan</v>
      </c>
      <c r="DX25" s="121" t="str">
        <f t="shared" si="61"/>
        <v>Digunakan</v>
      </c>
      <c r="DY25" s="121" t="str">
        <f t="shared" si="61"/>
        <v>Digunakan</v>
      </c>
      <c r="DZ25" s="121" t="str">
        <f t="shared" si="61"/>
        <v>Digunakan</v>
      </c>
      <c r="EA25" s="121" t="str">
        <f t="shared" si="61"/>
        <v>Digunakan</v>
      </c>
      <c r="EB25" s="121" t="str">
        <f t="shared" si="61"/>
        <v>Digunakan</v>
      </c>
      <c r="EC25" s="121" t="str">
        <f t="shared" si="61"/>
        <v>Digunakan</v>
      </c>
      <c r="ED25" s="121" t="str">
        <f t="shared" si="61"/>
        <v>Digunakan</v>
      </c>
      <c r="EE25" s="121" t="str">
        <f t="shared" si="61"/>
        <v>Digunakan</v>
      </c>
      <c r="EF25" s="121" t="str">
        <f t="shared" si="61"/>
        <v>Digunakan</v>
      </c>
      <c r="EG25" s="121" t="str">
        <f t="shared" si="61"/>
        <v>Digunakan</v>
      </c>
      <c r="EH25" s="121" t="str">
        <f t="shared" si="61"/>
        <v>Digunakan</v>
      </c>
      <c r="EI25" s="121" t="str">
        <f t="shared" ref="EI25:EM25" si="62">IF(CP25="","",IF(CP25=0,"Ditolak",IF(AND(CP25&gt;=1,CP25&lt;2),"Diperbaiki","Digunakan")))</f>
        <v/>
      </c>
      <c r="EJ25" s="121" t="str">
        <f t="shared" si="62"/>
        <v/>
      </c>
      <c r="EK25" s="121" t="str">
        <f t="shared" si="62"/>
        <v/>
      </c>
      <c r="EL25" s="121" t="str">
        <f t="shared" si="62"/>
        <v/>
      </c>
      <c r="EM25" s="121" t="str">
        <f t="shared" si="62"/>
        <v/>
      </c>
      <c r="EN25" s="120"/>
      <c r="EO25" s="120"/>
      <c r="EP25" s="120"/>
      <c r="EQ25" s="120"/>
      <c r="ER25" s="120"/>
      <c r="ES25" s="120"/>
      <c r="ET25" s="120"/>
      <c r="EU25" s="120"/>
      <c r="EV25" s="120"/>
      <c r="EW25" s="120"/>
      <c r="EX25" s="120"/>
      <c r="EY25" s="120"/>
      <c r="EZ25" s="120"/>
      <c r="FA25" s="120"/>
      <c r="FB25" s="120"/>
      <c r="FC25" s="120"/>
      <c r="FD25" s="120"/>
      <c r="FE25" s="120"/>
      <c r="FF25" s="120"/>
      <c r="FG25" s="120"/>
      <c r="FH25" s="120"/>
      <c r="FI25" s="120"/>
      <c r="FJ25" s="120"/>
      <c r="FK25" s="120"/>
      <c r="FL25" s="120"/>
      <c r="FM25" s="120"/>
      <c r="FN25" s="120"/>
      <c r="FO25" s="120"/>
      <c r="FP25" s="120"/>
      <c r="FQ25" s="120"/>
      <c r="FR25" s="120"/>
      <c r="FS25" s="120"/>
      <c r="FT25" s="120"/>
      <c r="FU25" s="120"/>
      <c r="FV25" s="120"/>
      <c r="FW25" s="120"/>
      <c r="FX25" s="120"/>
      <c r="FY25" s="120"/>
      <c r="FZ25" s="120"/>
      <c r="GA25" s="120"/>
      <c r="GB25" s="120"/>
      <c r="GC25" s="120"/>
      <c r="GD25" s="120"/>
      <c r="GE25" s="120"/>
      <c r="GF25" s="120"/>
      <c r="GG25" s="115"/>
      <c r="GH25" s="115"/>
      <c r="GI25" s="115"/>
      <c r="GJ25" s="115"/>
      <c r="GK25" s="115"/>
      <c r="GL25" s="115"/>
      <c r="GM25" s="115"/>
      <c r="GN25" s="115"/>
      <c r="GO25" s="115"/>
      <c r="GP25" s="115"/>
      <c r="GQ25" s="115"/>
      <c r="GR25" s="115"/>
      <c r="GS25" s="115"/>
      <c r="GT25" s="115"/>
      <c r="GU25" s="115"/>
      <c r="GV25" s="115"/>
      <c r="GW25" s="115"/>
      <c r="GX25" s="115"/>
      <c r="GY25" s="115"/>
      <c r="GZ25" s="115"/>
      <c r="HA25" s="115"/>
      <c r="HB25" s="115"/>
      <c r="HC25" s="115"/>
      <c r="HD25" s="115"/>
      <c r="HE25" s="115"/>
      <c r="HF25" s="115"/>
      <c r="HG25" s="115"/>
      <c r="HH25" s="115"/>
      <c r="HI25" s="115"/>
      <c r="HJ25" s="115"/>
      <c r="HK25" s="115"/>
      <c r="HL25" s="115"/>
      <c r="HM25" s="115"/>
      <c r="HN25" s="115"/>
      <c r="HO25" s="115"/>
      <c r="HP25" s="115"/>
      <c r="HQ25" s="115"/>
      <c r="HR25" s="115"/>
      <c r="HS25" s="115"/>
      <c r="HT25" s="115"/>
      <c r="HU25" s="115"/>
      <c r="HV25" s="115"/>
      <c r="HW25" s="115"/>
      <c r="HX25" s="115"/>
      <c r="HY25" s="115"/>
      <c r="HZ25" s="117"/>
      <c r="IA25" s="117"/>
      <c r="IB25" s="117"/>
      <c r="IC25" s="117"/>
      <c r="ID25" s="117"/>
      <c r="IE25" s="117"/>
      <c r="IF25" s="117"/>
      <c r="IG25" s="117"/>
      <c r="IH25" s="117"/>
      <c r="II25" s="117"/>
      <c r="IJ25" s="117"/>
      <c r="IK25" s="117"/>
      <c r="IL25" s="117"/>
      <c r="IM25" s="117"/>
      <c r="IN25" s="117"/>
      <c r="IO25" s="117"/>
      <c r="IP25" s="117"/>
      <c r="IQ25" s="117"/>
      <c r="IR25" s="117"/>
      <c r="IS25" s="117"/>
      <c r="IT25" s="117"/>
      <c r="IU25" s="117"/>
      <c r="IV25" s="117"/>
      <c r="IW25" s="117"/>
      <c r="IX25" s="117"/>
      <c r="IY25" s="117"/>
      <c r="IZ25" s="117"/>
      <c r="JA25" s="117"/>
      <c r="JB25" s="117"/>
      <c r="JC25" s="117"/>
      <c r="JD25" s="117"/>
      <c r="JE25" s="117"/>
      <c r="JF25" s="117"/>
      <c r="JG25" s="117"/>
      <c r="JH25" s="117"/>
      <c r="JI25" s="117"/>
      <c r="JJ25" s="117"/>
      <c r="JK25" s="117"/>
      <c r="JL25" s="117"/>
      <c r="JM25" s="117"/>
      <c r="JN25" s="117"/>
      <c r="JO25" s="117"/>
      <c r="JP25" s="117"/>
      <c r="JQ25" s="117"/>
      <c r="JR25" s="117"/>
      <c r="JS25" s="114"/>
      <c r="JT25" s="114"/>
      <c r="JU25" s="114"/>
      <c r="JV25" s="114"/>
      <c r="JW25" s="114"/>
      <c r="JX25" s="114"/>
      <c r="JY25" s="114"/>
      <c r="JZ25" s="114"/>
      <c r="KA25" s="114"/>
      <c r="KB25" s="114"/>
      <c r="KC25" s="114"/>
      <c r="KD25" s="114"/>
      <c r="KE25" s="114"/>
      <c r="KF25" s="114"/>
      <c r="KG25" s="114"/>
      <c r="KH25" s="114"/>
      <c r="KI25" s="114"/>
      <c r="KJ25" s="114"/>
      <c r="KK25" s="114"/>
      <c r="KL25" s="114"/>
      <c r="KM25" s="114"/>
      <c r="KN25" s="114"/>
      <c r="KO25" s="114"/>
      <c r="KP25" s="114"/>
      <c r="KQ25" s="114"/>
      <c r="KR25" s="114"/>
      <c r="KS25" s="114"/>
      <c r="KT25" s="114"/>
      <c r="KU25" s="114"/>
      <c r="KV25" s="114"/>
      <c r="KW25" s="114"/>
      <c r="KX25" s="114"/>
      <c r="KY25" s="114"/>
      <c r="KZ25" s="114"/>
      <c r="LA25" s="114"/>
      <c r="LB25" s="114"/>
      <c r="LC25" s="114"/>
      <c r="LD25" s="114"/>
      <c r="LE25" s="114"/>
      <c r="LF25" s="114"/>
      <c r="LG25" s="114"/>
      <c r="LH25" s="114"/>
      <c r="LI25" s="114"/>
      <c r="LJ25" s="114"/>
      <c r="LK25" s="114"/>
    </row>
    <row r="26" spans="1:323" ht="31.5" x14ac:dyDescent="0.25">
      <c r="A26" s="127"/>
      <c r="B26" s="133"/>
      <c r="C26" s="134"/>
      <c r="D26" s="133"/>
      <c r="E26" s="127"/>
      <c r="F26" s="126"/>
      <c r="G26" s="20" t="s">
        <v>56</v>
      </c>
      <c r="H26" s="23" t="s">
        <v>79</v>
      </c>
      <c r="I26" s="78" t="s">
        <v>269</v>
      </c>
      <c r="J26" s="78" t="s">
        <v>269</v>
      </c>
      <c r="K26" s="78" t="s">
        <v>269</v>
      </c>
      <c r="L26" s="78" t="s">
        <v>269</v>
      </c>
      <c r="M26" s="78" t="s">
        <v>269</v>
      </c>
      <c r="N26" s="78" t="s">
        <v>269</v>
      </c>
      <c r="O26" s="78" t="s">
        <v>269</v>
      </c>
      <c r="P26" s="78" t="s">
        <v>269</v>
      </c>
      <c r="Q26" s="78" t="s">
        <v>269</v>
      </c>
      <c r="R26" s="78" t="s">
        <v>269</v>
      </c>
      <c r="S26" s="78" t="s">
        <v>269</v>
      </c>
      <c r="T26" s="78" t="s">
        <v>269</v>
      </c>
      <c r="U26" s="78" t="s">
        <v>269</v>
      </c>
      <c r="V26" s="78" t="s">
        <v>269</v>
      </c>
      <c r="W26" s="78" t="s">
        <v>269</v>
      </c>
      <c r="X26" s="78" t="s">
        <v>269</v>
      </c>
      <c r="Y26" s="78" t="s">
        <v>269</v>
      </c>
      <c r="Z26" s="78" t="s">
        <v>269</v>
      </c>
      <c r="AA26" s="78" t="s">
        <v>269</v>
      </c>
      <c r="AB26" s="78" t="s">
        <v>269</v>
      </c>
      <c r="AC26" s="78" t="s">
        <v>269</v>
      </c>
      <c r="AD26" s="78" t="s">
        <v>269</v>
      </c>
      <c r="AE26" s="78" t="s">
        <v>269</v>
      </c>
      <c r="AF26" s="78" t="s">
        <v>269</v>
      </c>
      <c r="AG26" s="78" t="s">
        <v>269</v>
      </c>
      <c r="AH26" s="78" t="s">
        <v>269</v>
      </c>
      <c r="AI26" s="78" t="s">
        <v>269</v>
      </c>
      <c r="AJ26" s="78" t="s">
        <v>269</v>
      </c>
      <c r="AK26" s="78" t="s">
        <v>269</v>
      </c>
      <c r="AL26" s="78" t="s">
        <v>269</v>
      </c>
      <c r="AM26" s="78" t="s">
        <v>269</v>
      </c>
      <c r="AN26" s="78" t="s">
        <v>269</v>
      </c>
      <c r="AO26" s="78" t="s">
        <v>269</v>
      </c>
      <c r="AP26" s="78" t="s">
        <v>269</v>
      </c>
      <c r="AQ26" s="78" t="s">
        <v>269</v>
      </c>
      <c r="AR26" s="78" t="s">
        <v>269</v>
      </c>
      <c r="AS26" s="78" t="s">
        <v>269</v>
      </c>
      <c r="AT26" s="78" t="s">
        <v>269</v>
      </c>
      <c r="AU26" s="78" t="s">
        <v>269</v>
      </c>
      <c r="AV26" s="78" t="s">
        <v>269</v>
      </c>
      <c r="AW26" s="78"/>
      <c r="AX26" s="78"/>
      <c r="AY26" s="78"/>
      <c r="AZ26" s="78"/>
      <c r="BA26" s="78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0"/>
      <c r="EO26" s="120"/>
      <c r="EP26" s="120"/>
      <c r="EQ26" s="120"/>
      <c r="ER26" s="120"/>
      <c r="ES26" s="120"/>
      <c r="ET26" s="120"/>
      <c r="EU26" s="120"/>
      <c r="EV26" s="120"/>
      <c r="EW26" s="120"/>
      <c r="EX26" s="120"/>
      <c r="EY26" s="120"/>
      <c r="EZ26" s="120"/>
      <c r="FA26" s="120"/>
      <c r="FB26" s="120"/>
      <c r="FC26" s="120"/>
      <c r="FD26" s="120"/>
      <c r="FE26" s="120"/>
      <c r="FF26" s="120"/>
      <c r="FG26" s="120"/>
      <c r="FH26" s="120"/>
      <c r="FI26" s="120"/>
      <c r="FJ26" s="120"/>
      <c r="FK26" s="120"/>
      <c r="FL26" s="120"/>
      <c r="FM26" s="120"/>
      <c r="FN26" s="120"/>
      <c r="FO26" s="120"/>
      <c r="FP26" s="120"/>
      <c r="FQ26" s="120"/>
      <c r="FR26" s="120"/>
      <c r="FS26" s="120"/>
      <c r="FT26" s="120"/>
      <c r="FU26" s="120"/>
      <c r="FV26" s="120"/>
      <c r="FW26" s="120"/>
      <c r="FX26" s="120"/>
      <c r="FY26" s="120"/>
      <c r="FZ26" s="120"/>
      <c r="GA26" s="120"/>
      <c r="GB26" s="120"/>
      <c r="GC26" s="120"/>
      <c r="GD26" s="120"/>
      <c r="GE26" s="120"/>
      <c r="GF26" s="120"/>
      <c r="GG26" s="115"/>
      <c r="GH26" s="115"/>
      <c r="GI26" s="115"/>
      <c r="GJ26" s="115"/>
      <c r="GK26" s="115"/>
      <c r="GL26" s="115"/>
      <c r="GM26" s="115"/>
      <c r="GN26" s="115"/>
      <c r="GO26" s="115"/>
      <c r="GP26" s="115"/>
      <c r="GQ26" s="115"/>
      <c r="GR26" s="115"/>
      <c r="GS26" s="115"/>
      <c r="GT26" s="115"/>
      <c r="GU26" s="115"/>
      <c r="GV26" s="115"/>
      <c r="GW26" s="115"/>
      <c r="GX26" s="115"/>
      <c r="GY26" s="115"/>
      <c r="GZ26" s="115"/>
      <c r="HA26" s="115"/>
      <c r="HB26" s="115"/>
      <c r="HC26" s="115"/>
      <c r="HD26" s="115"/>
      <c r="HE26" s="115"/>
      <c r="HF26" s="115"/>
      <c r="HG26" s="115"/>
      <c r="HH26" s="115"/>
      <c r="HI26" s="115"/>
      <c r="HJ26" s="115"/>
      <c r="HK26" s="115"/>
      <c r="HL26" s="115"/>
      <c r="HM26" s="115"/>
      <c r="HN26" s="115"/>
      <c r="HO26" s="115"/>
      <c r="HP26" s="115"/>
      <c r="HQ26" s="115"/>
      <c r="HR26" s="115"/>
      <c r="HS26" s="115"/>
      <c r="HT26" s="115"/>
      <c r="HU26" s="115"/>
      <c r="HV26" s="115"/>
      <c r="HW26" s="115"/>
      <c r="HX26" s="115"/>
      <c r="HY26" s="115"/>
      <c r="HZ26" s="117"/>
      <c r="IA26" s="117"/>
      <c r="IB26" s="117"/>
      <c r="IC26" s="117"/>
      <c r="ID26" s="117"/>
      <c r="IE26" s="117"/>
      <c r="IF26" s="117"/>
      <c r="IG26" s="117"/>
      <c r="IH26" s="117"/>
      <c r="II26" s="117"/>
      <c r="IJ26" s="117"/>
      <c r="IK26" s="117"/>
      <c r="IL26" s="117"/>
      <c r="IM26" s="117"/>
      <c r="IN26" s="117"/>
      <c r="IO26" s="117"/>
      <c r="IP26" s="117"/>
      <c r="IQ26" s="117"/>
      <c r="IR26" s="117"/>
      <c r="IS26" s="117"/>
      <c r="IT26" s="117"/>
      <c r="IU26" s="117"/>
      <c r="IV26" s="117"/>
      <c r="IW26" s="117"/>
      <c r="IX26" s="117"/>
      <c r="IY26" s="117"/>
      <c r="IZ26" s="117"/>
      <c r="JA26" s="117"/>
      <c r="JB26" s="117"/>
      <c r="JC26" s="117"/>
      <c r="JD26" s="117"/>
      <c r="JE26" s="117"/>
      <c r="JF26" s="117"/>
      <c r="JG26" s="117"/>
      <c r="JH26" s="117"/>
      <c r="JI26" s="117"/>
      <c r="JJ26" s="117"/>
      <c r="JK26" s="117"/>
      <c r="JL26" s="117"/>
      <c r="JM26" s="117"/>
      <c r="JN26" s="117"/>
      <c r="JO26" s="117"/>
      <c r="JP26" s="117"/>
      <c r="JQ26" s="117"/>
      <c r="JR26" s="117"/>
      <c r="JS26" s="114"/>
      <c r="JT26" s="114"/>
      <c r="JU26" s="114"/>
      <c r="JV26" s="114"/>
      <c r="JW26" s="114"/>
      <c r="JX26" s="114"/>
      <c r="JY26" s="114"/>
      <c r="JZ26" s="114"/>
      <c r="KA26" s="114"/>
      <c r="KB26" s="114"/>
      <c r="KC26" s="114"/>
      <c r="KD26" s="114"/>
      <c r="KE26" s="114"/>
      <c r="KF26" s="114"/>
      <c r="KG26" s="114"/>
      <c r="KH26" s="114"/>
      <c r="KI26" s="114"/>
      <c r="KJ26" s="114"/>
      <c r="KK26" s="114"/>
      <c r="KL26" s="114"/>
      <c r="KM26" s="114"/>
      <c r="KN26" s="114"/>
      <c r="KO26" s="114"/>
      <c r="KP26" s="114"/>
      <c r="KQ26" s="114"/>
      <c r="KR26" s="114"/>
      <c r="KS26" s="114"/>
      <c r="KT26" s="114"/>
      <c r="KU26" s="114"/>
      <c r="KV26" s="114"/>
      <c r="KW26" s="114"/>
      <c r="KX26" s="114"/>
      <c r="KY26" s="114"/>
      <c r="KZ26" s="114"/>
      <c r="LA26" s="114"/>
      <c r="LB26" s="114"/>
      <c r="LC26" s="114"/>
      <c r="LD26" s="114"/>
      <c r="LE26" s="114"/>
      <c r="LF26" s="114"/>
      <c r="LG26" s="114"/>
      <c r="LH26" s="114"/>
      <c r="LI26" s="114"/>
      <c r="LJ26" s="114"/>
      <c r="LK26" s="114"/>
    </row>
    <row r="27" spans="1:323" ht="47.25" x14ac:dyDescent="0.25">
      <c r="A27" s="127"/>
      <c r="B27" s="133"/>
      <c r="C27" s="134"/>
      <c r="D27" s="133"/>
      <c r="E27" s="127">
        <v>4</v>
      </c>
      <c r="F27" s="126" t="s">
        <v>80</v>
      </c>
      <c r="G27" s="20" t="s">
        <v>56</v>
      </c>
      <c r="H27" s="23" t="s">
        <v>81</v>
      </c>
      <c r="I27" s="78" t="s">
        <v>269</v>
      </c>
      <c r="J27" s="78" t="s">
        <v>269</v>
      </c>
      <c r="K27" s="78" t="s">
        <v>269</v>
      </c>
      <c r="L27" s="78" t="s">
        <v>269</v>
      </c>
      <c r="M27" s="78" t="s">
        <v>269</v>
      </c>
      <c r="N27" s="78" t="s">
        <v>269</v>
      </c>
      <c r="O27" s="78" t="s">
        <v>269</v>
      </c>
      <c r="P27" s="78" t="s">
        <v>269</v>
      </c>
      <c r="Q27" s="78" t="s">
        <v>269</v>
      </c>
      <c r="R27" s="78" t="s">
        <v>269</v>
      </c>
      <c r="S27" s="78" t="s">
        <v>269</v>
      </c>
      <c r="T27" s="78" t="s">
        <v>269</v>
      </c>
      <c r="U27" s="78" t="s">
        <v>269</v>
      </c>
      <c r="V27" s="78" t="s">
        <v>269</v>
      </c>
      <c r="W27" s="78" t="s">
        <v>269</v>
      </c>
      <c r="X27" s="78" t="s">
        <v>269</v>
      </c>
      <c r="Y27" s="78" t="s">
        <v>269</v>
      </c>
      <c r="Z27" s="78" t="s">
        <v>269</v>
      </c>
      <c r="AA27" s="78" t="s">
        <v>269</v>
      </c>
      <c r="AB27" s="78" t="s">
        <v>269</v>
      </c>
      <c r="AC27" s="78" t="s">
        <v>269</v>
      </c>
      <c r="AD27" s="78" t="s">
        <v>269</v>
      </c>
      <c r="AE27" s="78" t="s">
        <v>269</v>
      </c>
      <c r="AF27" s="78" t="s">
        <v>269</v>
      </c>
      <c r="AG27" s="78" t="s">
        <v>269</v>
      </c>
      <c r="AH27" s="78" t="s">
        <v>269</v>
      </c>
      <c r="AI27" s="78" t="s">
        <v>269</v>
      </c>
      <c r="AJ27" s="78" t="s">
        <v>269</v>
      </c>
      <c r="AK27" s="78" t="s">
        <v>269</v>
      </c>
      <c r="AL27" s="78" t="s">
        <v>269</v>
      </c>
      <c r="AM27" s="78" t="s">
        <v>269</v>
      </c>
      <c r="AN27" s="78" t="s">
        <v>269</v>
      </c>
      <c r="AO27" s="78" t="s">
        <v>269</v>
      </c>
      <c r="AP27" s="78" t="s">
        <v>269</v>
      </c>
      <c r="AQ27" s="78" t="s">
        <v>269</v>
      </c>
      <c r="AR27" s="78" t="s">
        <v>269</v>
      </c>
      <c r="AS27" s="78" t="s">
        <v>269</v>
      </c>
      <c r="AT27" s="78" t="s">
        <v>269</v>
      </c>
      <c r="AU27" s="78" t="s">
        <v>269</v>
      </c>
      <c r="AV27" s="78" t="s">
        <v>269</v>
      </c>
      <c r="AW27" s="78"/>
      <c r="AX27" s="78"/>
      <c r="AY27" s="78"/>
      <c r="AZ27" s="78"/>
      <c r="BA27" s="78"/>
      <c r="BB27" s="122">
        <f t="shared" ref="BB27:CO27" si="63">IF(AND(I27="",I28=""),"",COUNTIF(I27:I28,"v"))</f>
        <v>2</v>
      </c>
      <c r="BC27" s="122">
        <f t="shared" si="63"/>
        <v>2</v>
      </c>
      <c r="BD27" s="122">
        <f t="shared" si="63"/>
        <v>2</v>
      </c>
      <c r="BE27" s="122">
        <f t="shared" si="63"/>
        <v>2</v>
      </c>
      <c r="BF27" s="122">
        <f t="shared" si="63"/>
        <v>2</v>
      </c>
      <c r="BG27" s="122">
        <f t="shared" si="63"/>
        <v>2</v>
      </c>
      <c r="BH27" s="122">
        <f t="shared" si="63"/>
        <v>2</v>
      </c>
      <c r="BI27" s="122">
        <f t="shared" si="63"/>
        <v>2</v>
      </c>
      <c r="BJ27" s="122">
        <f t="shared" si="63"/>
        <v>2</v>
      </c>
      <c r="BK27" s="122">
        <f t="shared" si="63"/>
        <v>2</v>
      </c>
      <c r="BL27" s="122">
        <f t="shared" si="63"/>
        <v>2</v>
      </c>
      <c r="BM27" s="122">
        <f t="shared" si="63"/>
        <v>2</v>
      </c>
      <c r="BN27" s="122">
        <f t="shared" si="63"/>
        <v>2</v>
      </c>
      <c r="BO27" s="122">
        <f t="shared" si="63"/>
        <v>2</v>
      </c>
      <c r="BP27" s="122">
        <f t="shared" si="63"/>
        <v>2</v>
      </c>
      <c r="BQ27" s="122">
        <f t="shared" si="63"/>
        <v>2</v>
      </c>
      <c r="BR27" s="122">
        <f t="shared" si="63"/>
        <v>2</v>
      </c>
      <c r="BS27" s="122">
        <f t="shared" si="63"/>
        <v>2</v>
      </c>
      <c r="BT27" s="122">
        <f t="shared" si="63"/>
        <v>2</v>
      </c>
      <c r="BU27" s="122">
        <f t="shared" si="63"/>
        <v>2</v>
      </c>
      <c r="BV27" s="122">
        <f t="shared" si="63"/>
        <v>2</v>
      </c>
      <c r="BW27" s="122">
        <f t="shared" si="63"/>
        <v>2</v>
      </c>
      <c r="BX27" s="122">
        <f t="shared" si="63"/>
        <v>2</v>
      </c>
      <c r="BY27" s="122">
        <f t="shared" si="63"/>
        <v>2</v>
      </c>
      <c r="BZ27" s="122">
        <f t="shared" si="63"/>
        <v>2</v>
      </c>
      <c r="CA27" s="122">
        <f t="shared" si="63"/>
        <v>2</v>
      </c>
      <c r="CB27" s="122">
        <f t="shared" si="63"/>
        <v>2</v>
      </c>
      <c r="CC27" s="122">
        <f t="shared" si="63"/>
        <v>2</v>
      </c>
      <c r="CD27" s="122">
        <f t="shared" si="63"/>
        <v>2</v>
      </c>
      <c r="CE27" s="122">
        <f t="shared" si="63"/>
        <v>2</v>
      </c>
      <c r="CF27" s="122">
        <f t="shared" si="63"/>
        <v>2</v>
      </c>
      <c r="CG27" s="122">
        <f t="shared" si="63"/>
        <v>2</v>
      </c>
      <c r="CH27" s="122">
        <f t="shared" si="63"/>
        <v>2</v>
      </c>
      <c r="CI27" s="122">
        <f t="shared" si="63"/>
        <v>2</v>
      </c>
      <c r="CJ27" s="122">
        <f t="shared" si="63"/>
        <v>2</v>
      </c>
      <c r="CK27" s="122">
        <f t="shared" si="63"/>
        <v>2</v>
      </c>
      <c r="CL27" s="122">
        <f t="shared" si="63"/>
        <v>2</v>
      </c>
      <c r="CM27" s="122">
        <f t="shared" si="63"/>
        <v>2</v>
      </c>
      <c r="CN27" s="122">
        <f t="shared" si="63"/>
        <v>2</v>
      </c>
      <c r="CO27" s="122">
        <f t="shared" si="63"/>
        <v>2</v>
      </c>
      <c r="CP27" s="122" t="str">
        <f t="shared" ref="CP27:CT27" si="64">IF(AND(AW27="",AW28=""),"",COUNTIF(AW27:AW28,"v"))</f>
        <v/>
      </c>
      <c r="CQ27" s="122" t="str">
        <f t="shared" si="64"/>
        <v/>
      </c>
      <c r="CR27" s="122" t="str">
        <f t="shared" si="64"/>
        <v/>
      </c>
      <c r="CS27" s="122" t="str">
        <f t="shared" si="64"/>
        <v/>
      </c>
      <c r="CT27" s="122" t="str">
        <f t="shared" si="64"/>
        <v/>
      </c>
      <c r="CU27" s="121" t="str">
        <f t="shared" ref="CU27" si="65">IF(BB27="","",IF(BB27=0,"Ditolak",IF(BB27=1,"Diperbaiki","Digunakan")))</f>
        <v>Digunakan</v>
      </c>
      <c r="CV27" s="121" t="str">
        <f t="shared" ref="CV27:EH27" si="66">IF(BC27="","",IF(BC27=0,"Ditolak",IF(AND(BC27&gt;=1,BC27&lt;2),"Diperbaiki","Digunakan")))</f>
        <v>Digunakan</v>
      </c>
      <c r="CW27" s="121" t="str">
        <f t="shared" si="66"/>
        <v>Digunakan</v>
      </c>
      <c r="CX27" s="121" t="str">
        <f t="shared" si="66"/>
        <v>Digunakan</v>
      </c>
      <c r="CY27" s="121" t="str">
        <f t="shared" si="66"/>
        <v>Digunakan</v>
      </c>
      <c r="CZ27" s="121" t="str">
        <f t="shared" si="66"/>
        <v>Digunakan</v>
      </c>
      <c r="DA27" s="121" t="str">
        <f t="shared" si="66"/>
        <v>Digunakan</v>
      </c>
      <c r="DB27" s="121" t="str">
        <f t="shared" si="66"/>
        <v>Digunakan</v>
      </c>
      <c r="DC27" s="121" t="str">
        <f t="shared" si="66"/>
        <v>Digunakan</v>
      </c>
      <c r="DD27" s="121" t="str">
        <f t="shared" si="66"/>
        <v>Digunakan</v>
      </c>
      <c r="DE27" s="121" t="str">
        <f t="shared" si="66"/>
        <v>Digunakan</v>
      </c>
      <c r="DF27" s="121" t="str">
        <f t="shared" si="66"/>
        <v>Digunakan</v>
      </c>
      <c r="DG27" s="121" t="str">
        <f t="shared" si="66"/>
        <v>Digunakan</v>
      </c>
      <c r="DH27" s="121" t="str">
        <f t="shared" si="66"/>
        <v>Digunakan</v>
      </c>
      <c r="DI27" s="121" t="str">
        <f t="shared" si="66"/>
        <v>Digunakan</v>
      </c>
      <c r="DJ27" s="121" t="str">
        <f t="shared" si="66"/>
        <v>Digunakan</v>
      </c>
      <c r="DK27" s="121" t="str">
        <f t="shared" si="66"/>
        <v>Digunakan</v>
      </c>
      <c r="DL27" s="121" t="str">
        <f t="shared" si="66"/>
        <v>Digunakan</v>
      </c>
      <c r="DM27" s="121" t="str">
        <f t="shared" si="66"/>
        <v>Digunakan</v>
      </c>
      <c r="DN27" s="121" t="str">
        <f t="shared" si="66"/>
        <v>Digunakan</v>
      </c>
      <c r="DO27" s="121" t="str">
        <f t="shared" si="66"/>
        <v>Digunakan</v>
      </c>
      <c r="DP27" s="121" t="str">
        <f t="shared" si="66"/>
        <v>Digunakan</v>
      </c>
      <c r="DQ27" s="121" t="str">
        <f t="shared" si="66"/>
        <v>Digunakan</v>
      </c>
      <c r="DR27" s="121" t="str">
        <f t="shared" si="66"/>
        <v>Digunakan</v>
      </c>
      <c r="DS27" s="121" t="str">
        <f t="shared" si="66"/>
        <v>Digunakan</v>
      </c>
      <c r="DT27" s="121" t="str">
        <f t="shared" si="66"/>
        <v>Digunakan</v>
      </c>
      <c r="DU27" s="121" t="str">
        <f t="shared" si="66"/>
        <v>Digunakan</v>
      </c>
      <c r="DV27" s="121" t="str">
        <f t="shared" si="66"/>
        <v>Digunakan</v>
      </c>
      <c r="DW27" s="121" t="str">
        <f t="shared" si="66"/>
        <v>Digunakan</v>
      </c>
      <c r="DX27" s="121" t="str">
        <f t="shared" si="66"/>
        <v>Digunakan</v>
      </c>
      <c r="DY27" s="121" t="str">
        <f t="shared" si="66"/>
        <v>Digunakan</v>
      </c>
      <c r="DZ27" s="121" t="str">
        <f t="shared" si="66"/>
        <v>Digunakan</v>
      </c>
      <c r="EA27" s="121" t="str">
        <f t="shared" si="66"/>
        <v>Digunakan</v>
      </c>
      <c r="EB27" s="121" t="str">
        <f t="shared" si="66"/>
        <v>Digunakan</v>
      </c>
      <c r="EC27" s="121" t="str">
        <f t="shared" si="66"/>
        <v>Digunakan</v>
      </c>
      <c r="ED27" s="121" t="str">
        <f t="shared" si="66"/>
        <v>Digunakan</v>
      </c>
      <c r="EE27" s="121" t="str">
        <f t="shared" si="66"/>
        <v>Digunakan</v>
      </c>
      <c r="EF27" s="121" t="str">
        <f t="shared" si="66"/>
        <v>Digunakan</v>
      </c>
      <c r="EG27" s="121" t="str">
        <f t="shared" si="66"/>
        <v>Digunakan</v>
      </c>
      <c r="EH27" s="121" t="str">
        <f t="shared" si="66"/>
        <v>Digunakan</v>
      </c>
      <c r="EI27" s="121" t="str">
        <f t="shared" ref="EI27:EM27" si="67">IF(CP27="","",IF(CP27=0,"Ditolak",IF(AND(CP27&gt;=1,CP27&lt;2),"Diperbaiki","Digunakan")))</f>
        <v/>
      </c>
      <c r="EJ27" s="121" t="str">
        <f t="shared" si="67"/>
        <v/>
      </c>
      <c r="EK27" s="121" t="str">
        <f t="shared" si="67"/>
        <v/>
      </c>
      <c r="EL27" s="121" t="str">
        <f t="shared" si="67"/>
        <v/>
      </c>
      <c r="EM27" s="121" t="str">
        <f t="shared" si="67"/>
        <v/>
      </c>
      <c r="EN27" s="120"/>
      <c r="EO27" s="120"/>
      <c r="EP27" s="120"/>
      <c r="EQ27" s="120"/>
      <c r="ER27" s="120"/>
      <c r="ES27" s="120"/>
      <c r="ET27" s="120"/>
      <c r="EU27" s="120"/>
      <c r="EV27" s="120"/>
      <c r="EW27" s="120"/>
      <c r="EX27" s="120"/>
      <c r="EY27" s="120"/>
      <c r="EZ27" s="120"/>
      <c r="FA27" s="120"/>
      <c r="FB27" s="120"/>
      <c r="FC27" s="120"/>
      <c r="FD27" s="120"/>
      <c r="FE27" s="120"/>
      <c r="FF27" s="120"/>
      <c r="FG27" s="120"/>
      <c r="FH27" s="120"/>
      <c r="FI27" s="120"/>
      <c r="FJ27" s="120"/>
      <c r="FK27" s="120"/>
      <c r="FL27" s="120"/>
      <c r="FM27" s="120"/>
      <c r="FN27" s="120"/>
      <c r="FO27" s="120"/>
      <c r="FP27" s="120"/>
      <c r="FQ27" s="120"/>
      <c r="FR27" s="120"/>
      <c r="FS27" s="120"/>
      <c r="FT27" s="120"/>
      <c r="FU27" s="120"/>
      <c r="FV27" s="120"/>
      <c r="FW27" s="120"/>
      <c r="FX27" s="120"/>
      <c r="FY27" s="120"/>
      <c r="FZ27" s="120"/>
      <c r="GA27" s="120"/>
      <c r="GB27" s="120"/>
      <c r="GC27" s="120"/>
      <c r="GD27" s="120"/>
      <c r="GE27" s="120"/>
      <c r="GF27" s="120"/>
      <c r="GG27" s="115"/>
      <c r="GH27" s="115"/>
      <c r="GI27" s="115"/>
      <c r="GJ27" s="115"/>
      <c r="GK27" s="115"/>
      <c r="GL27" s="115"/>
      <c r="GM27" s="115"/>
      <c r="GN27" s="115"/>
      <c r="GO27" s="115"/>
      <c r="GP27" s="115"/>
      <c r="GQ27" s="115"/>
      <c r="GR27" s="115"/>
      <c r="GS27" s="115"/>
      <c r="GT27" s="115"/>
      <c r="GU27" s="115"/>
      <c r="GV27" s="115"/>
      <c r="GW27" s="115"/>
      <c r="GX27" s="115"/>
      <c r="GY27" s="115"/>
      <c r="GZ27" s="115"/>
      <c r="HA27" s="115"/>
      <c r="HB27" s="115"/>
      <c r="HC27" s="115"/>
      <c r="HD27" s="115"/>
      <c r="HE27" s="115"/>
      <c r="HF27" s="115"/>
      <c r="HG27" s="115"/>
      <c r="HH27" s="115"/>
      <c r="HI27" s="115"/>
      <c r="HJ27" s="115"/>
      <c r="HK27" s="115"/>
      <c r="HL27" s="115"/>
      <c r="HM27" s="115"/>
      <c r="HN27" s="115"/>
      <c r="HO27" s="115"/>
      <c r="HP27" s="115"/>
      <c r="HQ27" s="115"/>
      <c r="HR27" s="115"/>
      <c r="HS27" s="115"/>
      <c r="HT27" s="115"/>
      <c r="HU27" s="115"/>
      <c r="HV27" s="115"/>
      <c r="HW27" s="115"/>
      <c r="HX27" s="115"/>
      <c r="HY27" s="115"/>
      <c r="HZ27" s="117"/>
      <c r="IA27" s="117"/>
      <c r="IB27" s="117"/>
      <c r="IC27" s="117"/>
      <c r="ID27" s="117"/>
      <c r="IE27" s="117"/>
      <c r="IF27" s="117"/>
      <c r="IG27" s="117"/>
      <c r="IH27" s="117"/>
      <c r="II27" s="117"/>
      <c r="IJ27" s="117"/>
      <c r="IK27" s="117"/>
      <c r="IL27" s="117"/>
      <c r="IM27" s="117"/>
      <c r="IN27" s="117"/>
      <c r="IO27" s="117"/>
      <c r="IP27" s="117"/>
      <c r="IQ27" s="117"/>
      <c r="IR27" s="117"/>
      <c r="IS27" s="117"/>
      <c r="IT27" s="117"/>
      <c r="IU27" s="117"/>
      <c r="IV27" s="117"/>
      <c r="IW27" s="117"/>
      <c r="IX27" s="117"/>
      <c r="IY27" s="117"/>
      <c r="IZ27" s="117"/>
      <c r="JA27" s="117"/>
      <c r="JB27" s="117"/>
      <c r="JC27" s="117"/>
      <c r="JD27" s="117"/>
      <c r="JE27" s="117"/>
      <c r="JF27" s="117"/>
      <c r="JG27" s="117"/>
      <c r="JH27" s="117"/>
      <c r="JI27" s="117"/>
      <c r="JJ27" s="117"/>
      <c r="JK27" s="117"/>
      <c r="JL27" s="117"/>
      <c r="JM27" s="117"/>
      <c r="JN27" s="117"/>
      <c r="JO27" s="117"/>
      <c r="JP27" s="117"/>
      <c r="JQ27" s="117"/>
      <c r="JR27" s="117"/>
      <c r="JS27" s="114"/>
      <c r="JT27" s="114"/>
      <c r="JU27" s="114"/>
      <c r="JV27" s="114"/>
      <c r="JW27" s="114"/>
      <c r="JX27" s="114"/>
      <c r="JY27" s="114"/>
      <c r="JZ27" s="114"/>
      <c r="KA27" s="114"/>
      <c r="KB27" s="114"/>
      <c r="KC27" s="114"/>
      <c r="KD27" s="114"/>
      <c r="KE27" s="114"/>
      <c r="KF27" s="114"/>
      <c r="KG27" s="114"/>
      <c r="KH27" s="114"/>
      <c r="KI27" s="114"/>
      <c r="KJ27" s="114"/>
      <c r="KK27" s="114"/>
      <c r="KL27" s="114"/>
      <c r="KM27" s="114"/>
      <c r="KN27" s="114"/>
      <c r="KO27" s="114"/>
      <c r="KP27" s="114"/>
      <c r="KQ27" s="114"/>
      <c r="KR27" s="114"/>
      <c r="KS27" s="114"/>
      <c r="KT27" s="114"/>
      <c r="KU27" s="114"/>
      <c r="KV27" s="114"/>
      <c r="KW27" s="114"/>
      <c r="KX27" s="114"/>
      <c r="KY27" s="114"/>
      <c r="KZ27" s="114"/>
      <c r="LA27" s="114"/>
      <c r="LB27" s="114"/>
      <c r="LC27" s="114"/>
      <c r="LD27" s="114"/>
      <c r="LE27" s="114"/>
      <c r="LF27" s="114"/>
      <c r="LG27" s="114"/>
      <c r="LH27" s="114"/>
      <c r="LI27" s="114"/>
      <c r="LJ27" s="114"/>
      <c r="LK27" s="114"/>
    </row>
    <row r="28" spans="1:323" ht="31.5" x14ac:dyDescent="0.25">
      <c r="A28" s="127"/>
      <c r="B28" s="133"/>
      <c r="C28" s="134"/>
      <c r="D28" s="133"/>
      <c r="E28" s="127"/>
      <c r="F28" s="126"/>
      <c r="G28" s="20" t="s">
        <v>56</v>
      </c>
      <c r="H28" s="23" t="s">
        <v>16</v>
      </c>
      <c r="I28" s="78" t="s">
        <v>269</v>
      </c>
      <c r="J28" s="78" t="s">
        <v>269</v>
      </c>
      <c r="K28" s="78" t="s">
        <v>269</v>
      </c>
      <c r="L28" s="78" t="s">
        <v>269</v>
      </c>
      <c r="M28" s="78" t="s">
        <v>269</v>
      </c>
      <c r="N28" s="78" t="s">
        <v>269</v>
      </c>
      <c r="O28" s="78" t="s">
        <v>269</v>
      </c>
      <c r="P28" s="78" t="s">
        <v>269</v>
      </c>
      <c r="Q28" s="78" t="s">
        <v>269</v>
      </c>
      <c r="R28" s="78" t="s">
        <v>269</v>
      </c>
      <c r="S28" s="78" t="s">
        <v>269</v>
      </c>
      <c r="T28" s="78" t="s">
        <v>269</v>
      </c>
      <c r="U28" s="78" t="s">
        <v>269</v>
      </c>
      <c r="V28" s="78" t="s">
        <v>269</v>
      </c>
      <c r="W28" s="78" t="s">
        <v>269</v>
      </c>
      <c r="X28" s="78" t="s">
        <v>269</v>
      </c>
      <c r="Y28" s="78" t="s">
        <v>269</v>
      </c>
      <c r="Z28" s="78" t="s">
        <v>269</v>
      </c>
      <c r="AA28" s="78" t="s">
        <v>269</v>
      </c>
      <c r="AB28" s="78" t="s">
        <v>269</v>
      </c>
      <c r="AC28" s="78" t="s">
        <v>269</v>
      </c>
      <c r="AD28" s="78" t="s">
        <v>269</v>
      </c>
      <c r="AE28" s="78" t="s">
        <v>269</v>
      </c>
      <c r="AF28" s="78" t="s">
        <v>269</v>
      </c>
      <c r="AG28" s="78" t="s">
        <v>269</v>
      </c>
      <c r="AH28" s="78" t="s">
        <v>269</v>
      </c>
      <c r="AI28" s="78" t="s">
        <v>269</v>
      </c>
      <c r="AJ28" s="78" t="s">
        <v>269</v>
      </c>
      <c r="AK28" s="78" t="s">
        <v>269</v>
      </c>
      <c r="AL28" s="78" t="s">
        <v>269</v>
      </c>
      <c r="AM28" s="78" t="s">
        <v>269</v>
      </c>
      <c r="AN28" s="78" t="s">
        <v>269</v>
      </c>
      <c r="AO28" s="78" t="s">
        <v>269</v>
      </c>
      <c r="AP28" s="78" t="s">
        <v>269</v>
      </c>
      <c r="AQ28" s="78" t="s">
        <v>269</v>
      </c>
      <c r="AR28" s="78" t="s">
        <v>269</v>
      </c>
      <c r="AS28" s="78" t="s">
        <v>269</v>
      </c>
      <c r="AT28" s="78" t="s">
        <v>269</v>
      </c>
      <c r="AU28" s="78" t="s">
        <v>269</v>
      </c>
      <c r="AV28" s="78" t="s">
        <v>269</v>
      </c>
      <c r="AW28" s="78"/>
      <c r="AX28" s="78"/>
      <c r="AY28" s="78"/>
      <c r="AZ28" s="78"/>
      <c r="BA28" s="78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  <c r="BU28" s="122"/>
      <c r="BV28" s="122"/>
      <c r="BW28" s="122"/>
      <c r="BX28" s="122"/>
      <c r="BY28" s="122"/>
      <c r="BZ28" s="122"/>
      <c r="CA28" s="122"/>
      <c r="CB28" s="122"/>
      <c r="CC28" s="122"/>
      <c r="CD28" s="122"/>
      <c r="CE28" s="122"/>
      <c r="CF28" s="122"/>
      <c r="CG28" s="122"/>
      <c r="CH28" s="122"/>
      <c r="CI28" s="122"/>
      <c r="CJ28" s="122"/>
      <c r="CK28" s="122"/>
      <c r="CL28" s="122"/>
      <c r="CM28" s="122"/>
      <c r="CN28" s="122"/>
      <c r="CO28" s="122"/>
      <c r="CP28" s="122"/>
      <c r="CQ28" s="122"/>
      <c r="CR28" s="122"/>
      <c r="CS28" s="122"/>
      <c r="CT28" s="122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0"/>
      <c r="EO28" s="120"/>
      <c r="EP28" s="120"/>
      <c r="EQ28" s="120"/>
      <c r="ER28" s="120"/>
      <c r="ES28" s="120"/>
      <c r="ET28" s="120"/>
      <c r="EU28" s="120"/>
      <c r="EV28" s="120"/>
      <c r="EW28" s="120"/>
      <c r="EX28" s="120"/>
      <c r="EY28" s="120"/>
      <c r="EZ28" s="120"/>
      <c r="FA28" s="120"/>
      <c r="FB28" s="120"/>
      <c r="FC28" s="120"/>
      <c r="FD28" s="120"/>
      <c r="FE28" s="120"/>
      <c r="FF28" s="120"/>
      <c r="FG28" s="120"/>
      <c r="FH28" s="120"/>
      <c r="FI28" s="120"/>
      <c r="FJ28" s="120"/>
      <c r="FK28" s="120"/>
      <c r="FL28" s="120"/>
      <c r="FM28" s="120"/>
      <c r="FN28" s="120"/>
      <c r="FO28" s="120"/>
      <c r="FP28" s="120"/>
      <c r="FQ28" s="120"/>
      <c r="FR28" s="120"/>
      <c r="FS28" s="120"/>
      <c r="FT28" s="120"/>
      <c r="FU28" s="120"/>
      <c r="FV28" s="120"/>
      <c r="FW28" s="120"/>
      <c r="FX28" s="120"/>
      <c r="FY28" s="120"/>
      <c r="FZ28" s="120"/>
      <c r="GA28" s="120"/>
      <c r="GB28" s="120"/>
      <c r="GC28" s="120"/>
      <c r="GD28" s="120"/>
      <c r="GE28" s="120"/>
      <c r="GF28" s="120"/>
      <c r="GG28" s="115"/>
      <c r="GH28" s="115"/>
      <c r="GI28" s="115"/>
      <c r="GJ28" s="115"/>
      <c r="GK28" s="115"/>
      <c r="GL28" s="115"/>
      <c r="GM28" s="115"/>
      <c r="GN28" s="115"/>
      <c r="GO28" s="115"/>
      <c r="GP28" s="115"/>
      <c r="GQ28" s="115"/>
      <c r="GR28" s="115"/>
      <c r="GS28" s="115"/>
      <c r="GT28" s="115"/>
      <c r="GU28" s="115"/>
      <c r="GV28" s="115"/>
      <c r="GW28" s="115"/>
      <c r="GX28" s="115"/>
      <c r="GY28" s="115"/>
      <c r="GZ28" s="115"/>
      <c r="HA28" s="115"/>
      <c r="HB28" s="115"/>
      <c r="HC28" s="115"/>
      <c r="HD28" s="115"/>
      <c r="HE28" s="115"/>
      <c r="HF28" s="115"/>
      <c r="HG28" s="115"/>
      <c r="HH28" s="115"/>
      <c r="HI28" s="115"/>
      <c r="HJ28" s="115"/>
      <c r="HK28" s="115"/>
      <c r="HL28" s="115"/>
      <c r="HM28" s="115"/>
      <c r="HN28" s="115"/>
      <c r="HO28" s="115"/>
      <c r="HP28" s="115"/>
      <c r="HQ28" s="115"/>
      <c r="HR28" s="115"/>
      <c r="HS28" s="115"/>
      <c r="HT28" s="115"/>
      <c r="HU28" s="115"/>
      <c r="HV28" s="115"/>
      <c r="HW28" s="115"/>
      <c r="HX28" s="115"/>
      <c r="HY28" s="115"/>
      <c r="HZ28" s="117"/>
      <c r="IA28" s="117"/>
      <c r="IB28" s="117"/>
      <c r="IC28" s="117"/>
      <c r="ID28" s="117"/>
      <c r="IE28" s="117"/>
      <c r="IF28" s="117"/>
      <c r="IG28" s="117"/>
      <c r="IH28" s="117"/>
      <c r="II28" s="117"/>
      <c r="IJ28" s="117"/>
      <c r="IK28" s="117"/>
      <c r="IL28" s="117"/>
      <c r="IM28" s="117"/>
      <c r="IN28" s="117"/>
      <c r="IO28" s="117"/>
      <c r="IP28" s="117"/>
      <c r="IQ28" s="117"/>
      <c r="IR28" s="117"/>
      <c r="IS28" s="117"/>
      <c r="IT28" s="117"/>
      <c r="IU28" s="117"/>
      <c r="IV28" s="117"/>
      <c r="IW28" s="117"/>
      <c r="IX28" s="117"/>
      <c r="IY28" s="117"/>
      <c r="IZ28" s="117"/>
      <c r="JA28" s="117"/>
      <c r="JB28" s="117"/>
      <c r="JC28" s="117"/>
      <c r="JD28" s="117"/>
      <c r="JE28" s="117"/>
      <c r="JF28" s="117"/>
      <c r="JG28" s="117"/>
      <c r="JH28" s="117"/>
      <c r="JI28" s="117"/>
      <c r="JJ28" s="117"/>
      <c r="JK28" s="117"/>
      <c r="JL28" s="117"/>
      <c r="JM28" s="117"/>
      <c r="JN28" s="117"/>
      <c r="JO28" s="117"/>
      <c r="JP28" s="117"/>
      <c r="JQ28" s="117"/>
      <c r="JR28" s="117"/>
      <c r="JS28" s="114"/>
      <c r="JT28" s="114"/>
      <c r="JU28" s="114"/>
      <c r="JV28" s="114"/>
      <c r="JW28" s="114"/>
      <c r="JX28" s="114"/>
      <c r="JY28" s="114"/>
      <c r="JZ28" s="114"/>
      <c r="KA28" s="114"/>
      <c r="KB28" s="114"/>
      <c r="KC28" s="114"/>
      <c r="KD28" s="114"/>
      <c r="KE28" s="114"/>
      <c r="KF28" s="114"/>
      <c r="KG28" s="114"/>
      <c r="KH28" s="114"/>
      <c r="KI28" s="114"/>
      <c r="KJ28" s="114"/>
      <c r="KK28" s="114"/>
      <c r="KL28" s="114"/>
      <c r="KM28" s="114"/>
      <c r="KN28" s="114"/>
      <c r="KO28" s="114"/>
      <c r="KP28" s="114"/>
      <c r="KQ28" s="114"/>
      <c r="KR28" s="114"/>
      <c r="KS28" s="114"/>
      <c r="KT28" s="114"/>
      <c r="KU28" s="114"/>
      <c r="KV28" s="114"/>
      <c r="KW28" s="114"/>
      <c r="KX28" s="114"/>
      <c r="KY28" s="114"/>
      <c r="KZ28" s="114"/>
      <c r="LA28" s="114"/>
      <c r="LB28" s="114"/>
      <c r="LC28" s="114"/>
      <c r="LD28" s="114"/>
      <c r="LE28" s="114"/>
      <c r="LF28" s="114"/>
      <c r="LG28" s="114"/>
      <c r="LH28" s="114"/>
      <c r="LI28" s="114"/>
      <c r="LJ28" s="114"/>
      <c r="LK28" s="114"/>
    </row>
    <row r="29" spans="1:323" ht="31.5" x14ac:dyDescent="0.25">
      <c r="A29" s="127"/>
      <c r="B29" s="133"/>
      <c r="C29" s="134"/>
      <c r="D29" s="133"/>
      <c r="E29" s="127">
        <v>5</v>
      </c>
      <c r="F29" s="126" t="s">
        <v>8</v>
      </c>
      <c r="G29" s="20" t="s">
        <v>56</v>
      </c>
      <c r="H29" s="23" t="s">
        <v>82</v>
      </c>
      <c r="I29" s="78" t="s">
        <v>269</v>
      </c>
      <c r="J29" s="78" t="s">
        <v>269</v>
      </c>
      <c r="K29" s="78" t="s">
        <v>269</v>
      </c>
      <c r="L29" s="78" t="s">
        <v>269</v>
      </c>
      <c r="M29" s="78" t="s">
        <v>269</v>
      </c>
      <c r="N29" s="78" t="s">
        <v>269</v>
      </c>
      <c r="O29" s="78" t="s">
        <v>269</v>
      </c>
      <c r="P29" s="78" t="s">
        <v>269</v>
      </c>
      <c r="Q29" s="78" t="s">
        <v>269</v>
      </c>
      <c r="R29" s="78" t="s">
        <v>269</v>
      </c>
      <c r="S29" s="78" t="s">
        <v>269</v>
      </c>
      <c r="T29" s="78" t="s">
        <v>269</v>
      </c>
      <c r="U29" s="78" t="s">
        <v>269</v>
      </c>
      <c r="V29" s="78" t="s">
        <v>269</v>
      </c>
      <c r="W29" s="78" t="s">
        <v>269</v>
      </c>
      <c r="X29" s="78" t="s">
        <v>269</v>
      </c>
      <c r="Y29" s="78" t="s">
        <v>269</v>
      </c>
      <c r="Z29" s="78" t="s">
        <v>269</v>
      </c>
      <c r="AA29" s="78" t="s">
        <v>269</v>
      </c>
      <c r="AB29" s="78" t="s">
        <v>269</v>
      </c>
      <c r="AC29" s="78" t="s">
        <v>269</v>
      </c>
      <c r="AD29" s="78" t="s">
        <v>269</v>
      </c>
      <c r="AE29" s="78" t="s">
        <v>269</v>
      </c>
      <c r="AF29" s="78" t="s">
        <v>269</v>
      </c>
      <c r="AG29" s="78" t="s">
        <v>269</v>
      </c>
      <c r="AH29" s="78" t="s">
        <v>269</v>
      </c>
      <c r="AI29" s="78" t="s">
        <v>269</v>
      </c>
      <c r="AJ29" s="78" t="s">
        <v>269</v>
      </c>
      <c r="AK29" s="78" t="s">
        <v>269</v>
      </c>
      <c r="AL29" s="78" t="s">
        <v>269</v>
      </c>
      <c r="AM29" s="78" t="s">
        <v>269</v>
      </c>
      <c r="AN29" s="78" t="s">
        <v>269</v>
      </c>
      <c r="AO29" s="78" t="s">
        <v>269</v>
      </c>
      <c r="AP29" s="78" t="s">
        <v>269</v>
      </c>
      <c r="AQ29" s="78" t="s">
        <v>269</v>
      </c>
      <c r="AR29" s="78" t="s">
        <v>269</v>
      </c>
      <c r="AS29" s="78" t="s">
        <v>269</v>
      </c>
      <c r="AT29" s="78" t="s">
        <v>269</v>
      </c>
      <c r="AU29" s="78" t="s">
        <v>269</v>
      </c>
      <c r="AV29" s="78" t="s">
        <v>269</v>
      </c>
      <c r="AW29" s="78"/>
      <c r="AX29" s="78"/>
      <c r="AY29" s="78"/>
      <c r="AZ29" s="78"/>
      <c r="BA29" s="78"/>
      <c r="BB29" s="122">
        <f t="shared" ref="BB29:CO29" si="68">IF(AND(I29="",I30=""),"",COUNTIF(I29:I30,"v"))</f>
        <v>2</v>
      </c>
      <c r="BC29" s="122">
        <f t="shared" si="68"/>
        <v>2</v>
      </c>
      <c r="BD29" s="122">
        <f t="shared" si="68"/>
        <v>2</v>
      </c>
      <c r="BE29" s="122">
        <f t="shared" si="68"/>
        <v>2</v>
      </c>
      <c r="BF29" s="122">
        <f t="shared" si="68"/>
        <v>2</v>
      </c>
      <c r="BG29" s="122">
        <f t="shared" si="68"/>
        <v>2</v>
      </c>
      <c r="BH29" s="122">
        <f t="shared" si="68"/>
        <v>2</v>
      </c>
      <c r="BI29" s="122">
        <f t="shared" si="68"/>
        <v>2</v>
      </c>
      <c r="BJ29" s="122">
        <f t="shared" si="68"/>
        <v>2</v>
      </c>
      <c r="BK29" s="122">
        <f t="shared" si="68"/>
        <v>2</v>
      </c>
      <c r="BL29" s="122">
        <f t="shared" si="68"/>
        <v>2</v>
      </c>
      <c r="BM29" s="122">
        <f t="shared" si="68"/>
        <v>2</v>
      </c>
      <c r="BN29" s="122">
        <f t="shared" si="68"/>
        <v>2</v>
      </c>
      <c r="BO29" s="122">
        <f t="shared" si="68"/>
        <v>2</v>
      </c>
      <c r="BP29" s="122">
        <f t="shared" si="68"/>
        <v>2</v>
      </c>
      <c r="BQ29" s="122">
        <f t="shared" si="68"/>
        <v>2</v>
      </c>
      <c r="BR29" s="122">
        <f t="shared" si="68"/>
        <v>2</v>
      </c>
      <c r="BS29" s="122">
        <f t="shared" si="68"/>
        <v>2</v>
      </c>
      <c r="BT29" s="122">
        <f t="shared" si="68"/>
        <v>2</v>
      </c>
      <c r="BU29" s="122">
        <f t="shared" si="68"/>
        <v>2</v>
      </c>
      <c r="BV29" s="122">
        <f t="shared" si="68"/>
        <v>2</v>
      </c>
      <c r="BW29" s="122">
        <f t="shared" si="68"/>
        <v>2</v>
      </c>
      <c r="BX29" s="122">
        <f t="shared" si="68"/>
        <v>2</v>
      </c>
      <c r="BY29" s="122">
        <f t="shared" si="68"/>
        <v>2</v>
      </c>
      <c r="BZ29" s="122">
        <f t="shared" si="68"/>
        <v>2</v>
      </c>
      <c r="CA29" s="122">
        <f t="shared" si="68"/>
        <v>2</v>
      </c>
      <c r="CB29" s="122">
        <f t="shared" si="68"/>
        <v>2</v>
      </c>
      <c r="CC29" s="122">
        <f t="shared" si="68"/>
        <v>2</v>
      </c>
      <c r="CD29" s="122">
        <f t="shared" si="68"/>
        <v>2</v>
      </c>
      <c r="CE29" s="122">
        <f t="shared" si="68"/>
        <v>2</v>
      </c>
      <c r="CF29" s="122">
        <f t="shared" si="68"/>
        <v>2</v>
      </c>
      <c r="CG29" s="122">
        <f t="shared" si="68"/>
        <v>2</v>
      </c>
      <c r="CH29" s="122">
        <f t="shared" si="68"/>
        <v>2</v>
      </c>
      <c r="CI29" s="122">
        <f t="shared" si="68"/>
        <v>2</v>
      </c>
      <c r="CJ29" s="122">
        <f t="shared" si="68"/>
        <v>2</v>
      </c>
      <c r="CK29" s="122">
        <f t="shared" si="68"/>
        <v>2</v>
      </c>
      <c r="CL29" s="122">
        <f t="shared" si="68"/>
        <v>2</v>
      </c>
      <c r="CM29" s="122">
        <f t="shared" si="68"/>
        <v>2</v>
      </c>
      <c r="CN29" s="122">
        <f t="shared" si="68"/>
        <v>2</v>
      </c>
      <c r="CO29" s="122">
        <f t="shared" si="68"/>
        <v>2</v>
      </c>
      <c r="CP29" s="122" t="str">
        <f t="shared" ref="CP29:CT29" si="69">IF(AND(AW29="",AW30=""),"",COUNTIF(AW29:AW30,"v"))</f>
        <v/>
      </c>
      <c r="CQ29" s="122" t="str">
        <f t="shared" si="69"/>
        <v/>
      </c>
      <c r="CR29" s="122" t="str">
        <f t="shared" si="69"/>
        <v/>
      </c>
      <c r="CS29" s="122" t="str">
        <f t="shared" si="69"/>
        <v/>
      </c>
      <c r="CT29" s="122" t="str">
        <f t="shared" si="69"/>
        <v/>
      </c>
      <c r="CU29" s="121" t="str">
        <f t="shared" ref="CU29" si="70">IF(BB29="","",IF(BB29=0,"Ditolak",IF(BB29=1,"Diperbaiki","Digunakan")))</f>
        <v>Digunakan</v>
      </c>
      <c r="CV29" s="121" t="str">
        <f t="shared" ref="CV29:EH29" si="71">IF(BC29="","",IF(BC29=0,"Ditolak",IF(AND(BC29&gt;=1,BC29&lt;2),"Diperbaiki","Digunakan")))</f>
        <v>Digunakan</v>
      </c>
      <c r="CW29" s="121" t="str">
        <f t="shared" si="71"/>
        <v>Digunakan</v>
      </c>
      <c r="CX29" s="121" t="str">
        <f t="shared" si="71"/>
        <v>Digunakan</v>
      </c>
      <c r="CY29" s="121" t="str">
        <f t="shared" si="71"/>
        <v>Digunakan</v>
      </c>
      <c r="CZ29" s="121" t="str">
        <f t="shared" si="71"/>
        <v>Digunakan</v>
      </c>
      <c r="DA29" s="121" t="str">
        <f t="shared" si="71"/>
        <v>Digunakan</v>
      </c>
      <c r="DB29" s="121" t="str">
        <f t="shared" si="71"/>
        <v>Digunakan</v>
      </c>
      <c r="DC29" s="121" t="str">
        <f t="shared" si="71"/>
        <v>Digunakan</v>
      </c>
      <c r="DD29" s="121" t="str">
        <f t="shared" si="71"/>
        <v>Digunakan</v>
      </c>
      <c r="DE29" s="121" t="str">
        <f t="shared" si="71"/>
        <v>Digunakan</v>
      </c>
      <c r="DF29" s="121" t="str">
        <f t="shared" si="71"/>
        <v>Digunakan</v>
      </c>
      <c r="DG29" s="121" t="str">
        <f t="shared" si="71"/>
        <v>Digunakan</v>
      </c>
      <c r="DH29" s="121" t="str">
        <f t="shared" si="71"/>
        <v>Digunakan</v>
      </c>
      <c r="DI29" s="121" t="str">
        <f t="shared" si="71"/>
        <v>Digunakan</v>
      </c>
      <c r="DJ29" s="121" t="str">
        <f t="shared" si="71"/>
        <v>Digunakan</v>
      </c>
      <c r="DK29" s="121" t="str">
        <f t="shared" si="71"/>
        <v>Digunakan</v>
      </c>
      <c r="DL29" s="121" t="str">
        <f t="shared" si="71"/>
        <v>Digunakan</v>
      </c>
      <c r="DM29" s="121" t="str">
        <f t="shared" si="71"/>
        <v>Digunakan</v>
      </c>
      <c r="DN29" s="121" t="str">
        <f t="shared" si="71"/>
        <v>Digunakan</v>
      </c>
      <c r="DO29" s="121" t="str">
        <f t="shared" si="71"/>
        <v>Digunakan</v>
      </c>
      <c r="DP29" s="121" t="str">
        <f t="shared" si="71"/>
        <v>Digunakan</v>
      </c>
      <c r="DQ29" s="121" t="str">
        <f t="shared" si="71"/>
        <v>Digunakan</v>
      </c>
      <c r="DR29" s="121" t="str">
        <f t="shared" si="71"/>
        <v>Digunakan</v>
      </c>
      <c r="DS29" s="121" t="str">
        <f t="shared" si="71"/>
        <v>Digunakan</v>
      </c>
      <c r="DT29" s="121" t="str">
        <f t="shared" si="71"/>
        <v>Digunakan</v>
      </c>
      <c r="DU29" s="121" t="str">
        <f t="shared" si="71"/>
        <v>Digunakan</v>
      </c>
      <c r="DV29" s="121" t="str">
        <f t="shared" si="71"/>
        <v>Digunakan</v>
      </c>
      <c r="DW29" s="121" t="str">
        <f t="shared" si="71"/>
        <v>Digunakan</v>
      </c>
      <c r="DX29" s="121" t="str">
        <f t="shared" si="71"/>
        <v>Digunakan</v>
      </c>
      <c r="DY29" s="121" t="str">
        <f t="shared" si="71"/>
        <v>Digunakan</v>
      </c>
      <c r="DZ29" s="121" t="str">
        <f t="shared" si="71"/>
        <v>Digunakan</v>
      </c>
      <c r="EA29" s="121" t="str">
        <f t="shared" si="71"/>
        <v>Digunakan</v>
      </c>
      <c r="EB29" s="121" t="str">
        <f t="shared" si="71"/>
        <v>Digunakan</v>
      </c>
      <c r="EC29" s="121" t="str">
        <f t="shared" si="71"/>
        <v>Digunakan</v>
      </c>
      <c r="ED29" s="121" t="str">
        <f t="shared" si="71"/>
        <v>Digunakan</v>
      </c>
      <c r="EE29" s="121" t="str">
        <f t="shared" si="71"/>
        <v>Digunakan</v>
      </c>
      <c r="EF29" s="121" t="str">
        <f t="shared" si="71"/>
        <v>Digunakan</v>
      </c>
      <c r="EG29" s="121" t="str">
        <f t="shared" si="71"/>
        <v>Digunakan</v>
      </c>
      <c r="EH29" s="121" t="str">
        <f t="shared" si="71"/>
        <v>Digunakan</v>
      </c>
      <c r="EI29" s="121" t="str">
        <f t="shared" ref="EI29:EM29" si="72">IF(CP29="","",IF(CP29=0,"Ditolak",IF(AND(CP29&gt;=1,CP29&lt;2),"Diperbaiki","Digunakan")))</f>
        <v/>
      </c>
      <c r="EJ29" s="121" t="str">
        <f t="shared" si="72"/>
        <v/>
      </c>
      <c r="EK29" s="121" t="str">
        <f t="shared" si="72"/>
        <v/>
      </c>
      <c r="EL29" s="121" t="str">
        <f t="shared" si="72"/>
        <v/>
      </c>
      <c r="EM29" s="121" t="str">
        <f t="shared" si="72"/>
        <v/>
      </c>
      <c r="EN29" s="120"/>
      <c r="EO29" s="120"/>
      <c r="EP29" s="120"/>
      <c r="EQ29" s="120"/>
      <c r="ER29" s="120"/>
      <c r="ES29" s="120"/>
      <c r="ET29" s="120"/>
      <c r="EU29" s="120"/>
      <c r="EV29" s="120"/>
      <c r="EW29" s="120"/>
      <c r="EX29" s="120"/>
      <c r="EY29" s="120"/>
      <c r="EZ29" s="120"/>
      <c r="FA29" s="120"/>
      <c r="FB29" s="120"/>
      <c r="FC29" s="120"/>
      <c r="FD29" s="120"/>
      <c r="FE29" s="120"/>
      <c r="FF29" s="120"/>
      <c r="FG29" s="120"/>
      <c r="FH29" s="120"/>
      <c r="FI29" s="120"/>
      <c r="FJ29" s="120"/>
      <c r="FK29" s="120"/>
      <c r="FL29" s="120"/>
      <c r="FM29" s="120"/>
      <c r="FN29" s="120"/>
      <c r="FO29" s="120"/>
      <c r="FP29" s="120"/>
      <c r="FQ29" s="120"/>
      <c r="FR29" s="120"/>
      <c r="FS29" s="120"/>
      <c r="FT29" s="120"/>
      <c r="FU29" s="120"/>
      <c r="FV29" s="120"/>
      <c r="FW29" s="120"/>
      <c r="FX29" s="120"/>
      <c r="FY29" s="120"/>
      <c r="FZ29" s="120"/>
      <c r="GA29" s="120"/>
      <c r="GB29" s="120"/>
      <c r="GC29" s="120"/>
      <c r="GD29" s="120"/>
      <c r="GE29" s="120"/>
      <c r="GF29" s="120"/>
      <c r="GG29" s="115"/>
      <c r="GH29" s="115"/>
      <c r="GI29" s="115"/>
      <c r="GJ29" s="115"/>
      <c r="GK29" s="115"/>
      <c r="GL29" s="115"/>
      <c r="GM29" s="115"/>
      <c r="GN29" s="115"/>
      <c r="GO29" s="115"/>
      <c r="GP29" s="115"/>
      <c r="GQ29" s="115"/>
      <c r="GR29" s="115"/>
      <c r="GS29" s="115"/>
      <c r="GT29" s="115"/>
      <c r="GU29" s="115"/>
      <c r="GV29" s="115"/>
      <c r="GW29" s="115"/>
      <c r="GX29" s="115"/>
      <c r="GY29" s="115"/>
      <c r="GZ29" s="115"/>
      <c r="HA29" s="115"/>
      <c r="HB29" s="115"/>
      <c r="HC29" s="115"/>
      <c r="HD29" s="115"/>
      <c r="HE29" s="115"/>
      <c r="HF29" s="115"/>
      <c r="HG29" s="115"/>
      <c r="HH29" s="115"/>
      <c r="HI29" s="115"/>
      <c r="HJ29" s="115"/>
      <c r="HK29" s="115"/>
      <c r="HL29" s="115"/>
      <c r="HM29" s="115"/>
      <c r="HN29" s="115"/>
      <c r="HO29" s="115"/>
      <c r="HP29" s="115"/>
      <c r="HQ29" s="115"/>
      <c r="HR29" s="115"/>
      <c r="HS29" s="115"/>
      <c r="HT29" s="115"/>
      <c r="HU29" s="115"/>
      <c r="HV29" s="115"/>
      <c r="HW29" s="115"/>
      <c r="HX29" s="115"/>
      <c r="HY29" s="115"/>
      <c r="HZ29" s="117"/>
      <c r="IA29" s="117"/>
      <c r="IB29" s="117"/>
      <c r="IC29" s="117"/>
      <c r="ID29" s="117"/>
      <c r="IE29" s="117"/>
      <c r="IF29" s="117"/>
      <c r="IG29" s="117"/>
      <c r="IH29" s="117"/>
      <c r="II29" s="117"/>
      <c r="IJ29" s="117"/>
      <c r="IK29" s="117"/>
      <c r="IL29" s="117"/>
      <c r="IM29" s="117"/>
      <c r="IN29" s="117"/>
      <c r="IO29" s="117"/>
      <c r="IP29" s="117"/>
      <c r="IQ29" s="117"/>
      <c r="IR29" s="117"/>
      <c r="IS29" s="117"/>
      <c r="IT29" s="117"/>
      <c r="IU29" s="117"/>
      <c r="IV29" s="117"/>
      <c r="IW29" s="117"/>
      <c r="IX29" s="117"/>
      <c r="IY29" s="117"/>
      <c r="IZ29" s="117"/>
      <c r="JA29" s="117"/>
      <c r="JB29" s="117"/>
      <c r="JC29" s="117"/>
      <c r="JD29" s="117"/>
      <c r="JE29" s="117"/>
      <c r="JF29" s="117"/>
      <c r="JG29" s="117"/>
      <c r="JH29" s="117"/>
      <c r="JI29" s="117"/>
      <c r="JJ29" s="117"/>
      <c r="JK29" s="117"/>
      <c r="JL29" s="117"/>
      <c r="JM29" s="117"/>
      <c r="JN29" s="117"/>
      <c r="JO29" s="117"/>
      <c r="JP29" s="117"/>
      <c r="JQ29" s="117"/>
      <c r="JR29" s="117"/>
      <c r="JS29" s="114"/>
      <c r="JT29" s="114"/>
      <c r="JU29" s="114"/>
      <c r="JV29" s="114"/>
      <c r="JW29" s="114"/>
      <c r="JX29" s="114"/>
      <c r="JY29" s="114"/>
      <c r="JZ29" s="114"/>
      <c r="KA29" s="114"/>
      <c r="KB29" s="114"/>
      <c r="KC29" s="114"/>
      <c r="KD29" s="114"/>
      <c r="KE29" s="114"/>
      <c r="KF29" s="114"/>
      <c r="KG29" s="114"/>
      <c r="KH29" s="114"/>
      <c r="KI29" s="114"/>
      <c r="KJ29" s="114"/>
      <c r="KK29" s="114"/>
      <c r="KL29" s="114"/>
      <c r="KM29" s="114"/>
      <c r="KN29" s="114"/>
      <c r="KO29" s="114"/>
      <c r="KP29" s="114"/>
      <c r="KQ29" s="114"/>
      <c r="KR29" s="114"/>
      <c r="KS29" s="114"/>
      <c r="KT29" s="114"/>
      <c r="KU29" s="114"/>
      <c r="KV29" s="114"/>
      <c r="KW29" s="114"/>
      <c r="KX29" s="114"/>
      <c r="KY29" s="114"/>
      <c r="KZ29" s="114"/>
      <c r="LA29" s="114"/>
      <c r="LB29" s="114"/>
      <c r="LC29" s="114"/>
      <c r="LD29" s="114"/>
      <c r="LE29" s="114"/>
      <c r="LF29" s="114"/>
      <c r="LG29" s="114"/>
      <c r="LH29" s="114"/>
      <c r="LI29" s="114"/>
      <c r="LJ29" s="114"/>
      <c r="LK29" s="114"/>
    </row>
    <row r="30" spans="1:323" ht="47.25" x14ac:dyDescent="0.25">
      <c r="A30" s="127"/>
      <c r="B30" s="133"/>
      <c r="C30" s="134"/>
      <c r="D30" s="133"/>
      <c r="E30" s="127"/>
      <c r="F30" s="126"/>
      <c r="G30" s="20" t="s">
        <v>56</v>
      </c>
      <c r="H30" s="23" t="s">
        <v>17</v>
      </c>
      <c r="I30" s="78" t="s">
        <v>269</v>
      </c>
      <c r="J30" s="78" t="s">
        <v>269</v>
      </c>
      <c r="K30" s="78" t="s">
        <v>269</v>
      </c>
      <c r="L30" s="78" t="s">
        <v>269</v>
      </c>
      <c r="M30" s="78" t="s">
        <v>269</v>
      </c>
      <c r="N30" s="78" t="s">
        <v>269</v>
      </c>
      <c r="O30" s="78" t="s">
        <v>269</v>
      </c>
      <c r="P30" s="78" t="s">
        <v>269</v>
      </c>
      <c r="Q30" s="78" t="s">
        <v>269</v>
      </c>
      <c r="R30" s="78" t="s">
        <v>269</v>
      </c>
      <c r="S30" s="78" t="s">
        <v>269</v>
      </c>
      <c r="T30" s="78" t="s">
        <v>269</v>
      </c>
      <c r="U30" s="78" t="s">
        <v>269</v>
      </c>
      <c r="V30" s="78" t="s">
        <v>269</v>
      </c>
      <c r="W30" s="78" t="s">
        <v>269</v>
      </c>
      <c r="X30" s="78" t="s">
        <v>269</v>
      </c>
      <c r="Y30" s="78" t="s">
        <v>269</v>
      </c>
      <c r="Z30" s="78" t="s">
        <v>269</v>
      </c>
      <c r="AA30" s="78" t="s">
        <v>269</v>
      </c>
      <c r="AB30" s="78" t="s">
        <v>269</v>
      </c>
      <c r="AC30" s="78" t="s">
        <v>269</v>
      </c>
      <c r="AD30" s="78" t="s">
        <v>269</v>
      </c>
      <c r="AE30" s="78" t="s">
        <v>269</v>
      </c>
      <c r="AF30" s="78" t="s">
        <v>269</v>
      </c>
      <c r="AG30" s="78" t="s">
        <v>269</v>
      </c>
      <c r="AH30" s="78" t="s">
        <v>269</v>
      </c>
      <c r="AI30" s="78" t="s">
        <v>269</v>
      </c>
      <c r="AJ30" s="78" t="s">
        <v>269</v>
      </c>
      <c r="AK30" s="78" t="s">
        <v>269</v>
      </c>
      <c r="AL30" s="78" t="s">
        <v>269</v>
      </c>
      <c r="AM30" s="78" t="s">
        <v>269</v>
      </c>
      <c r="AN30" s="78" t="s">
        <v>269</v>
      </c>
      <c r="AO30" s="78" t="s">
        <v>269</v>
      </c>
      <c r="AP30" s="78" t="s">
        <v>269</v>
      </c>
      <c r="AQ30" s="78" t="s">
        <v>269</v>
      </c>
      <c r="AR30" s="78" t="s">
        <v>269</v>
      </c>
      <c r="AS30" s="78" t="s">
        <v>269</v>
      </c>
      <c r="AT30" s="78" t="s">
        <v>269</v>
      </c>
      <c r="AU30" s="78" t="s">
        <v>269</v>
      </c>
      <c r="AV30" s="78" t="s">
        <v>269</v>
      </c>
      <c r="AW30" s="78"/>
      <c r="AX30" s="78"/>
      <c r="AY30" s="78"/>
      <c r="AZ30" s="78"/>
      <c r="BA30" s="78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0"/>
      <c r="EO30" s="120"/>
      <c r="EP30" s="120"/>
      <c r="EQ30" s="120"/>
      <c r="ER30" s="120"/>
      <c r="ES30" s="120"/>
      <c r="ET30" s="120"/>
      <c r="EU30" s="120"/>
      <c r="EV30" s="120"/>
      <c r="EW30" s="120"/>
      <c r="EX30" s="120"/>
      <c r="EY30" s="120"/>
      <c r="EZ30" s="120"/>
      <c r="FA30" s="120"/>
      <c r="FB30" s="120"/>
      <c r="FC30" s="120"/>
      <c r="FD30" s="120"/>
      <c r="FE30" s="120"/>
      <c r="FF30" s="120"/>
      <c r="FG30" s="120"/>
      <c r="FH30" s="120"/>
      <c r="FI30" s="120"/>
      <c r="FJ30" s="120"/>
      <c r="FK30" s="120"/>
      <c r="FL30" s="120"/>
      <c r="FM30" s="120"/>
      <c r="FN30" s="120"/>
      <c r="FO30" s="120"/>
      <c r="FP30" s="120"/>
      <c r="FQ30" s="120"/>
      <c r="FR30" s="120"/>
      <c r="FS30" s="120"/>
      <c r="FT30" s="120"/>
      <c r="FU30" s="120"/>
      <c r="FV30" s="120"/>
      <c r="FW30" s="120"/>
      <c r="FX30" s="120"/>
      <c r="FY30" s="120"/>
      <c r="FZ30" s="120"/>
      <c r="GA30" s="120"/>
      <c r="GB30" s="120"/>
      <c r="GC30" s="120"/>
      <c r="GD30" s="120"/>
      <c r="GE30" s="120"/>
      <c r="GF30" s="120"/>
      <c r="GG30" s="115"/>
      <c r="GH30" s="115"/>
      <c r="GI30" s="115"/>
      <c r="GJ30" s="115"/>
      <c r="GK30" s="115"/>
      <c r="GL30" s="115"/>
      <c r="GM30" s="115"/>
      <c r="GN30" s="115"/>
      <c r="GO30" s="115"/>
      <c r="GP30" s="115"/>
      <c r="GQ30" s="115"/>
      <c r="GR30" s="115"/>
      <c r="GS30" s="115"/>
      <c r="GT30" s="115"/>
      <c r="GU30" s="115"/>
      <c r="GV30" s="115"/>
      <c r="GW30" s="115"/>
      <c r="GX30" s="115"/>
      <c r="GY30" s="115"/>
      <c r="GZ30" s="115"/>
      <c r="HA30" s="115"/>
      <c r="HB30" s="115"/>
      <c r="HC30" s="115"/>
      <c r="HD30" s="115"/>
      <c r="HE30" s="115"/>
      <c r="HF30" s="115"/>
      <c r="HG30" s="115"/>
      <c r="HH30" s="115"/>
      <c r="HI30" s="115"/>
      <c r="HJ30" s="115"/>
      <c r="HK30" s="115"/>
      <c r="HL30" s="115"/>
      <c r="HM30" s="115"/>
      <c r="HN30" s="115"/>
      <c r="HO30" s="115"/>
      <c r="HP30" s="115"/>
      <c r="HQ30" s="115"/>
      <c r="HR30" s="115"/>
      <c r="HS30" s="115"/>
      <c r="HT30" s="115"/>
      <c r="HU30" s="115"/>
      <c r="HV30" s="115"/>
      <c r="HW30" s="115"/>
      <c r="HX30" s="115"/>
      <c r="HY30" s="115"/>
      <c r="HZ30" s="117"/>
      <c r="IA30" s="117"/>
      <c r="IB30" s="117"/>
      <c r="IC30" s="117"/>
      <c r="ID30" s="117"/>
      <c r="IE30" s="117"/>
      <c r="IF30" s="117"/>
      <c r="IG30" s="117"/>
      <c r="IH30" s="117"/>
      <c r="II30" s="117"/>
      <c r="IJ30" s="117"/>
      <c r="IK30" s="117"/>
      <c r="IL30" s="117"/>
      <c r="IM30" s="117"/>
      <c r="IN30" s="117"/>
      <c r="IO30" s="117"/>
      <c r="IP30" s="117"/>
      <c r="IQ30" s="117"/>
      <c r="IR30" s="117"/>
      <c r="IS30" s="117"/>
      <c r="IT30" s="117"/>
      <c r="IU30" s="117"/>
      <c r="IV30" s="117"/>
      <c r="IW30" s="117"/>
      <c r="IX30" s="117"/>
      <c r="IY30" s="117"/>
      <c r="IZ30" s="117"/>
      <c r="JA30" s="117"/>
      <c r="JB30" s="117"/>
      <c r="JC30" s="117"/>
      <c r="JD30" s="117"/>
      <c r="JE30" s="117"/>
      <c r="JF30" s="117"/>
      <c r="JG30" s="117"/>
      <c r="JH30" s="117"/>
      <c r="JI30" s="117"/>
      <c r="JJ30" s="117"/>
      <c r="JK30" s="117"/>
      <c r="JL30" s="117"/>
      <c r="JM30" s="117"/>
      <c r="JN30" s="117"/>
      <c r="JO30" s="117"/>
      <c r="JP30" s="117"/>
      <c r="JQ30" s="117"/>
      <c r="JR30" s="117"/>
      <c r="JS30" s="114"/>
      <c r="JT30" s="114"/>
      <c r="JU30" s="114"/>
      <c r="JV30" s="114"/>
      <c r="JW30" s="114"/>
      <c r="JX30" s="114"/>
      <c r="JY30" s="114"/>
      <c r="JZ30" s="114"/>
      <c r="KA30" s="114"/>
      <c r="KB30" s="114"/>
      <c r="KC30" s="114"/>
      <c r="KD30" s="114"/>
      <c r="KE30" s="114"/>
      <c r="KF30" s="114"/>
      <c r="KG30" s="114"/>
      <c r="KH30" s="114"/>
      <c r="KI30" s="114"/>
      <c r="KJ30" s="114"/>
      <c r="KK30" s="114"/>
      <c r="KL30" s="114"/>
      <c r="KM30" s="114"/>
      <c r="KN30" s="114"/>
      <c r="KO30" s="114"/>
      <c r="KP30" s="114"/>
      <c r="KQ30" s="114"/>
      <c r="KR30" s="114"/>
      <c r="KS30" s="114"/>
      <c r="KT30" s="114"/>
      <c r="KU30" s="114"/>
      <c r="KV30" s="114"/>
      <c r="KW30" s="114"/>
      <c r="KX30" s="114"/>
      <c r="KY30" s="114"/>
      <c r="KZ30" s="114"/>
      <c r="LA30" s="114"/>
      <c r="LB30" s="114"/>
      <c r="LC30" s="114"/>
      <c r="LD30" s="114"/>
      <c r="LE30" s="114"/>
      <c r="LF30" s="114"/>
      <c r="LG30" s="114"/>
      <c r="LH30" s="114"/>
      <c r="LI30" s="114"/>
      <c r="LJ30" s="114"/>
      <c r="LK30" s="114"/>
    </row>
    <row r="31" spans="1:323" ht="78.75" x14ac:dyDescent="0.25">
      <c r="A31" s="127"/>
      <c r="B31" s="133"/>
      <c r="C31" s="134"/>
      <c r="D31" s="133"/>
      <c r="E31" s="127">
        <v>6</v>
      </c>
      <c r="F31" s="126" t="s">
        <v>9</v>
      </c>
      <c r="G31" s="20" t="s">
        <v>56</v>
      </c>
      <c r="H31" s="23" t="s">
        <v>18</v>
      </c>
      <c r="I31" s="78" t="s">
        <v>269</v>
      </c>
      <c r="J31" s="78" t="s">
        <v>269</v>
      </c>
      <c r="K31" s="78" t="s">
        <v>269</v>
      </c>
      <c r="L31" s="78" t="s">
        <v>269</v>
      </c>
      <c r="M31" s="78" t="s">
        <v>269</v>
      </c>
      <c r="N31" s="78" t="s">
        <v>269</v>
      </c>
      <c r="O31" s="78" t="s">
        <v>269</v>
      </c>
      <c r="P31" s="78" t="s">
        <v>269</v>
      </c>
      <c r="Q31" s="78" t="s">
        <v>269</v>
      </c>
      <c r="R31" s="78" t="s">
        <v>269</v>
      </c>
      <c r="S31" s="78" t="s">
        <v>269</v>
      </c>
      <c r="T31" s="78" t="s">
        <v>269</v>
      </c>
      <c r="U31" s="78" t="s">
        <v>269</v>
      </c>
      <c r="V31" s="78" t="s">
        <v>269</v>
      </c>
      <c r="W31" s="78" t="s">
        <v>269</v>
      </c>
      <c r="X31" s="78" t="s">
        <v>269</v>
      </c>
      <c r="Y31" s="78" t="s">
        <v>269</v>
      </c>
      <c r="Z31" s="78" t="s">
        <v>269</v>
      </c>
      <c r="AA31" s="78" t="s">
        <v>269</v>
      </c>
      <c r="AB31" s="78" t="s">
        <v>269</v>
      </c>
      <c r="AC31" s="78" t="s">
        <v>269</v>
      </c>
      <c r="AD31" s="78" t="s">
        <v>269</v>
      </c>
      <c r="AE31" s="78" t="s">
        <v>269</v>
      </c>
      <c r="AF31" s="78" t="s">
        <v>269</v>
      </c>
      <c r="AG31" s="78" t="s">
        <v>269</v>
      </c>
      <c r="AH31" s="78" t="s">
        <v>269</v>
      </c>
      <c r="AI31" s="78" t="s">
        <v>269</v>
      </c>
      <c r="AJ31" s="78" t="s">
        <v>269</v>
      </c>
      <c r="AK31" s="78" t="s">
        <v>269</v>
      </c>
      <c r="AL31" s="78" t="s">
        <v>269</v>
      </c>
      <c r="AM31" s="78" t="s">
        <v>269</v>
      </c>
      <c r="AN31" s="78" t="s">
        <v>269</v>
      </c>
      <c r="AO31" s="78" t="s">
        <v>269</v>
      </c>
      <c r="AP31" s="78" t="s">
        <v>269</v>
      </c>
      <c r="AQ31" s="78" t="s">
        <v>269</v>
      </c>
      <c r="AR31" s="78" t="s">
        <v>269</v>
      </c>
      <c r="AS31" s="78" t="s">
        <v>269</v>
      </c>
      <c r="AT31" s="78" t="s">
        <v>269</v>
      </c>
      <c r="AU31" s="78" t="s">
        <v>269</v>
      </c>
      <c r="AV31" s="78" t="s">
        <v>269</v>
      </c>
      <c r="AW31" s="78"/>
      <c r="AX31" s="78"/>
      <c r="AY31" s="78"/>
      <c r="AZ31" s="78"/>
      <c r="BA31" s="78"/>
      <c r="BB31" s="122">
        <f t="shared" ref="BB31:CO31" si="73">IF(AND(I31="",I32=""),"",COUNTIF(I31:I32,"v"))</f>
        <v>2</v>
      </c>
      <c r="BC31" s="122">
        <f t="shared" si="73"/>
        <v>2</v>
      </c>
      <c r="BD31" s="122">
        <f t="shared" si="73"/>
        <v>2</v>
      </c>
      <c r="BE31" s="122">
        <f t="shared" si="73"/>
        <v>2</v>
      </c>
      <c r="BF31" s="122">
        <f t="shared" si="73"/>
        <v>2</v>
      </c>
      <c r="BG31" s="122">
        <f t="shared" si="73"/>
        <v>2</v>
      </c>
      <c r="BH31" s="122">
        <f t="shared" si="73"/>
        <v>2</v>
      </c>
      <c r="BI31" s="122">
        <f t="shared" si="73"/>
        <v>2</v>
      </c>
      <c r="BJ31" s="122">
        <f t="shared" si="73"/>
        <v>2</v>
      </c>
      <c r="BK31" s="122">
        <f t="shared" si="73"/>
        <v>2</v>
      </c>
      <c r="BL31" s="122">
        <f t="shared" si="73"/>
        <v>2</v>
      </c>
      <c r="BM31" s="122">
        <f t="shared" si="73"/>
        <v>2</v>
      </c>
      <c r="BN31" s="122">
        <f t="shared" si="73"/>
        <v>2</v>
      </c>
      <c r="BO31" s="122">
        <f t="shared" si="73"/>
        <v>2</v>
      </c>
      <c r="BP31" s="122">
        <f t="shared" si="73"/>
        <v>2</v>
      </c>
      <c r="BQ31" s="122">
        <f t="shared" si="73"/>
        <v>2</v>
      </c>
      <c r="BR31" s="122">
        <f t="shared" si="73"/>
        <v>2</v>
      </c>
      <c r="BS31" s="122">
        <f t="shared" si="73"/>
        <v>2</v>
      </c>
      <c r="BT31" s="122">
        <f t="shared" si="73"/>
        <v>2</v>
      </c>
      <c r="BU31" s="122">
        <f t="shared" si="73"/>
        <v>2</v>
      </c>
      <c r="BV31" s="122">
        <f t="shared" si="73"/>
        <v>2</v>
      </c>
      <c r="BW31" s="122">
        <f t="shared" si="73"/>
        <v>2</v>
      </c>
      <c r="BX31" s="122">
        <f t="shared" si="73"/>
        <v>2</v>
      </c>
      <c r="BY31" s="122">
        <f t="shared" si="73"/>
        <v>2</v>
      </c>
      <c r="BZ31" s="122">
        <f t="shared" si="73"/>
        <v>2</v>
      </c>
      <c r="CA31" s="122">
        <f t="shared" si="73"/>
        <v>2</v>
      </c>
      <c r="CB31" s="122">
        <f t="shared" si="73"/>
        <v>2</v>
      </c>
      <c r="CC31" s="122">
        <f t="shared" si="73"/>
        <v>2</v>
      </c>
      <c r="CD31" s="122">
        <f t="shared" si="73"/>
        <v>2</v>
      </c>
      <c r="CE31" s="122">
        <f t="shared" si="73"/>
        <v>2</v>
      </c>
      <c r="CF31" s="122">
        <f t="shared" si="73"/>
        <v>2</v>
      </c>
      <c r="CG31" s="122">
        <f t="shared" si="73"/>
        <v>2</v>
      </c>
      <c r="CH31" s="122">
        <f t="shared" si="73"/>
        <v>2</v>
      </c>
      <c r="CI31" s="122">
        <f t="shared" si="73"/>
        <v>2</v>
      </c>
      <c r="CJ31" s="122">
        <f t="shared" si="73"/>
        <v>2</v>
      </c>
      <c r="CK31" s="122">
        <f t="shared" si="73"/>
        <v>2</v>
      </c>
      <c r="CL31" s="122">
        <f t="shared" si="73"/>
        <v>2</v>
      </c>
      <c r="CM31" s="122">
        <f t="shared" si="73"/>
        <v>2</v>
      </c>
      <c r="CN31" s="122">
        <f t="shared" si="73"/>
        <v>2</v>
      </c>
      <c r="CO31" s="122">
        <f t="shared" si="73"/>
        <v>2</v>
      </c>
      <c r="CP31" s="122" t="str">
        <f t="shared" ref="CP31:CT31" si="74">IF(AND(AW31="",AW32=""),"",COUNTIF(AW31:AW32,"v"))</f>
        <v/>
      </c>
      <c r="CQ31" s="122" t="str">
        <f t="shared" si="74"/>
        <v/>
      </c>
      <c r="CR31" s="122" t="str">
        <f t="shared" si="74"/>
        <v/>
      </c>
      <c r="CS31" s="122" t="str">
        <f t="shared" si="74"/>
        <v/>
      </c>
      <c r="CT31" s="122" t="str">
        <f t="shared" si="74"/>
        <v/>
      </c>
      <c r="CU31" s="121" t="str">
        <f t="shared" ref="CU31" si="75">IF(BB31="","",IF(BB31=0,"Ditolak",IF(BB31=1,"Diperbaiki","Digunakan")))</f>
        <v>Digunakan</v>
      </c>
      <c r="CV31" s="121" t="str">
        <f t="shared" ref="CV31:EH31" si="76">IF(BC31="","",IF(BC31=0,"Ditolak",IF(AND(BC31&gt;=1,BC31&lt;2),"Diperbaiki","Digunakan")))</f>
        <v>Digunakan</v>
      </c>
      <c r="CW31" s="121" t="str">
        <f t="shared" si="76"/>
        <v>Digunakan</v>
      </c>
      <c r="CX31" s="121" t="str">
        <f t="shared" si="76"/>
        <v>Digunakan</v>
      </c>
      <c r="CY31" s="121" t="str">
        <f t="shared" si="76"/>
        <v>Digunakan</v>
      </c>
      <c r="CZ31" s="121" t="str">
        <f t="shared" si="76"/>
        <v>Digunakan</v>
      </c>
      <c r="DA31" s="121" t="str">
        <f t="shared" si="76"/>
        <v>Digunakan</v>
      </c>
      <c r="DB31" s="121" t="str">
        <f t="shared" si="76"/>
        <v>Digunakan</v>
      </c>
      <c r="DC31" s="121" t="str">
        <f t="shared" si="76"/>
        <v>Digunakan</v>
      </c>
      <c r="DD31" s="121" t="str">
        <f t="shared" si="76"/>
        <v>Digunakan</v>
      </c>
      <c r="DE31" s="121" t="str">
        <f t="shared" si="76"/>
        <v>Digunakan</v>
      </c>
      <c r="DF31" s="121" t="str">
        <f t="shared" si="76"/>
        <v>Digunakan</v>
      </c>
      <c r="DG31" s="121" t="str">
        <f t="shared" si="76"/>
        <v>Digunakan</v>
      </c>
      <c r="DH31" s="121" t="str">
        <f t="shared" si="76"/>
        <v>Digunakan</v>
      </c>
      <c r="DI31" s="121" t="str">
        <f t="shared" si="76"/>
        <v>Digunakan</v>
      </c>
      <c r="DJ31" s="121" t="str">
        <f t="shared" si="76"/>
        <v>Digunakan</v>
      </c>
      <c r="DK31" s="121" t="str">
        <f t="shared" si="76"/>
        <v>Digunakan</v>
      </c>
      <c r="DL31" s="121" t="str">
        <f t="shared" si="76"/>
        <v>Digunakan</v>
      </c>
      <c r="DM31" s="121" t="str">
        <f t="shared" si="76"/>
        <v>Digunakan</v>
      </c>
      <c r="DN31" s="121" t="str">
        <f t="shared" si="76"/>
        <v>Digunakan</v>
      </c>
      <c r="DO31" s="121" t="str">
        <f t="shared" si="76"/>
        <v>Digunakan</v>
      </c>
      <c r="DP31" s="121" t="str">
        <f t="shared" si="76"/>
        <v>Digunakan</v>
      </c>
      <c r="DQ31" s="121" t="str">
        <f t="shared" si="76"/>
        <v>Digunakan</v>
      </c>
      <c r="DR31" s="121" t="str">
        <f t="shared" si="76"/>
        <v>Digunakan</v>
      </c>
      <c r="DS31" s="121" t="str">
        <f t="shared" si="76"/>
        <v>Digunakan</v>
      </c>
      <c r="DT31" s="121" t="str">
        <f t="shared" si="76"/>
        <v>Digunakan</v>
      </c>
      <c r="DU31" s="121" t="str">
        <f t="shared" si="76"/>
        <v>Digunakan</v>
      </c>
      <c r="DV31" s="121" t="str">
        <f t="shared" si="76"/>
        <v>Digunakan</v>
      </c>
      <c r="DW31" s="121" t="str">
        <f t="shared" si="76"/>
        <v>Digunakan</v>
      </c>
      <c r="DX31" s="121" t="str">
        <f t="shared" si="76"/>
        <v>Digunakan</v>
      </c>
      <c r="DY31" s="121" t="str">
        <f t="shared" si="76"/>
        <v>Digunakan</v>
      </c>
      <c r="DZ31" s="121" t="str">
        <f t="shared" si="76"/>
        <v>Digunakan</v>
      </c>
      <c r="EA31" s="121" t="str">
        <f t="shared" si="76"/>
        <v>Digunakan</v>
      </c>
      <c r="EB31" s="121" t="str">
        <f t="shared" si="76"/>
        <v>Digunakan</v>
      </c>
      <c r="EC31" s="121" t="str">
        <f t="shared" si="76"/>
        <v>Digunakan</v>
      </c>
      <c r="ED31" s="121" t="str">
        <f t="shared" si="76"/>
        <v>Digunakan</v>
      </c>
      <c r="EE31" s="121" t="str">
        <f t="shared" si="76"/>
        <v>Digunakan</v>
      </c>
      <c r="EF31" s="121" t="str">
        <f t="shared" si="76"/>
        <v>Digunakan</v>
      </c>
      <c r="EG31" s="121" t="str">
        <f t="shared" si="76"/>
        <v>Digunakan</v>
      </c>
      <c r="EH31" s="121" t="str">
        <f t="shared" si="76"/>
        <v>Digunakan</v>
      </c>
      <c r="EI31" s="121" t="str">
        <f t="shared" ref="EI31:EM31" si="77">IF(CP31="","",IF(CP31=0,"Ditolak",IF(AND(CP31&gt;=1,CP31&lt;2),"Diperbaiki","Digunakan")))</f>
        <v/>
      </c>
      <c r="EJ31" s="121" t="str">
        <f t="shared" si="77"/>
        <v/>
      </c>
      <c r="EK31" s="121" t="str">
        <f t="shared" si="77"/>
        <v/>
      </c>
      <c r="EL31" s="121" t="str">
        <f t="shared" si="77"/>
        <v/>
      </c>
      <c r="EM31" s="121" t="str">
        <f t="shared" si="77"/>
        <v/>
      </c>
      <c r="EN31" s="120"/>
      <c r="EO31" s="120"/>
      <c r="EP31" s="120"/>
      <c r="EQ31" s="120"/>
      <c r="ER31" s="120"/>
      <c r="ES31" s="120"/>
      <c r="ET31" s="120"/>
      <c r="EU31" s="120"/>
      <c r="EV31" s="120"/>
      <c r="EW31" s="120"/>
      <c r="EX31" s="120"/>
      <c r="EY31" s="120"/>
      <c r="EZ31" s="120"/>
      <c r="FA31" s="120"/>
      <c r="FB31" s="120"/>
      <c r="FC31" s="120"/>
      <c r="FD31" s="120"/>
      <c r="FE31" s="120"/>
      <c r="FF31" s="120"/>
      <c r="FG31" s="120"/>
      <c r="FH31" s="120"/>
      <c r="FI31" s="120"/>
      <c r="FJ31" s="120"/>
      <c r="FK31" s="120"/>
      <c r="FL31" s="120"/>
      <c r="FM31" s="120"/>
      <c r="FN31" s="120"/>
      <c r="FO31" s="120"/>
      <c r="FP31" s="120"/>
      <c r="FQ31" s="120"/>
      <c r="FR31" s="120"/>
      <c r="FS31" s="120"/>
      <c r="FT31" s="120"/>
      <c r="FU31" s="120"/>
      <c r="FV31" s="120"/>
      <c r="FW31" s="120"/>
      <c r="FX31" s="120"/>
      <c r="FY31" s="120"/>
      <c r="FZ31" s="120"/>
      <c r="GA31" s="120"/>
      <c r="GB31" s="120"/>
      <c r="GC31" s="120"/>
      <c r="GD31" s="120"/>
      <c r="GE31" s="120"/>
      <c r="GF31" s="120"/>
      <c r="GG31" s="115"/>
      <c r="GH31" s="115"/>
      <c r="GI31" s="115"/>
      <c r="GJ31" s="115"/>
      <c r="GK31" s="115"/>
      <c r="GL31" s="115"/>
      <c r="GM31" s="115"/>
      <c r="GN31" s="115"/>
      <c r="GO31" s="115"/>
      <c r="GP31" s="115"/>
      <c r="GQ31" s="115"/>
      <c r="GR31" s="115"/>
      <c r="GS31" s="115"/>
      <c r="GT31" s="115"/>
      <c r="GU31" s="115"/>
      <c r="GV31" s="115"/>
      <c r="GW31" s="115"/>
      <c r="GX31" s="115"/>
      <c r="GY31" s="115"/>
      <c r="GZ31" s="115"/>
      <c r="HA31" s="115"/>
      <c r="HB31" s="115"/>
      <c r="HC31" s="115"/>
      <c r="HD31" s="115"/>
      <c r="HE31" s="115"/>
      <c r="HF31" s="115"/>
      <c r="HG31" s="115"/>
      <c r="HH31" s="115"/>
      <c r="HI31" s="115"/>
      <c r="HJ31" s="115"/>
      <c r="HK31" s="115"/>
      <c r="HL31" s="115"/>
      <c r="HM31" s="115"/>
      <c r="HN31" s="115"/>
      <c r="HO31" s="115"/>
      <c r="HP31" s="115"/>
      <c r="HQ31" s="115"/>
      <c r="HR31" s="115"/>
      <c r="HS31" s="115"/>
      <c r="HT31" s="115"/>
      <c r="HU31" s="115"/>
      <c r="HV31" s="115"/>
      <c r="HW31" s="115"/>
      <c r="HX31" s="115"/>
      <c r="HY31" s="115"/>
      <c r="HZ31" s="117"/>
      <c r="IA31" s="117"/>
      <c r="IB31" s="117"/>
      <c r="IC31" s="117"/>
      <c r="ID31" s="117"/>
      <c r="IE31" s="117"/>
      <c r="IF31" s="117"/>
      <c r="IG31" s="117"/>
      <c r="IH31" s="117"/>
      <c r="II31" s="117"/>
      <c r="IJ31" s="117"/>
      <c r="IK31" s="117"/>
      <c r="IL31" s="117"/>
      <c r="IM31" s="117"/>
      <c r="IN31" s="117"/>
      <c r="IO31" s="117"/>
      <c r="IP31" s="117"/>
      <c r="IQ31" s="117"/>
      <c r="IR31" s="117"/>
      <c r="IS31" s="117"/>
      <c r="IT31" s="117"/>
      <c r="IU31" s="117"/>
      <c r="IV31" s="117"/>
      <c r="IW31" s="117"/>
      <c r="IX31" s="117"/>
      <c r="IY31" s="117"/>
      <c r="IZ31" s="117"/>
      <c r="JA31" s="117"/>
      <c r="JB31" s="117"/>
      <c r="JC31" s="117"/>
      <c r="JD31" s="117"/>
      <c r="JE31" s="117"/>
      <c r="JF31" s="117"/>
      <c r="JG31" s="117"/>
      <c r="JH31" s="117"/>
      <c r="JI31" s="117"/>
      <c r="JJ31" s="117"/>
      <c r="JK31" s="117"/>
      <c r="JL31" s="117"/>
      <c r="JM31" s="117"/>
      <c r="JN31" s="117"/>
      <c r="JO31" s="117"/>
      <c r="JP31" s="117"/>
      <c r="JQ31" s="117"/>
      <c r="JR31" s="117"/>
      <c r="JS31" s="114"/>
      <c r="JT31" s="114"/>
      <c r="JU31" s="114"/>
      <c r="JV31" s="114"/>
      <c r="JW31" s="114"/>
      <c r="JX31" s="114"/>
      <c r="JY31" s="114"/>
      <c r="JZ31" s="114"/>
      <c r="KA31" s="114"/>
      <c r="KB31" s="114"/>
      <c r="KC31" s="114"/>
      <c r="KD31" s="114"/>
      <c r="KE31" s="114"/>
      <c r="KF31" s="114"/>
      <c r="KG31" s="114"/>
      <c r="KH31" s="114"/>
      <c r="KI31" s="114"/>
      <c r="KJ31" s="114"/>
      <c r="KK31" s="114"/>
      <c r="KL31" s="114"/>
      <c r="KM31" s="114"/>
      <c r="KN31" s="114"/>
      <c r="KO31" s="114"/>
      <c r="KP31" s="114"/>
      <c r="KQ31" s="114"/>
      <c r="KR31" s="114"/>
      <c r="KS31" s="114"/>
      <c r="KT31" s="114"/>
      <c r="KU31" s="114"/>
      <c r="KV31" s="114"/>
      <c r="KW31" s="114"/>
      <c r="KX31" s="114"/>
      <c r="KY31" s="114"/>
      <c r="KZ31" s="114"/>
      <c r="LA31" s="114"/>
      <c r="LB31" s="114"/>
      <c r="LC31" s="114"/>
      <c r="LD31" s="114"/>
      <c r="LE31" s="114"/>
      <c r="LF31" s="114"/>
      <c r="LG31" s="114"/>
      <c r="LH31" s="114"/>
      <c r="LI31" s="114"/>
      <c r="LJ31" s="114"/>
      <c r="LK31" s="114"/>
    </row>
    <row r="32" spans="1:323" ht="78.75" x14ac:dyDescent="0.25">
      <c r="A32" s="127"/>
      <c r="B32" s="133"/>
      <c r="C32" s="134"/>
      <c r="D32" s="133"/>
      <c r="E32" s="127"/>
      <c r="F32" s="126"/>
      <c r="G32" s="20" t="s">
        <v>56</v>
      </c>
      <c r="H32" s="23" t="s">
        <v>19</v>
      </c>
      <c r="I32" s="78" t="s">
        <v>269</v>
      </c>
      <c r="J32" s="78" t="s">
        <v>269</v>
      </c>
      <c r="K32" s="78" t="s">
        <v>269</v>
      </c>
      <c r="L32" s="78" t="s">
        <v>269</v>
      </c>
      <c r="M32" s="78" t="s">
        <v>269</v>
      </c>
      <c r="N32" s="78" t="s">
        <v>269</v>
      </c>
      <c r="O32" s="78" t="s">
        <v>269</v>
      </c>
      <c r="P32" s="78" t="s">
        <v>269</v>
      </c>
      <c r="Q32" s="78" t="s">
        <v>269</v>
      </c>
      <c r="R32" s="78" t="s">
        <v>269</v>
      </c>
      <c r="S32" s="78" t="s">
        <v>269</v>
      </c>
      <c r="T32" s="78" t="s">
        <v>269</v>
      </c>
      <c r="U32" s="78" t="s">
        <v>269</v>
      </c>
      <c r="V32" s="78" t="s">
        <v>269</v>
      </c>
      <c r="W32" s="78" t="s">
        <v>269</v>
      </c>
      <c r="X32" s="78" t="s">
        <v>269</v>
      </c>
      <c r="Y32" s="78" t="s">
        <v>269</v>
      </c>
      <c r="Z32" s="78" t="s">
        <v>269</v>
      </c>
      <c r="AA32" s="78" t="s">
        <v>269</v>
      </c>
      <c r="AB32" s="78" t="s">
        <v>269</v>
      </c>
      <c r="AC32" s="78" t="s">
        <v>269</v>
      </c>
      <c r="AD32" s="78" t="s">
        <v>269</v>
      </c>
      <c r="AE32" s="78" t="s">
        <v>269</v>
      </c>
      <c r="AF32" s="78" t="s">
        <v>269</v>
      </c>
      <c r="AG32" s="78" t="s">
        <v>269</v>
      </c>
      <c r="AH32" s="78" t="s">
        <v>269</v>
      </c>
      <c r="AI32" s="78" t="s">
        <v>269</v>
      </c>
      <c r="AJ32" s="78" t="s">
        <v>269</v>
      </c>
      <c r="AK32" s="78" t="s">
        <v>269</v>
      </c>
      <c r="AL32" s="78" t="s">
        <v>269</v>
      </c>
      <c r="AM32" s="78" t="s">
        <v>269</v>
      </c>
      <c r="AN32" s="78" t="s">
        <v>269</v>
      </c>
      <c r="AO32" s="78" t="s">
        <v>269</v>
      </c>
      <c r="AP32" s="78" t="s">
        <v>269</v>
      </c>
      <c r="AQ32" s="78" t="s">
        <v>269</v>
      </c>
      <c r="AR32" s="78" t="s">
        <v>269</v>
      </c>
      <c r="AS32" s="78" t="s">
        <v>269</v>
      </c>
      <c r="AT32" s="78" t="s">
        <v>269</v>
      </c>
      <c r="AU32" s="78" t="s">
        <v>269</v>
      </c>
      <c r="AV32" s="78" t="s">
        <v>269</v>
      </c>
      <c r="AW32" s="78"/>
      <c r="AX32" s="78"/>
      <c r="AY32" s="78"/>
      <c r="AZ32" s="78"/>
      <c r="BA32" s="78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1"/>
      <c r="CV32" s="121"/>
      <c r="CW32" s="121"/>
      <c r="CX32" s="121"/>
      <c r="CY32" s="121"/>
      <c r="CZ32" s="121"/>
      <c r="DA32" s="121"/>
      <c r="DB32" s="121"/>
      <c r="DC32" s="121"/>
      <c r="DD32" s="121"/>
      <c r="DE32" s="121"/>
      <c r="DF32" s="121"/>
      <c r="DG32" s="121"/>
      <c r="DH32" s="121"/>
      <c r="DI32" s="121"/>
      <c r="DJ32" s="121"/>
      <c r="DK32" s="121"/>
      <c r="DL32" s="121"/>
      <c r="DM32" s="121"/>
      <c r="DN32" s="121"/>
      <c r="DO32" s="121"/>
      <c r="DP32" s="121"/>
      <c r="DQ32" s="121"/>
      <c r="DR32" s="121"/>
      <c r="DS32" s="121"/>
      <c r="DT32" s="121"/>
      <c r="DU32" s="121"/>
      <c r="DV32" s="121"/>
      <c r="DW32" s="121"/>
      <c r="DX32" s="121"/>
      <c r="DY32" s="121"/>
      <c r="DZ32" s="121"/>
      <c r="EA32" s="121"/>
      <c r="EB32" s="121"/>
      <c r="EC32" s="121"/>
      <c r="ED32" s="121"/>
      <c r="EE32" s="121"/>
      <c r="EF32" s="121"/>
      <c r="EG32" s="121"/>
      <c r="EH32" s="121"/>
      <c r="EI32" s="121"/>
      <c r="EJ32" s="121"/>
      <c r="EK32" s="121"/>
      <c r="EL32" s="121"/>
      <c r="EM32" s="121"/>
      <c r="EN32" s="120"/>
      <c r="EO32" s="120"/>
      <c r="EP32" s="120"/>
      <c r="EQ32" s="120"/>
      <c r="ER32" s="120"/>
      <c r="ES32" s="120"/>
      <c r="ET32" s="120"/>
      <c r="EU32" s="120"/>
      <c r="EV32" s="120"/>
      <c r="EW32" s="120"/>
      <c r="EX32" s="120"/>
      <c r="EY32" s="120"/>
      <c r="EZ32" s="120"/>
      <c r="FA32" s="120"/>
      <c r="FB32" s="120"/>
      <c r="FC32" s="120"/>
      <c r="FD32" s="120"/>
      <c r="FE32" s="120"/>
      <c r="FF32" s="120"/>
      <c r="FG32" s="120"/>
      <c r="FH32" s="120"/>
      <c r="FI32" s="120"/>
      <c r="FJ32" s="120"/>
      <c r="FK32" s="120"/>
      <c r="FL32" s="120"/>
      <c r="FM32" s="120"/>
      <c r="FN32" s="120"/>
      <c r="FO32" s="120"/>
      <c r="FP32" s="120"/>
      <c r="FQ32" s="120"/>
      <c r="FR32" s="120"/>
      <c r="FS32" s="120"/>
      <c r="FT32" s="120"/>
      <c r="FU32" s="120"/>
      <c r="FV32" s="120"/>
      <c r="FW32" s="120"/>
      <c r="FX32" s="120"/>
      <c r="FY32" s="120"/>
      <c r="FZ32" s="120"/>
      <c r="GA32" s="120"/>
      <c r="GB32" s="120"/>
      <c r="GC32" s="120"/>
      <c r="GD32" s="120"/>
      <c r="GE32" s="120"/>
      <c r="GF32" s="120"/>
      <c r="GG32" s="115"/>
      <c r="GH32" s="115"/>
      <c r="GI32" s="115"/>
      <c r="GJ32" s="115"/>
      <c r="GK32" s="115"/>
      <c r="GL32" s="115"/>
      <c r="GM32" s="115"/>
      <c r="GN32" s="115"/>
      <c r="GO32" s="115"/>
      <c r="GP32" s="115"/>
      <c r="GQ32" s="115"/>
      <c r="GR32" s="115"/>
      <c r="GS32" s="115"/>
      <c r="GT32" s="115"/>
      <c r="GU32" s="115"/>
      <c r="GV32" s="115"/>
      <c r="GW32" s="115"/>
      <c r="GX32" s="115"/>
      <c r="GY32" s="115"/>
      <c r="GZ32" s="115"/>
      <c r="HA32" s="115"/>
      <c r="HB32" s="115"/>
      <c r="HC32" s="115"/>
      <c r="HD32" s="115"/>
      <c r="HE32" s="115"/>
      <c r="HF32" s="115"/>
      <c r="HG32" s="115"/>
      <c r="HH32" s="115"/>
      <c r="HI32" s="115"/>
      <c r="HJ32" s="115"/>
      <c r="HK32" s="115"/>
      <c r="HL32" s="115"/>
      <c r="HM32" s="115"/>
      <c r="HN32" s="115"/>
      <c r="HO32" s="115"/>
      <c r="HP32" s="115"/>
      <c r="HQ32" s="115"/>
      <c r="HR32" s="115"/>
      <c r="HS32" s="115"/>
      <c r="HT32" s="115"/>
      <c r="HU32" s="115"/>
      <c r="HV32" s="115"/>
      <c r="HW32" s="115"/>
      <c r="HX32" s="115"/>
      <c r="HY32" s="115"/>
      <c r="HZ32" s="117"/>
      <c r="IA32" s="117"/>
      <c r="IB32" s="117"/>
      <c r="IC32" s="117"/>
      <c r="ID32" s="117"/>
      <c r="IE32" s="117"/>
      <c r="IF32" s="117"/>
      <c r="IG32" s="117"/>
      <c r="IH32" s="117"/>
      <c r="II32" s="117"/>
      <c r="IJ32" s="117"/>
      <c r="IK32" s="117"/>
      <c r="IL32" s="117"/>
      <c r="IM32" s="117"/>
      <c r="IN32" s="117"/>
      <c r="IO32" s="117"/>
      <c r="IP32" s="117"/>
      <c r="IQ32" s="117"/>
      <c r="IR32" s="117"/>
      <c r="IS32" s="117"/>
      <c r="IT32" s="117"/>
      <c r="IU32" s="117"/>
      <c r="IV32" s="117"/>
      <c r="IW32" s="117"/>
      <c r="IX32" s="117"/>
      <c r="IY32" s="117"/>
      <c r="IZ32" s="117"/>
      <c r="JA32" s="117"/>
      <c r="JB32" s="117"/>
      <c r="JC32" s="117"/>
      <c r="JD32" s="117"/>
      <c r="JE32" s="117"/>
      <c r="JF32" s="117"/>
      <c r="JG32" s="117"/>
      <c r="JH32" s="117"/>
      <c r="JI32" s="117"/>
      <c r="JJ32" s="117"/>
      <c r="JK32" s="117"/>
      <c r="JL32" s="117"/>
      <c r="JM32" s="117"/>
      <c r="JN32" s="117"/>
      <c r="JO32" s="117"/>
      <c r="JP32" s="117"/>
      <c r="JQ32" s="117"/>
      <c r="JR32" s="117"/>
      <c r="JS32" s="114"/>
      <c r="JT32" s="114"/>
      <c r="JU32" s="114"/>
      <c r="JV32" s="114"/>
      <c r="JW32" s="114"/>
      <c r="JX32" s="114"/>
      <c r="JY32" s="114"/>
      <c r="JZ32" s="114"/>
      <c r="KA32" s="114"/>
      <c r="KB32" s="114"/>
      <c r="KC32" s="114"/>
      <c r="KD32" s="114"/>
      <c r="KE32" s="114"/>
      <c r="KF32" s="114"/>
      <c r="KG32" s="114"/>
      <c r="KH32" s="114"/>
      <c r="KI32" s="114"/>
      <c r="KJ32" s="114"/>
      <c r="KK32" s="114"/>
      <c r="KL32" s="114"/>
      <c r="KM32" s="114"/>
      <c r="KN32" s="114"/>
      <c r="KO32" s="114"/>
      <c r="KP32" s="114"/>
      <c r="KQ32" s="114"/>
      <c r="KR32" s="114"/>
      <c r="KS32" s="114"/>
      <c r="KT32" s="114"/>
      <c r="KU32" s="114"/>
      <c r="KV32" s="114"/>
      <c r="KW32" s="114"/>
      <c r="KX32" s="114"/>
      <c r="KY32" s="114"/>
      <c r="KZ32" s="114"/>
      <c r="LA32" s="114"/>
      <c r="LB32" s="114"/>
      <c r="LC32" s="114"/>
      <c r="LD32" s="114"/>
      <c r="LE32" s="114"/>
      <c r="LF32" s="114"/>
      <c r="LG32" s="114"/>
      <c r="LH32" s="114"/>
      <c r="LI32" s="114"/>
      <c r="LJ32" s="114"/>
      <c r="LK32" s="114"/>
    </row>
    <row r="33" spans="1:323" ht="51" customHeight="1" x14ac:dyDescent="0.25">
      <c r="A33" s="127"/>
      <c r="B33" s="133"/>
      <c r="C33" s="134"/>
      <c r="D33" s="133"/>
      <c r="E33" s="127">
        <v>7</v>
      </c>
      <c r="F33" s="126" t="s">
        <v>10</v>
      </c>
      <c r="G33" s="20" t="s">
        <v>56</v>
      </c>
      <c r="H33" s="23" t="s">
        <v>20</v>
      </c>
      <c r="I33" s="78" t="s">
        <v>269</v>
      </c>
      <c r="J33" s="78" t="s">
        <v>269</v>
      </c>
      <c r="K33" s="78" t="s">
        <v>269</v>
      </c>
      <c r="L33" s="78" t="s">
        <v>269</v>
      </c>
      <c r="M33" s="78" t="s">
        <v>269</v>
      </c>
      <c r="N33" s="78" t="s">
        <v>269</v>
      </c>
      <c r="O33" s="78" t="s">
        <v>269</v>
      </c>
      <c r="P33" s="78" t="s">
        <v>269</v>
      </c>
      <c r="Q33" s="78" t="s">
        <v>269</v>
      </c>
      <c r="R33" s="78" t="s">
        <v>269</v>
      </c>
      <c r="S33" s="78" t="s">
        <v>269</v>
      </c>
      <c r="T33" s="78" t="s">
        <v>269</v>
      </c>
      <c r="U33" s="78" t="s">
        <v>269</v>
      </c>
      <c r="V33" s="78" t="s">
        <v>269</v>
      </c>
      <c r="W33" s="78" t="s">
        <v>269</v>
      </c>
      <c r="X33" s="78" t="s">
        <v>269</v>
      </c>
      <c r="Y33" s="78" t="s">
        <v>269</v>
      </c>
      <c r="Z33" s="78" t="s">
        <v>269</v>
      </c>
      <c r="AA33" s="78" t="s">
        <v>269</v>
      </c>
      <c r="AB33" s="78" t="s">
        <v>269</v>
      </c>
      <c r="AC33" s="78" t="s">
        <v>269</v>
      </c>
      <c r="AD33" s="78" t="s">
        <v>269</v>
      </c>
      <c r="AE33" s="78" t="s">
        <v>269</v>
      </c>
      <c r="AF33" s="78" t="s">
        <v>269</v>
      </c>
      <c r="AG33" s="78" t="s">
        <v>269</v>
      </c>
      <c r="AH33" s="78" t="s">
        <v>269</v>
      </c>
      <c r="AI33" s="78" t="s">
        <v>269</v>
      </c>
      <c r="AJ33" s="78" t="s">
        <v>269</v>
      </c>
      <c r="AK33" s="78" t="s">
        <v>269</v>
      </c>
      <c r="AL33" s="78" t="s">
        <v>269</v>
      </c>
      <c r="AM33" s="78" t="s">
        <v>269</v>
      </c>
      <c r="AN33" s="78" t="s">
        <v>269</v>
      </c>
      <c r="AO33" s="78" t="s">
        <v>269</v>
      </c>
      <c r="AP33" s="78" t="s">
        <v>269</v>
      </c>
      <c r="AQ33" s="78" t="s">
        <v>269</v>
      </c>
      <c r="AR33" s="78" t="s">
        <v>269</v>
      </c>
      <c r="AS33" s="78" t="s">
        <v>269</v>
      </c>
      <c r="AT33" s="78" t="s">
        <v>269</v>
      </c>
      <c r="AU33" s="78" t="s">
        <v>269</v>
      </c>
      <c r="AV33" s="78" t="s">
        <v>269</v>
      </c>
      <c r="AW33" s="78"/>
      <c r="AX33" s="78"/>
      <c r="AY33" s="78"/>
      <c r="AZ33" s="78"/>
      <c r="BA33" s="78"/>
      <c r="BB33" s="122">
        <f t="shared" ref="BB33:CO33" si="78">IF(AND(I33="",I34=""),"",COUNTIF(I33:I34,"v"))</f>
        <v>2</v>
      </c>
      <c r="BC33" s="122">
        <f t="shared" si="78"/>
        <v>2</v>
      </c>
      <c r="BD33" s="122">
        <f t="shared" si="78"/>
        <v>2</v>
      </c>
      <c r="BE33" s="122">
        <f t="shared" si="78"/>
        <v>2</v>
      </c>
      <c r="BF33" s="122">
        <f t="shared" si="78"/>
        <v>2</v>
      </c>
      <c r="BG33" s="122">
        <f t="shared" si="78"/>
        <v>2</v>
      </c>
      <c r="BH33" s="122">
        <f t="shared" si="78"/>
        <v>2</v>
      </c>
      <c r="BI33" s="122">
        <f t="shared" si="78"/>
        <v>2</v>
      </c>
      <c r="BJ33" s="122">
        <f t="shared" si="78"/>
        <v>2</v>
      </c>
      <c r="BK33" s="122">
        <f t="shared" si="78"/>
        <v>2</v>
      </c>
      <c r="BL33" s="122">
        <f t="shared" si="78"/>
        <v>2</v>
      </c>
      <c r="BM33" s="122">
        <f t="shared" si="78"/>
        <v>2</v>
      </c>
      <c r="BN33" s="122">
        <f t="shared" si="78"/>
        <v>2</v>
      </c>
      <c r="BO33" s="122">
        <f t="shared" si="78"/>
        <v>2</v>
      </c>
      <c r="BP33" s="122">
        <f t="shared" si="78"/>
        <v>2</v>
      </c>
      <c r="BQ33" s="122">
        <f t="shared" si="78"/>
        <v>2</v>
      </c>
      <c r="BR33" s="122">
        <f t="shared" si="78"/>
        <v>2</v>
      </c>
      <c r="BS33" s="122">
        <f t="shared" si="78"/>
        <v>2</v>
      </c>
      <c r="BT33" s="122">
        <f t="shared" si="78"/>
        <v>2</v>
      </c>
      <c r="BU33" s="122">
        <f t="shared" si="78"/>
        <v>2</v>
      </c>
      <c r="BV33" s="122">
        <f t="shared" si="78"/>
        <v>2</v>
      </c>
      <c r="BW33" s="122">
        <f t="shared" si="78"/>
        <v>2</v>
      </c>
      <c r="BX33" s="122">
        <f t="shared" si="78"/>
        <v>2</v>
      </c>
      <c r="BY33" s="122">
        <f t="shared" si="78"/>
        <v>2</v>
      </c>
      <c r="BZ33" s="122">
        <f t="shared" si="78"/>
        <v>2</v>
      </c>
      <c r="CA33" s="122">
        <f t="shared" si="78"/>
        <v>2</v>
      </c>
      <c r="CB33" s="122">
        <f t="shared" si="78"/>
        <v>2</v>
      </c>
      <c r="CC33" s="122">
        <f t="shared" si="78"/>
        <v>2</v>
      </c>
      <c r="CD33" s="122">
        <f t="shared" si="78"/>
        <v>2</v>
      </c>
      <c r="CE33" s="122">
        <f t="shared" si="78"/>
        <v>2</v>
      </c>
      <c r="CF33" s="122">
        <f t="shared" si="78"/>
        <v>2</v>
      </c>
      <c r="CG33" s="122">
        <f t="shared" si="78"/>
        <v>2</v>
      </c>
      <c r="CH33" s="122">
        <f t="shared" si="78"/>
        <v>2</v>
      </c>
      <c r="CI33" s="122">
        <f t="shared" si="78"/>
        <v>2</v>
      </c>
      <c r="CJ33" s="122">
        <f t="shared" si="78"/>
        <v>2</v>
      </c>
      <c r="CK33" s="122">
        <f t="shared" si="78"/>
        <v>2</v>
      </c>
      <c r="CL33" s="122">
        <f t="shared" si="78"/>
        <v>2</v>
      </c>
      <c r="CM33" s="122">
        <f t="shared" si="78"/>
        <v>2</v>
      </c>
      <c r="CN33" s="122">
        <f t="shared" si="78"/>
        <v>2</v>
      </c>
      <c r="CO33" s="122">
        <f t="shared" si="78"/>
        <v>2</v>
      </c>
      <c r="CP33" s="122" t="str">
        <f t="shared" ref="CP33:CT33" si="79">IF(AND(AW33="",AW34=""),"",COUNTIF(AW33:AW34,"v"))</f>
        <v/>
      </c>
      <c r="CQ33" s="122" t="str">
        <f t="shared" si="79"/>
        <v/>
      </c>
      <c r="CR33" s="122" t="str">
        <f t="shared" si="79"/>
        <v/>
      </c>
      <c r="CS33" s="122" t="str">
        <f t="shared" si="79"/>
        <v/>
      </c>
      <c r="CT33" s="122" t="str">
        <f t="shared" si="79"/>
        <v/>
      </c>
      <c r="CU33" s="121" t="str">
        <f t="shared" ref="CU33" si="80">IF(BB33="","",IF(BB33=0,"Ditolak",IF(BB33=1,"Diperbaiki","Digunakan")))</f>
        <v>Digunakan</v>
      </c>
      <c r="CV33" s="121" t="str">
        <f t="shared" ref="CV33:EH33" si="81">IF(BC33="","",IF(BC33=0,"Ditolak",IF(AND(BC33&gt;=1,BC33&lt;2),"Diperbaiki","Digunakan")))</f>
        <v>Digunakan</v>
      </c>
      <c r="CW33" s="121" t="str">
        <f t="shared" si="81"/>
        <v>Digunakan</v>
      </c>
      <c r="CX33" s="121" t="str">
        <f t="shared" si="81"/>
        <v>Digunakan</v>
      </c>
      <c r="CY33" s="121" t="str">
        <f t="shared" si="81"/>
        <v>Digunakan</v>
      </c>
      <c r="CZ33" s="121" t="str">
        <f t="shared" si="81"/>
        <v>Digunakan</v>
      </c>
      <c r="DA33" s="121" t="str">
        <f t="shared" si="81"/>
        <v>Digunakan</v>
      </c>
      <c r="DB33" s="121" t="str">
        <f t="shared" si="81"/>
        <v>Digunakan</v>
      </c>
      <c r="DC33" s="121" t="str">
        <f t="shared" si="81"/>
        <v>Digunakan</v>
      </c>
      <c r="DD33" s="121" t="str">
        <f t="shared" si="81"/>
        <v>Digunakan</v>
      </c>
      <c r="DE33" s="121" t="str">
        <f t="shared" si="81"/>
        <v>Digunakan</v>
      </c>
      <c r="DF33" s="121" t="str">
        <f t="shared" si="81"/>
        <v>Digunakan</v>
      </c>
      <c r="DG33" s="121" t="str">
        <f t="shared" si="81"/>
        <v>Digunakan</v>
      </c>
      <c r="DH33" s="121" t="str">
        <f t="shared" si="81"/>
        <v>Digunakan</v>
      </c>
      <c r="DI33" s="121" t="str">
        <f t="shared" si="81"/>
        <v>Digunakan</v>
      </c>
      <c r="DJ33" s="121" t="str">
        <f t="shared" si="81"/>
        <v>Digunakan</v>
      </c>
      <c r="DK33" s="121" t="str">
        <f t="shared" si="81"/>
        <v>Digunakan</v>
      </c>
      <c r="DL33" s="121" t="str">
        <f t="shared" si="81"/>
        <v>Digunakan</v>
      </c>
      <c r="DM33" s="121" t="str">
        <f t="shared" si="81"/>
        <v>Digunakan</v>
      </c>
      <c r="DN33" s="121" t="str">
        <f t="shared" si="81"/>
        <v>Digunakan</v>
      </c>
      <c r="DO33" s="121" t="str">
        <f t="shared" si="81"/>
        <v>Digunakan</v>
      </c>
      <c r="DP33" s="121" t="str">
        <f t="shared" si="81"/>
        <v>Digunakan</v>
      </c>
      <c r="DQ33" s="121" t="str">
        <f t="shared" si="81"/>
        <v>Digunakan</v>
      </c>
      <c r="DR33" s="121" t="str">
        <f t="shared" si="81"/>
        <v>Digunakan</v>
      </c>
      <c r="DS33" s="121" t="str">
        <f t="shared" si="81"/>
        <v>Digunakan</v>
      </c>
      <c r="DT33" s="121" t="str">
        <f t="shared" si="81"/>
        <v>Digunakan</v>
      </c>
      <c r="DU33" s="121" t="str">
        <f t="shared" si="81"/>
        <v>Digunakan</v>
      </c>
      <c r="DV33" s="121" t="str">
        <f t="shared" si="81"/>
        <v>Digunakan</v>
      </c>
      <c r="DW33" s="121" t="str">
        <f t="shared" si="81"/>
        <v>Digunakan</v>
      </c>
      <c r="DX33" s="121" t="str">
        <f t="shared" si="81"/>
        <v>Digunakan</v>
      </c>
      <c r="DY33" s="121" t="str">
        <f t="shared" si="81"/>
        <v>Digunakan</v>
      </c>
      <c r="DZ33" s="121" t="str">
        <f t="shared" si="81"/>
        <v>Digunakan</v>
      </c>
      <c r="EA33" s="121" t="str">
        <f t="shared" si="81"/>
        <v>Digunakan</v>
      </c>
      <c r="EB33" s="121" t="str">
        <f t="shared" si="81"/>
        <v>Digunakan</v>
      </c>
      <c r="EC33" s="121" t="str">
        <f t="shared" si="81"/>
        <v>Digunakan</v>
      </c>
      <c r="ED33" s="121" t="str">
        <f t="shared" si="81"/>
        <v>Digunakan</v>
      </c>
      <c r="EE33" s="121" t="str">
        <f t="shared" si="81"/>
        <v>Digunakan</v>
      </c>
      <c r="EF33" s="121" t="str">
        <f t="shared" si="81"/>
        <v>Digunakan</v>
      </c>
      <c r="EG33" s="121" t="str">
        <f t="shared" si="81"/>
        <v>Digunakan</v>
      </c>
      <c r="EH33" s="121" t="str">
        <f t="shared" si="81"/>
        <v>Digunakan</v>
      </c>
      <c r="EI33" s="121" t="str">
        <f t="shared" ref="EI33:EM33" si="82">IF(CP33="","",IF(CP33=0,"Ditolak",IF(AND(CP33&gt;=1,CP33&lt;2),"Diperbaiki","Digunakan")))</f>
        <v/>
      </c>
      <c r="EJ33" s="121" t="str">
        <f t="shared" si="82"/>
        <v/>
      </c>
      <c r="EK33" s="121" t="str">
        <f t="shared" si="82"/>
        <v/>
      </c>
      <c r="EL33" s="121" t="str">
        <f t="shared" si="82"/>
        <v/>
      </c>
      <c r="EM33" s="121" t="str">
        <f t="shared" si="82"/>
        <v/>
      </c>
      <c r="EN33" s="120"/>
      <c r="EO33" s="120"/>
      <c r="EP33" s="120"/>
      <c r="EQ33" s="120"/>
      <c r="ER33" s="120"/>
      <c r="ES33" s="120"/>
      <c r="ET33" s="120"/>
      <c r="EU33" s="120"/>
      <c r="EV33" s="120"/>
      <c r="EW33" s="120"/>
      <c r="EX33" s="120"/>
      <c r="EY33" s="120"/>
      <c r="EZ33" s="120"/>
      <c r="FA33" s="120"/>
      <c r="FB33" s="120"/>
      <c r="FC33" s="120"/>
      <c r="FD33" s="120"/>
      <c r="FE33" s="120"/>
      <c r="FF33" s="120"/>
      <c r="FG33" s="120"/>
      <c r="FH33" s="120"/>
      <c r="FI33" s="120"/>
      <c r="FJ33" s="120"/>
      <c r="FK33" s="120"/>
      <c r="FL33" s="120"/>
      <c r="FM33" s="120"/>
      <c r="FN33" s="120"/>
      <c r="FO33" s="120"/>
      <c r="FP33" s="120"/>
      <c r="FQ33" s="120"/>
      <c r="FR33" s="120"/>
      <c r="FS33" s="120"/>
      <c r="FT33" s="120"/>
      <c r="FU33" s="120"/>
      <c r="FV33" s="120"/>
      <c r="FW33" s="120"/>
      <c r="FX33" s="120"/>
      <c r="FY33" s="120"/>
      <c r="FZ33" s="120"/>
      <c r="GA33" s="120"/>
      <c r="GB33" s="120"/>
      <c r="GC33" s="120"/>
      <c r="GD33" s="120"/>
      <c r="GE33" s="120"/>
      <c r="GF33" s="120"/>
      <c r="GG33" s="115"/>
      <c r="GH33" s="115"/>
      <c r="GI33" s="115"/>
      <c r="GJ33" s="115"/>
      <c r="GK33" s="115"/>
      <c r="GL33" s="115"/>
      <c r="GM33" s="115"/>
      <c r="GN33" s="115"/>
      <c r="GO33" s="115"/>
      <c r="GP33" s="115"/>
      <c r="GQ33" s="115"/>
      <c r="GR33" s="115"/>
      <c r="GS33" s="115"/>
      <c r="GT33" s="115"/>
      <c r="GU33" s="115"/>
      <c r="GV33" s="115"/>
      <c r="GW33" s="115"/>
      <c r="GX33" s="115"/>
      <c r="GY33" s="115"/>
      <c r="GZ33" s="115"/>
      <c r="HA33" s="115"/>
      <c r="HB33" s="115"/>
      <c r="HC33" s="115"/>
      <c r="HD33" s="115"/>
      <c r="HE33" s="115"/>
      <c r="HF33" s="115"/>
      <c r="HG33" s="115"/>
      <c r="HH33" s="115"/>
      <c r="HI33" s="115"/>
      <c r="HJ33" s="115"/>
      <c r="HK33" s="115"/>
      <c r="HL33" s="115"/>
      <c r="HM33" s="115"/>
      <c r="HN33" s="115"/>
      <c r="HO33" s="115"/>
      <c r="HP33" s="115"/>
      <c r="HQ33" s="115"/>
      <c r="HR33" s="115"/>
      <c r="HS33" s="115"/>
      <c r="HT33" s="115"/>
      <c r="HU33" s="115"/>
      <c r="HV33" s="115"/>
      <c r="HW33" s="115"/>
      <c r="HX33" s="115"/>
      <c r="HY33" s="115"/>
      <c r="HZ33" s="117"/>
      <c r="IA33" s="117"/>
      <c r="IB33" s="117"/>
      <c r="IC33" s="117"/>
      <c r="ID33" s="117"/>
      <c r="IE33" s="117"/>
      <c r="IF33" s="117"/>
      <c r="IG33" s="117"/>
      <c r="IH33" s="117"/>
      <c r="II33" s="117"/>
      <c r="IJ33" s="117"/>
      <c r="IK33" s="117"/>
      <c r="IL33" s="117"/>
      <c r="IM33" s="117"/>
      <c r="IN33" s="117"/>
      <c r="IO33" s="117"/>
      <c r="IP33" s="117"/>
      <c r="IQ33" s="117"/>
      <c r="IR33" s="117"/>
      <c r="IS33" s="117"/>
      <c r="IT33" s="117"/>
      <c r="IU33" s="117"/>
      <c r="IV33" s="117"/>
      <c r="IW33" s="117"/>
      <c r="IX33" s="117"/>
      <c r="IY33" s="117"/>
      <c r="IZ33" s="117"/>
      <c r="JA33" s="117"/>
      <c r="JB33" s="117"/>
      <c r="JC33" s="117"/>
      <c r="JD33" s="117"/>
      <c r="JE33" s="117"/>
      <c r="JF33" s="117"/>
      <c r="JG33" s="117"/>
      <c r="JH33" s="117"/>
      <c r="JI33" s="117"/>
      <c r="JJ33" s="117"/>
      <c r="JK33" s="117"/>
      <c r="JL33" s="117"/>
      <c r="JM33" s="117"/>
      <c r="JN33" s="117"/>
      <c r="JO33" s="117"/>
      <c r="JP33" s="117"/>
      <c r="JQ33" s="117"/>
      <c r="JR33" s="117"/>
      <c r="JS33" s="114"/>
      <c r="JT33" s="114"/>
      <c r="JU33" s="114"/>
      <c r="JV33" s="114"/>
      <c r="JW33" s="114"/>
      <c r="JX33" s="114"/>
      <c r="JY33" s="114"/>
      <c r="JZ33" s="114"/>
      <c r="KA33" s="114"/>
      <c r="KB33" s="114"/>
      <c r="KC33" s="114"/>
      <c r="KD33" s="114"/>
      <c r="KE33" s="114"/>
      <c r="KF33" s="114"/>
      <c r="KG33" s="114"/>
      <c r="KH33" s="114"/>
      <c r="KI33" s="114"/>
      <c r="KJ33" s="114"/>
      <c r="KK33" s="114"/>
      <c r="KL33" s="114"/>
      <c r="KM33" s="114"/>
      <c r="KN33" s="114"/>
      <c r="KO33" s="114"/>
      <c r="KP33" s="114"/>
      <c r="KQ33" s="114"/>
      <c r="KR33" s="114"/>
      <c r="KS33" s="114"/>
      <c r="KT33" s="114"/>
      <c r="KU33" s="114"/>
      <c r="KV33" s="114"/>
      <c r="KW33" s="114"/>
      <c r="KX33" s="114"/>
      <c r="KY33" s="114"/>
      <c r="KZ33" s="114"/>
      <c r="LA33" s="114"/>
      <c r="LB33" s="114"/>
      <c r="LC33" s="114"/>
      <c r="LD33" s="114"/>
      <c r="LE33" s="114"/>
      <c r="LF33" s="114"/>
      <c r="LG33" s="114"/>
      <c r="LH33" s="114"/>
      <c r="LI33" s="114"/>
      <c r="LJ33" s="114"/>
      <c r="LK33" s="114"/>
    </row>
    <row r="34" spans="1:323" ht="63" customHeight="1" x14ac:dyDescent="0.25">
      <c r="A34" s="127"/>
      <c r="B34" s="133"/>
      <c r="C34" s="134"/>
      <c r="D34" s="133"/>
      <c r="E34" s="127"/>
      <c r="F34" s="126"/>
      <c r="G34" s="20" t="s">
        <v>56</v>
      </c>
      <c r="H34" s="23" t="s">
        <v>21</v>
      </c>
      <c r="I34" s="78" t="s">
        <v>269</v>
      </c>
      <c r="J34" s="78" t="s">
        <v>269</v>
      </c>
      <c r="K34" s="78" t="s">
        <v>269</v>
      </c>
      <c r="L34" s="78" t="s">
        <v>269</v>
      </c>
      <c r="M34" s="78" t="s">
        <v>269</v>
      </c>
      <c r="N34" s="78" t="s">
        <v>269</v>
      </c>
      <c r="O34" s="78" t="s">
        <v>269</v>
      </c>
      <c r="P34" s="78" t="s">
        <v>269</v>
      </c>
      <c r="Q34" s="78" t="s">
        <v>269</v>
      </c>
      <c r="R34" s="78" t="s">
        <v>269</v>
      </c>
      <c r="S34" s="78" t="s">
        <v>269</v>
      </c>
      <c r="T34" s="78" t="s">
        <v>269</v>
      </c>
      <c r="U34" s="78" t="s">
        <v>269</v>
      </c>
      <c r="V34" s="78" t="s">
        <v>269</v>
      </c>
      <c r="W34" s="78" t="s">
        <v>269</v>
      </c>
      <c r="X34" s="78" t="s">
        <v>269</v>
      </c>
      <c r="Y34" s="78" t="s">
        <v>269</v>
      </c>
      <c r="Z34" s="78" t="s">
        <v>269</v>
      </c>
      <c r="AA34" s="78" t="s">
        <v>269</v>
      </c>
      <c r="AB34" s="78" t="s">
        <v>269</v>
      </c>
      <c r="AC34" s="78" t="s">
        <v>269</v>
      </c>
      <c r="AD34" s="78" t="s">
        <v>269</v>
      </c>
      <c r="AE34" s="78" t="s">
        <v>269</v>
      </c>
      <c r="AF34" s="78" t="s">
        <v>269</v>
      </c>
      <c r="AG34" s="78" t="s">
        <v>269</v>
      </c>
      <c r="AH34" s="78" t="s">
        <v>269</v>
      </c>
      <c r="AI34" s="78" t="s">
        <v>269</v>
      </c>
      <c r="AJ34" s="78" t="s">
        <v>269</v>
      </c>
      <c r="AK34" s="78" t="s">
        <v>269</v>
      </c>
      <c r="AL34" s="78" t="s">
        <v>269</v>
      </c>
      <c r="AM34" s="78" t="s">
        <v>269</v>
      </c>
      <c r="AN34" s="78" t="s">
        <v>269</v>
      </c>
      <c r="AO34" s="78" t="s">
        <v>269</v>
      </c>
      <c r="AP34" s="78" t="s">
        <v>269</v>
      </c>
      <c r="AQ34" s="78" t="s">
        <v>269</v>
      </c>
      <c r="AR34" s="78" t="s">
        <v>269</v>
      </c>
      <c r="AS34" s="78" t="s">
        <v>269</v>
      </c>
      <c r="AT34" s="78" t="s">
        <v>269</v>
      </c>
      <c r="AU34" s="78" t="s">
        <v>269</v>
      </c>
      <c r="AV34" s="78" t="s">
        <v>269</v>
      </c>
      <c r="AW34" s="78"/>
      <c r="AX34" s="78"/>
      <c r="AY34" s="78"/>
      <c r="AZ34" s="78"/>
      <c r="BA34" s="78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/>
      <c r="BX34" s="122"/>
      <c r="BY34" s="122"/>
      <c r="BZ34" s="122"/>
      <c r="CA34" s="122"/>
      <c r="CB34" s="122"/>
      <c r="CC34" s="122"/>
      <c r="CD34" s="122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0"/>
      <c r="EO34" s="120"/>
      <c r="EP34" s="120"/>
      <c r="EQ34" s="120"/>
      <c r="ER34" s="120"/>
      <c r="ES34" s="120"/>
      <c r="ET34" s="120"/>
      <c r="EU34" s="120"/>
      <c r="EV34" s="120"/>
      <c r="EW34" s="120"/>
      <c r="EX34" s="120"/>
      <c r="EY34" s="120"/>
      <c r="EZ34" s="120"/>
      <c r="FA34" s="120"/>
      <c r="FB34" s="120"/>
      <c r="FC34" s="120"/>
      <c r="FD34" s="120"/>
      <c r="FE34" s="120"/>
      <c r="FF34" s="120"/>
      <c r="FG34" s="120"/>
      <c r="FH34" s="120"/>
      <c r="FI34" s="120"/>
      <c r="FJ34" s="120"/>
      <c r="FK34" s="120"/>
      <c r="FL34" s="120"/>
      <c r="FM34" s="120"/>
      <c r="FN34" s="120"/>
      <c r="FO34" s="120"/>
      <c r="FP34" s="120"/>
      <c r="FQ34" s="120"/>
      <c r="FR34" s="120"/>
      <c r="FS34" s="120"/>
      <c r="FT34" s="120"/>
      <c r="FU34" s="120"/>
      <c r="FV34" s="120"/>
      <c r="FW34" s="120"/>
      <c r="FX34" s="120"/>
      <c r="FY34" s="120"/>
      <c r="FZ34" s="120"/>
      <c r="GA34" s="120"/>
      <c r="GB34" s="120"/>
      <c r="GC34" s="120"/>
      <c r="GD34" s="120"/>
      <c r="GE34" s="120"/>
      <c r="GF34" s="120"/>
      <c r="GG34" s="115"/>
      <c r="GH34" s="115"/>
      <c r="GI34" s="115"/>
      <c r="GJ34" s="115"/>
      <c r="GK34" s="115"/>
      <c r="GL34" s="115"/>
      <c r="GM34" s="115"/>
      <c r="GN34" s="115"/>
      <c r="GO34" s="115"/>
      <c r="GP34" s="115"/>
      <c r="GQ34" s="115"/>
      <c r="GR34" s="115"/>
      <c r="GS34" s="115"/>
      <c r="GT34" s="115"/>
      <c r="GU34" s="115"/>
      <c r="GV34" s="115"/>
      <c r="GW34" s="115"/>
      <c r="GX34" s="115"/>
      <c r="GY34" s="115"/>
      <c r="GZ34" s="115"/>
      <c r="HA34" s="115"/>
      <c r="HB34" s="115"/>
      <c r="HC34" s="115"/>
      <c r="HD34" s="115"/>
      <c r="HE34" s="115"/>
      <c r="HF34" s="115"/>
      <c r="HG34" s="115"/>
      <c r="HH34" s="115"/>
      <c r="HI34" s="115"/>
      <c r="HJ34" s="115"/>
      <c r="HK34" s="115"/>
      <c r="HL34" s="115"/>
      <c r="HM34" s="115"/>
      <c r="HN34" s="115"/>
      <c r="HO34" s="115"/>
      <c r="HP34" s="115"/>
      <c r="HQ34" s="115"/>
      <c r="HR34" s="115"/>
      <c r="HS34" s="115"/>
      <c r="HT34" s="115"/>
      <c r="HU34" s="115"/>
      <c r="HV34" s="115"/>
      <c r="HW34" s="115"/>
      <c r="HX34" s="115"/>
      <c r="HY34" s="115"/>
      <c r="HZ34" s="117"/>
      <c r="IA34" s="117"/>
      <c r="IB34" s="117"/>
      <c r="IC34" s="117"/>
      <c r="ID34" s="117"/>
      <c r="IE34" s="117"/>
      <c r="IF34" s="117"/>
      <c r="IG34" s="117"/>
      <c r="IH34" s="117"/>
      <c r="II34" s="117"/>
      <c r="IJ34" s="117"/>
      <c r="IK34" s="117"/>
      <c r="IL34" s="117"/>
      <c r="IM34" s="117"/>
      <c r="IN34" s="117"/>
      <c r="IO34" s="117"/>
      <c r="IP34" s="117"/>
      <c r="IQ34" s="117"/>
      <c r="IR34" s="117"/>
      <c r="IS34" s="117"/>
      <c r="IT34" s="117"/>
      <c r="IU34" s="117"/>
      <c r="IV34" s="117"/>
      <c r="IW34" s="117"/>
      <c r="IX34" s="117"/>
      <c r="IY34" s="117"/>
      <c r="IZ34" s="117"/>
      <c r="JA34" s="117"/>
      <c r="JB34" s="117"/>
      <c r="JC34" s="117"/>
      <c r="JD34" s="117"/>
      <c r="JE34" s="117"/>
      <c r="JF34" s="117"/>
      <c r="JG34" s="117"/>
      <c r="JH34" s="117"/>
      <c r="JI34" s="117"/>
      <c r="JJ34" s="117"/>
      <c r="JK34" s="117"/>
      <c r="JL34" s="117"/>
      <c r="JM34" s="117"/>
      <c r="JN34" s="117"/>
      <c r="JO34" s="117"/>
      <c r="JP34" s="117"/>
      <c r="JQ34" s="117"/>
      <c r="JR34" s="117"/>
      <c r="JS34" s="114"/>
      <c r="JT34" s="114"/>
      <c r="JU34" s="114"/>
      <c r="JV34" s="114"/>
      <c r="JW34" s="114"/>
      <c r="JX34" s="114"/>
      <c r="JY34" s="114"/>
      <c r="JZ34" s="114"/>
      <c r="KA34" s="114"/>
      <c r="KB34" s="114"/>
      <c r="KC34" s="114"/>
      <c r="KD34" s="114"/>
      <c r="KE34" s="114"/>
      <c r="KF34" s="114"/>
      <c r="KG34" s="114"/>
      <c r="KH34" s="114"/>
      <c r="KI34" s="114"/>
      <c r="KJ34" s="114"/>
      <c r="KK34" s="114"/>
      <c r="KL34" s="114"/>
      <c r="KM34" s="114"/>
      <c r="KN34" s="114"/>
      <c r="KO34" s="114"/>
      <c r="KP34" s="114"/>
      <c r="KQ34" s="114"/>
      <c r="KR34" s="114"/>
      <c r="KS34" s="114"/>
      <c r="KT34" s="114"/>
      <c r="KU34" s="114"/>
      <c r="KV34" s="114"/>
      <c r="KW34" s="114"/>
      <c r="KX34" s="114"/>
      <c r="KY34" s="114"/>
      <c r="KZ34" s="114"/>
      <c r="LA34" s="114"/>
      <c r="LB34" s="114"/>
      <c r="LC34" s="114"/>
      <c r="LD34" s="114"/>
      <c r="LE34" s="114"/>
      <c r="LF34" s="114"/>
      <c r="LG34" s="114"/>
      <c r="LH34" s="114"/>
      <c r="LI34" s="114"/>
      <c r="LJ34" s="114"/>
      <c r="LK34" s="114"/>
    </row>
    <row r="35" spans="1:323" ht="62.45" customHeight="1" x14ac:dyDescent="0.25">
      <c r="A35" s="127"/>
      <c r="B35" s="133"/>
      <c r="C35" s="134"/>
      <c r="D35" s="133"/>
      <c r="E35" s="127">
        <v>8</v>
      </c>
      <c r="F35" s="126" t="s">
        <v>11</v>
      </c>
      <c r="G35" s="20" t="s">
        <v>56</v>
      </c>
      <c r="H35" s="23" t="s">
        <v>23</v>
      </c>
      <c r="I35" s="78" t="s">
        <v>269</v>
      </c>
      <c r="J35" s="78" t="s">
        <v>269</v>
      </c>
      <c r="K35" s="78" t="s">
        <v>269</v>
      </c>
      <c r="L35" s="78" t="s">
        <v>269</v>
      </c>
      <c r="M35" s="78" t="s">
        <v>269</v>
      </c>
      <c r="N35" s="78" t="s">
        <v>269</v>
      </c>
      <c r="O35" s="78" t="s">
        <v>269</v>
      </c>
      <c r="P35" s="78" t="s">
        <v>269</v>
      </c>
      <c r="Q35" s="78" t="s">
        <v>269</v>
      </c>
      <c r="R35" s="78" t="s">
        <v>269</v>
      </c>
      <c r="S35" s="78" t="s">
        <v>269</v>
      </c>
      <c r="T35" s="78" t="s">
        <v>269</v>
      </c>
      <c r="U35" s="78" t="s">
        <v>269</v>
      </c>
      <c r="V35" s="78" t="s">
        <v>269</v>
      </c>
      <c r="W35" s="78" t="s">
        <v>269</v>
      </c>
      <c r="X35" s="78" t="s">
        <v>269</v>
      </c>
      <c r="Y35" s="78" t="s">
        <v>269</v>
      </c>
      <c r="Z35" s="78" t="s">
        <v>269</v>
      </c>
      <c r="AA35" s="78" t="s">
        <v>269</v>
      </c>
      <c r="AB35" s="78" t="s">
        <v>269</v>
      </c>
      <c r="AC35" s="78" t="s">
        <v>269</v>
      </c>
      <c r="AD35" s="78" t="s">
        <v>269</v>
      </c>
      <c r="AE35" s="78" t="s">
        <v>269</v>
      </c>
      <c r="AF35" s="78" t="s">
        <v>269</v>
      </c>
      <c r="AG35" s="78" t="s">
        <v>269</v>
      </c>
      <c r="AH35" s="78" t="s">
        <v>269</v>
      </c>
      <c r="AI35" s="78" t="s">
        <v>269</v>
      </c>
      <c r="AJ35" s="78" t="s">
        <v>269</v>
      </c>
      <c r="AK35" s="78" t="s">
        <v>269</v>
      </c>
      <c r="AL35" s="78" t="s">
        <v>269</v>
      </c>
      <c r="AM35" s="78" t="s">
        <v>269</v>
      </c>
      <c r="AN35" s="78" t="s">
        <v>269</v>
      </c>
      <c r="AO35" s="78" t="s">
        <v>269</v>
      </c>
      <c r="AP35" s="78" t="s">
        <v>269</v>
      </c>
      <c r="AQ35" s="78" t="s">
        <v>269</v>
      </c>
      <c r="AR35" s="78" t="s">
        <v>269</v>
      </c>
      <c r="AS35" s="78" t="s">
        <v>269</v>
      </c>
      <c r="AT35" s="78" t="s">
        <v>269</v>
      </c>
      <c r="AU35" s="78" t="s">
        <v>269</v>
      </c>
      <c r="AV35" s="78" t="s">
        <v>269</v>
      </c>
      <c r="AW35" s="78"/>
      <c r="AX35" s="78"/>
      <c r="AY35" s="78"/>
      <c r="AZ35" s="78"/>
      <c r="BA35" s="78"/>
      <c r="BB35" s="122">
        <f t="shared" ref="BB35:CO35" si="83">IF(AND(I35="",I36=""),"",COUNTIF(I35:I36,"v"))</f>
        <v>2</v>
      </c>
      <c r="BC35" s="122">
        <f t="shared" si="83"/>
        <v>2</v>
      </c>
      <c r="BD35" s="122">
        <f t="shared" si="83"/>
        <v>2</v>
      </c>
      <c r="BE35" s="122">
        <f t="shared" si="83"/>
        <v>2</v>
      </c>
      <c r="BF35" s="122">
        <f t="shared" si="83"/>
        <v>2</v>
      </c>
      <c r="BG35" s="122">
        <f t="shared" si="83"/>
        <v>2</v>
      </c>
      <c r="BH35" s="122">
        <f t="shared" si="83"/>
        <v>2</v>
      </c>
      <c r="BI35" s="122">
        <f t="shared" si="83"/>
        <v>2</v>
      </c>
      <c r="BJ35" s="122">
        <f t="shared" si="83"/>
        <v>2</v>
      </c>
      <c r="BK35" s="122">
        <f t="shared" si="83"/>
        <v>2</v>
      </c>
      <c r="BL35" s="122">
        <f t="shared" si="83"/>
        <v>2</v>
      </c>
      <c r="BM35" s="122">
        <f t="shared" si="83"/>
        <v>2</v>
      </c>
      <c r="BN35" s="122">
        <f t="shared" si="83"/>
        <v>2</v>
      </c>
      <c r="BO35" s="122">
        <f t="shared" si="83"/>
        <v>2</v>
      </c>
      <c r="BP35" s="122">
        <f t="shared" si="83"/>
        <v>2</v>
      </c>
      <c r="BQ35" s="122">
        <f t="shared" si="83"/>
        <v>2</v>
      </c>
      <c r="BR35" s="122">
        <f t="shared" si="83"/>
        <v>2</v>
      </c>
      <c r="BS35" s="122">
        <f t="shared" si="83"/>
        <v>2</v>
      </c>
      <c r="BT35" s="122">
        <f t="shared" si="83"/>
        <v>2</v>
      </c>
      <c r="BU35" s="122">
        <f t="shared" si="83"/>
        <v>2</v>
      </c>
      <c r="BV35" s="122">
        <f t="shared" si="83"/>
        <v>2</v>
      </c>
      <c r="BW35" s="122">
        <f t="shared" si="83"/>
        <v>2</v>
      </c>
      <c r="BX35" s="122">
        <f t="shared" si="83"/>
        <v>2</v>
      </c>
      <c r="BY35" s="122">
        <f t="shared" si="83"/>
        <v>2</v>
      </c>
      <c r="BZ35" s="122">
        <f t="shared" si="83"/>
        <v>2</v>
      </c>
      <c r="CA35" s="122">
        <f t="shared" si="83"/>
        <v>2</v>
      </c>
      <c r="CB35" s="122">
        <f t="shared" si="83"/>
        <v>2</v>
      </c>
      <c r="CC35" s="122">
        <f t="shared" si="83"/>
        <v>2</v>
      </c>
      <c r="CD35" s="122">
        <f t="shared" si="83"/>
        <v>2</v>
      </c>
      <c r="CE35" s="122">
        <f t="shared" si="83"/>
        <v>2</v>
      </c>
      <c r="CF35" s="122">
        <f t="shared" si="83"/>
        <v>2</v>
      </c>
      <c r="CG35" s="122">
        <f t="shared" si="83"/>
        <v>2</v>
      </c>
      <c r="CH35" s="122">
        <f t="shared" si="83"/>
        <v>2</v>
      </c>
      <c r="CI35" s="122">
        <f t="shared" si="83"/>
        <v>2</v>
      </c>
      <c r="CJ35" s="122">
        <f t="shared" si="83"/>
        <v>2</v>
      </c>
      <c r="CK35" s="122">
        <f t="shared" si="83"/>
        <v>2</v>
      </c>
      <c r="CL35" s="122">
        <f t="shared" si="83"/>
        <v>2</v>
      </c>
      <c r="CM35" s="122">
        <f t="shared" si="83"/>
        <v>2</v>
      </c>
      <c r="CN35" s="122">
        <f t="shared" si="83"/>
        <v>2</v>
      </c>
      <c r="CO35" s="122">
        <f t="shared" si="83"/>
        <v>2</v>
      </c>
      <c r="CP35" s="122" t="str">
        <f t="shared" ref="CP35:CT35" si="84">IF(AND(AW35="",AW36=""),"",COUNTIF(AW35:AW36,"v"))</f>
        <v/>
      </c>
      <c r="CQ35" s="122" t="str">
        <f t="shared" si="84"/>
        <v/>
      </c>
      <c r="CR35" s="122" t="str">
        <f t="shared" si="84"/>
        <v/>
      </c>
      <c r="CS35" s="122" t="str">
        <f t="shared" si="84"/>
        <v/>
      </c>
      <c r="CT35" s="122" t="str">
        <f t="shared" si="84"/>
        <v/>
      </c>
      <c r="CU35" s="121" t="str">
        <f t="shared" ref="CU35" si="85">IF(BB35="","",IF(BB35=0,"Ditolak",IF(BB35=1,"Diperbaiki","Digunakan")))</f>
        <v>Digunakan</v>
      </c>
      <c r="CV35" s="121" t="str">
        <f t="shared" ref="CV35:EH35" si="86">IF(BC35="","",IF(BC35=0,"Ditolak",IF(AND(BC35&gt;=1,BC35&lt;2),"Diperbaiki","Digunakan")))</f>
        <v>Digunakan</v>
      </c>
      <c r="CW35" s="121" t="str">
        <f t="shared" si="86"/>
        <v>Digunakan</v>
      </c>
      <c r="CX35" s="121" t="str">
        <f t="shared" si="86"/>
        <v>Digunakan</v>
      </c>
      <c r="CY35" s="121" t="str">
        <f t="shared" si="86"/>
        <v>Digunakan</v>
      </c>
      <c r="CZ35" s="121" t="str">
        <f t="shared" si="86"/>
        <v>Digunakan</v>
      </c>
      <c r="DA35" s="121" t="str">
        <f t="shared" si="86"/>
        <v>Digunakan</v>
      </c>
      <c r="DB35" s="121" t="str">
        <f t="shared" si="86"/>
        <v>Digunakan</v>
      </c>
      <c r="DC35" s="121" t="str">
        <f t="shared" si="86"/>
        <v>Digunakan</v>
      </c>
      <c r="DD35" s="121" t="str">
        <f t="shared" si="86"/>
        <v>Digunakan</v>
      </c>
      <c r="DE35" s="121" t="str">
        <f t="shared" si="86"/>
        <v>Digunakan</v>
      </c>
      <c r="DF35" s="121" t="str">
        <f t="shared" si="86"/>
        <v>Digunakan</v>
      </c>
      <c r="DG35" s="121" t="str">
        <f t="shared" si="86"/>
        <v>Digunakan</v>
      </c>
      <c r="DH35" s="121" t="str">
        <f t="shared" si="86"/>
        <v>Digunakan</v>
      </c>
      <c r="DI35" s="121" t="str">
        <f t="shared" si="86"/>
        <v>Digunakan</v>
      </c>
      <c r="DJ35" s="121" t="str">
        <f t="shared" si="86"/>
        <v>Digunakan</v>
      </c>
      <c r="DK35" s="121" t="str">
        <f t="shared" si="86"/>
        <v>Digunakan</v>
      </c>
      <c r="DL35" s="121" t="str">
        <f t="shared" si="86"/>
        <v>Digunakan</v>
      </c>
      <c r="DM35" s="121" t="str">
        <f t="shared" si="86"/>
        <v>Digunakan</v>
      </c>
      <c r="DN35" s="121" t="str">
        <f t="shared" si="86"/>
        <v>Digunakan</v>
      </c>
      <c r="DO35" s="121" t="str">
        <f t="shared" si="86"/>
        <v>Digunakan</v>
      </c>
      <c r="DP35" s="121" t="str">
        <f t="shared" si="86"/>
        <v>Digunakan</v>
      </c>
      <c r="DQ35" s="121" t="str">
        <f t="shared" si="86"/>
        <v>Digunakan</v>
      </c>
      <c r="DR35" s="121" t="str">
        <f t="shared" si="86"/>
        <v>Digunakan</v>
      </c>
      <c r="DS35" s="121" t="str">
        <f t="shared" si="86"/>
        <v>Digunakan</v>
      </c>
      <c r="DT35" s="121" t="str">
        <f t="shared" si="86"/>
        <v>Digunakan</v>
      </c>
      <c r="DU35" s="121" t="str">
        <f t="shared" si="86"/>
        <v>Digunakan</v>
      </c>
      <c r="DV35" s="121" t="str">
        <f t="shared" si="86"/>
        <v>Digunakan</v>
      </c>
      <c r="DW35" s="121" t="str">
        <f t="shared" si="86"/>
        <v>Digunakan</v>
      </c>
      <c r="DX35" s="121" t="str">
        <f t="shared" si="86"/>
        <v>Digunakan</v>
      </c>
      <c r="DY35" s="121" t="str">
        <f t="shared" si="86"/>
        <v>Digunakan</v>
      </c>
      <c r="DZ35" s="121" t="str">
        <f t="shared" si="86"/>
        <v>Digunakan</v>
      </c>
      <c r="EA35" s="121" t="str">
        <f t="shared" si="86"/>
        <v>Digunakan</v>
      </c>
      <c r="EB35" s="121" t="str">
        <f t="shared" si="86"/>
        <v>Digunakan</v>
      </c>
      <c r="EC35" s="121" t="str">
        <f t="shared" si="86"/>
        <v>Digunakan</v>
      </c>
      <c r="ED35" s="121" t="str">
        <f t="shared" si="86"/>
        <v>Digunakan</v>
      </c>
      <c r="EE35" s="121" t="str">
        <f t="shared" si="86"/>
        <v>Digunakan</v>
      </c>
      <c r="EF35" s="121" t="str">
        <f t="shared" si="86"/>
        <v>Digunakan</v>
      </c>
      <c r="EG35" s="121" t="str">
        <f t="shared" si="86"/>
        <v>Digunakan</v>
      </c>
      <c r="EH35" s="121" t="str">
        <f t="shared" si="86"/>
        <v>Digunakan</v>
      </c>
      <c r="EI35" s="121" t="str">
        <f t="shared" ref="EI35:EM35" si="87">IF(CP35="","",IF(CP35=0,"Ditolak",IF(AND(CP35&gt;=1,CP35&lt;2),"Diperbaiki","Digunakan")))</f>
        <v/>
      </c>
      <c r="EJ35" s="121" t="str">
        <f t="shared" si="87"/>
        <v/>
      </c>
      <c r="EK35" s="121" t="str">
        <f t="shared" si="87"/>
        <v/>
      </c>
      <c r="EL35" s="121" t="str">
        <f t="shared" si="87"/>
        <v/>
      </c>
      <c r="EM35" s="121" t="str">
        <f t="shared" si="87"/>
        <v/>
      </c>
      <c r="EN35" s="120"/>
      <c r="EO35" s="120"/>
      <c r="EP35" s="120"/>
      <c r="EQ35" s="120"/>
      <c r="ER35" s="120"/>
      <c r="ES35" s="120"/>
      <c r="ET35" s="120"/>
      <c r="EU35" s="120"/>
      <c r="EV35" s="120"/>
      <c r="EW35" s="120"/>
      <c r="EX35" s="120"/>
      <c r="EY35" s="120"/>
      <c r="EZ35" s="120"/>
      <c r="FA35" s="120"/>
      <c r="FB35" s="120"/>
      <c r="FC35" s="120"/>
      <c r="FD35" s="120"/>
      <c r="FE35" s="120"/>
      <c r="FF35" s="120"/>
      <c r="FG35" s="120"/>
      <c r="FH35" s="120"/>
      <c r="FI35" s="120"/>
      <c r="FJ35" s="120"/>
      <c r="FK35" s="120"/>
      <c r="FL35" s="120"/>
      <c r="FM35" s="120"/>
      <c r="FN35" s="120"/>
      <c r="FO35" s="120"/>
      <c r="FP35" s="120"/>
      <c r="FQ35" s="120"/>
      <c r="FR35" s="120"/>
      <c r="FS35" s="120"/>
      <c r="FT35" s="120"/>
      <c r="FU35" s="120"/>
      <c r="FV35" s="120"/>
      <c r="FW35" s="120"/>
      <c r="FX35" s="120"/>
      <c r="FY35" s="120"/>
      <c r="FZ35" s="120"/>
      <c r="GA35" s="120"/>
      <c r="GB35" s="120"/>
      <c r="GC35" s="120"/>
      <c r="GD35" s="120"/>
      <c r="GE35" s="120"/>
      <c r="GF35" s="120"/>
      <c r="GG35" s="115"/>
      <c r="GH35" s="115"/>
      <c r="GI35" s="115"/>
      <c r="GJ35" s="115"/>
      <c r="GK35" s="115"/>
      <c r="GL35" s="115"/>
      <c r="GM35" s="115"/>
      <c r="GN35" s="115"/>
      <c r="GO35" s="115"/>
      <c r="GP35" s="115"/>
      <c r="GQ35" s="115"/>
      <c r="GR35" s="115"/>
      <c r="GS35" s="115"/>
      <c r="GT35" s="115"/>
      <c r="GU35" s="115"/>
      <c r="GV35" s="115"/>
      <c r="GW35" s="115"/>
      <c r="GX35" s="115"/>
      <c r="GY35" s="115"/>
      <c r="GZ35" s="115"/>
      <c r="HA35" s="115"/>
      <c r="HB35" s="115"/>
      <c r="HC35" s="115"/>
      <c r="HD35" s="115"/>
      <c r="HE35" s="115"/>
      <c r="HF35" s="115"/>
      <c r="HG35" s="115"/>
      <c r="HH35" s="115"/>
      <c r="HI35" s="115"/>
      <c r="HJ35" s="115"/>
      <c r="HK35" s="115"/>
      <c r="HL35" s="115"/>
      <c r="HM35" s="115"/>
      <c r="HN35" s="115"/>
      <c r="HO35" s="115"/>
      <c r="HP35" s="115"/>
      <c r="HQ35" s="115"/>
      <c r="HR35" s="115"/>
      <c r="HS35" s="115"/>
      <c r="HT35" s="115"/>
      <c r="HU35" s="115"/>
      <c r="HV35" s="115"/>
      <c r="HW35" s="115"/>
      <c r="HX35" s="115"/>
      <c r="HY35" s="115"/>
      <c r="HZ35" s="117"/>
      <c r="IA35" s="117"/>
      <c r="IB35" s="117"/>
      <c r="IC35" s="117"/>
      <c r="ID35" s="117"/>
      <c r="IE35" s="117"/>
      <c r="IF35" s="117"/>
      <c r="IG35" s="117"/>
      <c r="IH35" s="117"/>
      <c r="II35" s="117"/>
      <c r="IJ35" s="117"/>
      <c r="IK35" s="117"/>
      <c r="IL35" s="117"/>
      <c r="IM35" s="117"/>
      <c r="IN35" s="117"/>
      <c r="IO35" s="117"/>
      <c r="IP35" s="117"/>
      <c r="IQ35" s="117"/>
      <c r="IR35" s="117"/>
      <c r="IS35" s="117"/>
      <c r="IT35" s="117"/>
      <c r="IU35" s="117"/>
      <c r="IV35" s="117"/>
      <c r="IW35" s="117"/>
      <c r="IX35" s="117"/>
      <c r="IY35" s="117"/>
      <c r="IZ35" s="117"/>
      <c r="JA35" s="117"/>
      <c r="JB35" s="117"/>
      <c r="JC35" s="117"/>
      <c r="JD35" s="117"/>
      <c r="JE35" s="117"/>
      <c r="JF35" s="117"/>
      <c r="JG35" s="117"/>
      <c r="JH35" s="117"/>
      <c r="JI35" s="117"/>
      <c r="JJ35" s="117"/>
      <c r="JK35" s="117"/>
      <c r="JL35" s="117"/>
      <c r="JM35" s="117"/>
      <c r="JN35" s="117"/>
      <c r="JO35" s="117"/>
      <c r="JP35" s="117"/>
      <c r="JQ35" s="117"/>
      <c r="JR35" s="117"/>
      <c r="JS35" s="114"/>
      <c r="JT35" s="114"/>
      <c r="JU35" s="114"/>
      <c r="JV35" s="114"/>
      <c r="JW35" s="114"/>
      <c r="JX35" s="114"/>
      <c r="JY35" s="114"/>
      <c r="JZ35" s="114"/>
      <c r="KA35" s="114"/>
      <c r="KB35" s="114"/>
      <c r="KC35" s="114"/>
      <c r="KD35" s="114"/>
      <c r="KE35" s="114"/>
      <c r="KF35" s="114"/>
      <c r="KG35" s="114"/>
      <c r="KH35" s="114"/>
      <c r="KI35" s="114"/>
      <c r="KJ35" s="114"/>
      <c r="KK35" s="114"/>
      <c r="KL35" s="114"/>
      <c r="KM35" s="114"/>
      <c r="KN35" s="114"/>
      <c r="KO35" s="114"/>
      <c r="KP35" s="114"/>
      <c r="KQ35" s="114"/>
      <c r="KR35" s="114"/>
      <c r="KS35" s="114"/>
      <c r="KT35" s="114"/>
      <c r="KU35" s="114"/>
      <c r="KV35" s="114"/>
      <c r="KW35" s="114"/>
      <c r="KX35" s="114"/>
      <c r="KY35" s="114"/>
      <c r="KZ35" s="114"/>
      <c r="LA35" s="114"/>
      <c r="LB35" s="114"/>
      <c r="LC35" s="114"/>
      <c r="LD35" s="114"/>
      <c r="LE35" s="114"/>
      <c r="LF35" s="114"/>
      <c r="LG35" s="114"/>
      <c r="LH35" s="114"/>
      <c r="LI35" s="114"/>
      <c r="LJ35" s="114"/>
      <c r="LK35" s="114"/>
    </row>
    <row r="36" spans="1:323" ht="47.25" x14ac:dyDescent="0.25">
      <c r="A36" s="127"/>
      <c r="B36" s="133"/>
      <c r="C36" s="134"/>
      <c r="D36" s="133"/>
      <c r="E36" s="127"/>
      <c r="F36" s="126"/>
      <c r="G36" s="20" t="s">
        <v>56</v>
      </c>
      <c r="H36" s="23" t="s">
        <v>22</v>
      </c>
      <c r="I36" s="78" t="s">
        <v>269</v>
      </c>
      <c r="J36" s="78" t="s">
        <v>269</v>
      </c>
      <c r="K36" s="78" t="s">
        <v>269</v>
      </c>
      <c r="L36" s="78" t="s">
        <v>269</v>
      </c>
      <c r="M36" s="78" t="s">
        <v>269</v>
      </c>
      <c r="N36" s="78" t="s">
        <v>269</v>
      </c>
      <c r="O36" s="78" t="s">
        <v>269</v>
      </c>
      <c r="P36" s="78" t="s">
        <v>269</v>
      </c>
      <c r="Q36" s="78" t="s">
        <v>269</v>
      </c>
      <c r="R36" s="78" t="s">
        <v>269</v>
      </c>
      <c r="S36" s="78" t="s">
        <v>269</v>
      </c>
      <c r="T36" s="78" t="s">
        <v>269</v>
      </c>
      <c r="U36" s="78" t="s">
        <v>269</v>
      </c>
      <c r="V36" s="78" t="s">
        <v>269</v>
      </c>
      <c r="W36" s="78" t="s">
        <v>269</v>
      </c>
      <c r="X36" s="78" t="s">
        <v>269</v>
      </c>
      <c r="Y36" s="78" t="s">
        <v>269</v>
      </c>
      <c r="Z36" s="78" t="s">
        <v>269</v>
      </c>
      <c r="AA36" s="78" t="s">
        <v>269</v>
      </c>
      <c r="AB36" s="78" t="s">
        <v>269</v>
      </c>
      <c r="AC36" s="78" t="s">
        <v>269</v>
      </c>
      <c r="AD36" s="78" t="s">
        <v>269</v>
      </c>
      <c r="AE36" s="78" t="s">
        <v>269</v>
      </c>
      <c r="AF36" s="78" t="s">
        <v>269</v>
      </c>
      <c r="AG36" s="78" t="s">
        <v>269</v>
      </c>
      <c r="AH36" s="78" t="s">
        <v>269</v>
      </c>
      <c r="AI36" s="78" t="s">
        <v>269</v>
      </c>
      <c r="AJ36" s="78" t="s">
        <v>269</v>
      </c>
      <c r="AK36" s="78" t="s">
        <v>269</v>
      </c>
      <c r="AL36" s="78" t="s">
        <v>269</v>
      </c>
      <c r="AM36" s="78" t="s">
        <v>269</v>
      </c>
      <c r="AN36" s="78" t="s">
        <v>269</v>
      </c>
      <c r="AO36" s="78" t="s">
        <v>269</v>
      </c>
      <c r="AP36" s="78" t="s">
        <v>269</v>
      </c>
      <c r="AQ36" s="78" t="s">
        <v>269</v>
      </c>
      <c r="AR36" s="78" t="s">
        <v>269</v>
      </c>
      <c r="AS36" s="78" t="s">
        <v>269</v>
      </c>
      <c r="AT36" s="78" t="s">
        <v>269</v>
      </c>
      <c r="AU36" s="78" t="s">
        <v>269</v>
      </c>
      <c r="AV36" s="78" t="s">
        <v>269</v>
      </c>
      <c r="AW36" s="78"/>
      <c r="AX36" s="78"/>
      <c r="AY36" s="78"/>
      <c r="AZ36" s="78"/>
      <c r="BA36" s="78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0"/>
      <c r="EO36" s="120"/>
      <c r="EP36" s="120"/>
      <c r="EQ36" s="120"/>
      <c r="ER36" s="120"/>
      <c r="ES36" s="120"/>
      <c r="ET36" s="120"/>
      <c r="EU36" s="120"/>
      <c r="EV36" s="120"/>
      <c r="EW36" s="120"/>
      <c r="EX36" s="120"/>
      <c r="EY36" s="120"/>
      <c r="EZ36" s="120"/>
      <c r="FA36" s="120"/>
      <c r="FB36" s="120"/>
      <c r="FC36" s="120"/>
      <c r="FD36" s="120"/>
      <c r="FE36" s="120"/>
      <c r="FF36" s="120"/>
      <c r="FG36" s="120"/>
      <c r="FH36" s="120"/>
      <c r="FI36" s="120"/>
      <c r="FJ36" s="120"/>
      <c r="FK36" s="120"/>
      <c r="FL36" s="120"/>
      <c r="FM36" s="120"/>
      <c r="FN36" s="120"/>
      <c r="FO36" s="120"/>
      <c r="FP36" s="120"/>
      <c r="FQ36" s="120"/>
      <c r="FR36" s="120"/>
      <c r="FS36" s="120"/>
      <c r="FT36" s="120"/>
      <c r="FU36" s="120"/>
      <c r="FV36" s="120"/>
      <c r="FW36" s="120"/>
      <c r="FX36" s="120"/>
      <c r="FY36" s="120"/>
      <c r="FZ36" s="120"/>
      <c r="GA36" s="120"/>
      <c r="GB36" s="120"/>
      <c r="GC36" s="120"/>
      <c r="GD36" s="120"/>
      <c r="GE36" s="120"/>
      <c r="GF36" s="120"/>
      <c r="GG36" s="115"/>
      <c r="GH36" s="115"/>
      <c r="GI36" s="115"/>
      <c r="GJ36" s="115"/>
      <c r="GK36" s="115"/>
      <c r="GL36" s="115"/>
      <c r="GM36" s="115"/>
      <c r="GN36" s="115"/>
      <c r="GO36" s="115"/>
      <c r="GP36" s="115"/>
      <c r="GQ36" s="115"/>
      <c r="GR36" s="115"/>
      <c r="GS36" s="115"/>
      <c r="GT36" s="115"/>
      <c r="GU36" s="115"/>
      <c r="GV36" s="115"/>
      <c r="GW36" s="115"/>
      <c r="GX36" s="115"/>
      <c r="GY36" s="115"/>
      <c r="GZ36" s="115"/>
      <c r="HA36" s="115"/>
      <c r="HB36" s="115"/>
      <c r="HC36" s="115"/>
      <c r="HD36" s="115"/>
      <c r="HE36" s="115"/>
      <c r="HF36" s="115"/>
      <c r="HG36" s="115"/>
      <c r="HH36" s="115"/>
      <c r="HI36" s="115"/>
      <c r="HJ36" s="115"/>
      <c r="HK36" s="115"/>
      <c r="HL36" s="115"/>
      <c r="HM36" s="115"/>
      <c r="HN36" s="115"/>
      <c r="HO36" s="115"/>
      <c r="HP36" s="115"/>
      <c r="HQ36" s="115"/>
      <c r="HR36" s="115"/>
      <c r="HS36" s="115"/>
      <c r="HT36" s="115"/>
      <c r="HU36" s="115"/>
      <c r="HV36" s="115"/>
      <c r="HW36" s="115"/>
      <c r="HX36" s="115"/>
      <c r="HY36" s="115"/>
      <c r="HZ36" s="117"/>
      <c r="IA36" s="117"/>
      <c r="IB36" s="117"/>
      <c r="IC36" s="117"/>
      <c r="ID36" s="117"/>
      <c r="IE36" s="117"/>
      <c r="IF36" s="117"/>
      <c r="IG36" s="117"/>
      <c r="IH36" s="117"/>
      <c r="II36" s="117"/>
      <c r="IJ36" s="117"/>
      <c r="IK36" s="117"/>
      <c r="IL36" s="117"/>
      <c r="IM36" s="117"/>
      <c r="IN36" s="117"/>
      <c r="IO36" s="117"/>
      <c r="IP36" s="117"/>
      <c r="IQ36" s="117"/>
      <c r="IR36" s="117"/>
      <c r="IS36" s="117"/>
      <c r="IT36" s="117"/>
      <c r="IU36" s="117"/>
      <c r="IV36" s="117"/>
      <c r="IW36" s="117"/>
      <c r="IX36" s="117"/>
      <c r="IY36" s="117"/>
      <c r="IZ36" s="117"/>
      <c r="JA36" s="117"/>
      <c r="JB36" s="117"/>
      <c r="JC36" s="117"/>
      <c r="JD36" s="117"/>
      <c r="JE36" s="117"/>
      <c r="JF36" s="117"/>
      <c r="JG36" s="117"/>
      <c r="JH36" s="117"/>
      <c r="JI36" s="117"/>
      <c r="JJ36" s="117"/>
      <c r="JK36" s="117"/>
      <c r="JL36" s="117"/>
      <c r="JM36" s="117"/>
      <c r="JN36" s="117"/>
      <c r="JO36" s="117"/>
      <c r="JP36" s="117"/>
      <c r="JQ36" s="117"/>
      <c r="JR36" s="117"/>
      <c r="JS36" s="114"/>
      <c r="JT36" s="114"/>
      <c r="JU36" s="114"/>
      <c r="JV36" s="114"/>
      <c r="JW36" s="114"/>
      <c r="JX36" s="114"/>
      <c r="JY36" s="114"/>
      <c r="JZ36" s="114"/>
      <c r="KA36" s="114"/>
      <c r="KB36" s="114"/>
      <c r="KC36" s="114"/>
      <c r="KD36" s="114"/>
      <c r="KE36" s="114"/>
      <c r="KF36" s="114"/>
      <c r="KG36" s="114"/>
      <c r="KH36" s="114"/>
      <c r="KI36" s="114"/>
      <c r="KJ36" s="114"/>
      <c r="KK36" s="114"/>
      <c r="KL36" s="114"/>
      <c r="KM36" s="114"/>
      <c r="KN36" s="114"/>
      <c r="KO36" s="114"/>
      <c r="KP36" s="114"/>
      <c r="KQ36" s="114"/>
      <c r="KR36" s="114"/>
      <c r="KS36" s="114"/>
      <c r="KT36" s="114"/>
      <c r="KU36" s="114"/>
      <c r="KV36" s="114"/>
      <c r="KW36" s="114"/>
      <c r="KX36" s="114"/>
      <c r="KY36" s="114"/>
      <c r="KZ36" s="114"/>
      <c r="LA36" s="114"/>
      <c r="LB36" s="114"/>
      <c r="LC36" s="114"/>
      <c r="LD36" s="114"/>
      <c r="LE36" s="114"/>
      <c r="LF36" s="114"/>
      <c r="LG36" s="114"/>
      <c r="LH36" s="114"/>
      <c r="LI36" s="114"/>
      <c r="LJ36" s="114"/>
      <c r="LK36" s="114"/>
    </row>
    <row r="37" spans="1:323" ht="31.15" customHeight="1" x14ac:dyDescent="0.25">
      <c r="A37" s="127"/>
      <c r="B37" s="133"/>
      <c r="C37" s="134"/>
      <c r="D37" s="133"/>
      <c r="E37" s="127">
        <v>9</v>
      </c>
      <c r="F37" s="126" t="s">
        <v>83</v>
      </c>
      <c r="G37" s="20" t="s">
        <v>56</v>
      </c>
      <c r="H37" s="22" t="s">
        <v>84</v>
      </c>
      <c r="I37" s="78" t="s">
        <v>269</v>
      </c>
      <c r="J37" s="78" t="s">
        <v>269</v>
      </c>
      <c r="K37" s="78" t="s">
        <v>269</v>
      </c>
      <c r="L37" s="78" t="s">
        <v>269</v>
      </c>
      <c r="M37" s="78" t="s">
        <v>269</v>
      </c>
      <c r="N37" s="78" t="s">
        <v>269</v>
      </c>
      <c r="O37" s="78" t="s">
        <v>269</v>
      </c>
      <c r="P37" s="78" t="s">
        <v>269</v>
      </c>
      <c r="Q37" s="78" t="s">
        <v>269</v>
      </c>
      <c r="R37" s="78" t="s">
        <v>269</v>
      </c>
      <c r="S37" s="78" t="s">
        <v>269</v>
      </c>
      <c r="T37" s="78" t="s">
        <v>269</v>
      </c>
      <c r="U37" s="78" t="s">
        <v>269</v>
      </c>
      <c r="V37" s="78" t="s">
        <v>269</v>
      </c>
      <c r="W37" s="78" t="s">
        <v>269</v>
      </c>
      <c r="X37" s="78" t="s">
        <v>269</v>
      </c>
      <c r="Y37" s="78" t="s">
        <v>269</v>
      </c>
      <c r="Z37" s="78" t="s">
        <v>269</v>
      </c>
      <c r="AA37" s="78" t="s">
        <v>269</v>
      </c>
      <c r="AB37" s="78" t="s">
        <v>269</v>
      </c>
      <c r="AC37" s="78" t="s">
        <v>269</v>
      </c>
      <c r="AD37" s="78" t="s">
        <v>269</v>
      </c>
      <c r="AE37" s="78" t="s">
        <v>269</v>
      </c>
      <c r="AF37" s="78" t="s">
        <v>269</v>
      </c>
      <c r="AG37" s="78" t="s">
        <v>269</v>
      </c>
      <c r="AH37" s="78" t="s">
        <v>269</v>
      </c>
      <c r="AI37" s="78" t="s">
        <v>269</v>
      </c>
      <c r="AJ37" s="78" t="s">
        <v>269</v>
      </c>
      <c r="AK37" s="78" t="s">
        <v>269</v>
      </c>
      <c r="AL37" s="78" t="s">
        <v>269</v>
      </c>
      <c r="AM37" s="78" t="s">
        <v>269</v>
      </c>
      <c r="AN37" s="78" t="s">
        <v>269</v>
      </c>
      <c r="AO37" s="78" t="s">
        <v>269</v>
      </c>
      <c r="AP37" s="78" t="s">
        <v>269</v>
      </c>
      <c r="AQ37" s="78" t="s">
        <v>269</v>
      </c>
      <c r="AR37" s="78" t="s">
        <v>269</v>
      </c>
      <c r="AS37" s="78" t="s">
        <v>269</v>
      </c>
      <c r="AT37" s="78" t="s">
        <v>269</v>
      </c>
      <c r="AU37" s="78" t="s">
        <v>269</v>
      </c>
      <c r="AV37" s="78" t="s">
        <v>269</v>
      </c>
      <c r="AW37" s="78"/>
      <c r="AX37" s="78"/>
      <c r="AY37" s="78"/>
      <c r="AZ37" s="78"/>
      <c r="BA37" s="78"/>
      <c r="BB37" s="122">
        <f t="shared" ref="BB37:CO37" si="88">IF(AND(I37="",I38=""),"",COUNTIF(I37:I38,"v"))</f>
        <v>2</v>
      </c>
      <c r="BC37" s="122">
        <f t="shared" si="88"/>
        <v>2</v>
      </c>
      <c r="BD37" s="122">
        <f t="shared" si="88"/>
        <v>2</v>
      </c>
      <c r="BE37" s="122">
        <f t="shared" si="88"/>
        <v>2</v>
      </c>
      <c r="BF37" s="122">
        <f t="shared" si="88"/>
        <v>2</v>
      </c>
      <c r="BG37" s="122">
        <f t="shared" si="88"/>
        <v>2</v>
      </c>
      <c r="BH37" s="122">
        <f t="shared" si="88"/>
        <v>2</v>
      </c>
      <c r="BI37" s="122">
        <f t="shared" si="88"/>
        <v>2</v>
      </c>
      <c r="BJ37" s="122">
        <f t="shared" si="88"/>
        <v>2</v>
      </c>
      <c r="BK37" s="122">
        <f t="shared" si="88"/>
        <v>2</v>
      </c>
      <c r="BL37" s="122">
        <f t="shared" si="88"/>
        <v>2</v>
      </c>
      <c r="BM37" s="122">
        <f t="shared" si="88"/>
        <v>2</v>
      </c>
      <c r="BN37" s="122">
        <f t="shared" si="88"/>
        <v>2</v>
      </c>
      <c r="BO37" s="122">
        <f t="shared" si="88"/>
        <v>2</v>
      </c>
      <c r="BP37" s="122">
        <f t="shared" si="88"/>
        <v>2</v>
      </c>
      <c r="BQ37" s="122">
        <f t="shared" si="88"/>
        <v>2</v>
      </c>
      <c r="BR37" s="122">
        <f t="shared" si="88"/>
        <v>2</v>
      </c>
      <c r="BS37" s="122">
        <f t="shared" si="88"/>
        <v>2</v>
      </c>
      <c r="BT37" s="122">
        <f t="shared" si="88"/>
        <v>2</v>
      </c>
      <c r="BU37" s="122">
        <f t="shared" si="88"/>
        <v>2</v>
      </c>
      <c r="BV37" s="122">
        <f t="shared" si="88"/>
        <v>2</v>
      </c>
      <c r="BW37" s="122">
        <f t="shared" si="88"/>
        <v>2</v>
      </c>
      <c r="BX37" s="122">
        <f t="shared" si="88"/>
        <v>2</v>
      </c>
      <c r="BY37" s="122">
        <f t="shared" si="88"/>
        <v>2</v>
      </c>
      <c r="BZ37" s="122">
        <f t="shared" si="88"/>
        <v>2</v>
      </c>
      <c r="CA37" s="122">
        <f t="shared" si="88"/>
        <v>2</v>
      </c>
      <c r="CB37" s="122">
        <f t="shared" si="88"/>
        <v>2</v>
      </c>
      <c r="CC37" s="122">
        <f t="shared" si="88"/>
        <v>2</v>
      </c>
      <c r="CD37" s="122">
        <f t="shared" si="88"/>
        <v>2</v>
      </c>
      <c r="CE37" s="122">
        <f t="shared" si="88"/>
        <v>2</v>
      </c>
      <c r="CF37" s="122">
        <f t="shared" si="88"/>
        <v>2</v>
      </c>
      <c r="CG37" s="122">
        <f t="shared" si="88"/>
        <v>2</v>
      </c>
      <c r="CH37" s="122">
        <f t="shared" si="88"/>
        <v>2</v>
      </c>
      <c r="CI37" s="122">
        <f t="shared" si="88"/>
        <v>2</v>
      </c>
      <c r="CJ37" s="122">
        <f t="shared" si="88"/>
        <v>2</v>
      </c>
      <c r="CK37" s="122">
        <f t="shared" si="88"/>
        <v>2</v>
      </c>
      <c r="CL37" s="122">
        <f t="shared" si="88"/>
        <v>2</v>
      </c>
      <c r="CM37" s="122">
        <f t="shared" si="88"/>
        <v>2</v>
      </c>
      <c r="CN37" s="122">
        <f t="shared" si="88"/>
        <v>2</v>
      </c>
      <c r="CO37" s="122">
        <f t="shared" si="88"/>
        <v>2</v>
      </c>
      <c r="CP37" s="122" t="str">
        <f t="shared" ref="CP37:CT37" si="89">IF(AND(AW37="",AW38=""),"",COUNTIF(AW37:AW38,"v"))</f>
        <v/>
      </c>
      <c r="CQ37" s="122" t="str">
        <f t="shared" si="89"/>
        <v/>
      </c>
      <c r="CR37" s="122" t="str">
        <f t="shared" si="89"/>
        <v/>
      </c>
      <c r="CS37" s="122" t="str">
        <f t="shared" si="89"/>
        <v/>
      </c>
      <c r="CT37" s="122" t="str">
        <f t="shared" si="89"/>
        <v/>
      </c>
      <c r="CU37" s="121" t="str">
        <f t="shared" ref="CU37" si="90">IF(BB37="","",IF(BB37=0,"Ditolak",IF(BB37=1,"Diperbaiki","Digunakan")))</f>
        <v>Digunakan</v>
      </c>
      <c r="CV37" s="121" t="str">
        <f t="shared" ref="CV37:EH37" si="91">IF(BC37="","",IF(BC37=0,"Ditolak",IF(AND(BC37&gt;=1,BC37&lt;2),"Diperbaiki","Digunakan")))</f>
        <v>Digunakan</v>
      </c>
      <c r="CW37" s="121" t="str">
        <f t="shared" si="91"/>
        <v>Digunakan</v>
      </c>
      <c r="CX37" s="121" t="str">
        <f t="shared" si="91"/>
        <v>Digunakan</v>
      </c>
      <c r="CY37" s="121" t="str">
        <f t="shared" si="91"/>
        <v>Digunakan</v>
      </c>
      <c r="CZ37" s="121" t="str">
        <f t="shared" si="91"/>
        <v>Digunakan</v>
      </c>
      <c r="DA37" s="121" t="str">
        <f t="shared" si="91"/>
        <v>Digunakan</v>
      </c>
      <c r="DB37" s="121" t="str">
        <f t="shared" si="91"/>
        <v>Digunakan</v>
      </c>
      <c r="DC37" s="121" t="str">
        <f t="shared" si="91"/>
        <v>Digunakan</v>
      </c>
      <c r="DD37" s="121" t="str">
        <f t="shared" si="91"/>
        <v>Digunakan</v>
      </c>
      <c r="DE37" s="121" t="str">
        <f t="shared" si="91"/>
        <v>Digunakan</v>
      </c>
      <c r="DF37" s="121" t="str">
        <f t="shared" si="91"/>
        <v>Digunakan</v>
      </c>
      <c r="DG37" s="121" t="str">
        <f t="shared" si="91"/>
        <v>Digunakan</v>
      </c>
      <c r="DH37" s="121" t="str">
        <f t="shared" si="91"/>
        <v>Digunakan</v>
      </c>
      <c r="DI37" s="121" t="str">
        <f t="shared" si="91"/>
        <v>Digunakan</v>
      </c>
      <c r="DJ37" s="121" t="str">
        <f t="shared" si="91"/>
        <v>Digunakan</v>
      </c>
      <c r="DK37" s="121" t="str">
        <f t="shared" si="91"/>
        <v>Digunakan</v>
      </c>
      <c r="DL37" s="121" t="str">
        <f t="shared" si="91"/>
        <v>Digunakan</v>
      </c>
      <c r="DM37" s="121" t="str">
        <f t="shared" si="91"/>
        <v>Digunakan</v>
      </c>
      <c r="DN37" s="121" t="str">
        <f t="shared" si="91"/>
        <v>Digunakan</v>
      </c>
      <c r="DO37" s="121" t="str">
        <f t="shared" si="91"/>
        <v>Digunakan</v>
      </c>
      <c r="DP37" s="121" t="str">
        <f t="shared" si="91"/>
        <v>Digunakan</v>
      </c>
      <c r="DQ37" s="121" t="str">
        <f t="shared" si="91"/>
        <v>Digunakan</v>
      </c>
      <c r="DR37" s="121" t="str">
        <f t="shared" si="91"/>
        <v>Digunakan</v>
      </c>
      <c r="DS37" s="121" t="str">
        <f t="shared" si="91"/>
        <v>Digunakan</v>
      </c>
      <c r="DT37" s="121" t="str">
        <f t="shared" si="91"/>
        <v>Digunakan</v>
      </c>
      <c r="DU37" s="121" t="str">
        <f t="shared" si="91"/>
        <v>Digunakan</v>
      </c>
      <c r="DV37" s="121" t="str">
        <f t="shared" si="91"/>
        <v>Digunakan</v>
      </c>
      <c r="DW37" s="121" t="str">
        <f t="shared" si="91"/>
        <v>Digunakan</v>
      </c>
      <c r="DX37" s="121" t="str">
        <f t="shared" si="91"/>
        <v>Digunakan</v>
      </c>
      <c r="DY37" s="121" t="str">
        <f t="shared" si="91"/>
        <v>Digunakan</v>
      </c>
      <c r="DZ37" s="121" t="str">
        <f t="shared" si="91"/>
        <v>Digunakan</v>
      </c>
      <c r="EA37" s="121" t="str">
        <f t="shared" si="91"/>
        <v>Digunakan</v>
      </c>
      <c r="EB37" s="121" t="str">
        <f t="shared" si="91"/>
        <v>Digunakan</v>
      </c>
      <c r="EC37" s="121" t="str">
        <f t="shared" si="91"/>
        <v>Digunakan</v>
      </c>
      <c r="ED37" s="121" t="str">
        <f t="shared" si="91"/>
        <v>Digunakan</v>
      </c>
      <c r="EE37" s="121" t="str">
        <f t="shared" si="91"/>
        <v>Digunakan</v>
      </c>
      <c r="EF37" s="121" t="str">
        <f t="shared" si="91"/>
        <v>Digunakan</v>
      </c>
      <c r="EG37" s="121" t="str">
        <f t="shared" si="91"/>
        <v>Digunakan</v>
      </c>
      <c r="EH37" s="121" t="str">
        <f t="shared" si="91"/>
        <v>Digunakan</v>
      </c>
      <c r="EI37" s="121" t="str">
        <f t="shared" ref="EI37:EM37" si="92">IF(CP37="","",IF(CP37=0,"Ditolak",IF(AND(CP37&gt;=1,CP37&lt;2),"Diperbaiki","Digunakan")))</f>
        <v/>
      </c>
      <c r="EJ37" s="121" t="str">
        <f t="shared" si="92"/>
        <v/>
      </c>
      <c r="EK37" s="121" t="str">
        <f t="shared" si="92"/>
        <v/>
      </c>
      <c r="EL37" s="121" t="str">
        <f t="shared" si="92"/>
        <v/>
      </c>
      <c r="EM37" s="121" t="str">
        <f t="shared" si="92"/>
        <v/>
      </c>
      <c r="EN37" s="120"/>
      <c r="EO37" s="120"/>
      <c r="EP37" s="120"/>
      <c r="EQ37" s="120"/>
      <c r="ER37" s="120"/>
      <c r="ES37" s="120"/>
      <c r="ET37" s="120"/>
      <c r="EU37" s="120"/>
      <c r="EV37" s="120"/>
      <c r="EW37" s="120"/>
      <c r="EX37" s="120"/>
      <c r="EY37" s="120"/>
      <c r="EZ37" s="120"/>
      <c r="FA37" s="120"/>
      <c r="FB37" s="120"/>
      <c r="FC37" s="120"/>
      <c r="FD37" s="120"/>
      <c r="FE37" s="120"/>
      <c r="FF37" s="120"/>
      <c r="FG37" s="120"/>
      <c r="FH37" s="120"/>
      <c r="FI37" s="120"/>
      <c r="FJ37" s="120"/>
      <c r="FK37" s="120"/>
      <c r="FL37" s="120"/>
      <c r="FM37" s="120"/>
      <c r="FN37" s="120"/>
      <c r="FO37" s="120"/>
      <c r="FP37" s="120"/>
      <c r="FQ37" s="120"/>
      <c r="FR37" s="120"/>
      <c r="FS37" s="120"/>
      <c r="FT37" s="120"/>
      <c r="FU37" s="120"/>
      <c r="FV37" s="120"/>
      <c r="FW37" s="120"/>
      <c r="FX37" s="120"/>
      <c r="FY37" s="120"/>
      <c r="FZ37" s="120"/>
      <c r="GA37" s="120"/>
      <c r="GB37" s="120"/>
      <c r="GC37" s="120"/>
      <c r="GD37" s="120"/>
      <c r="GE37" s="120"/>
      <c r="GF37" s="120"/>
      <c r="GG37" s="115"/>
      <c r="GH37" s="115"/>
      <c r="GI37" s="115"/>
      <c r="GJ37" s="115"/>
      <c r="GK37" s="115"/>
      <c r="GL37" s="115"/>
      <c r="GM37" s="115"/>
      <c r="GN37" s="115"/>
      <c r="GO37" s="115"/>
      <c r="GP37" s="115"/>
      <c r="GQ37" s="115"/>
      <c r="GR37" s="115"/>
      <c r="GS37" s="115"/>
      <c r="GT37" s="115"/>
      <c r="GU37" s="115"/>
      <c r="GV37" s="115"/>
      <c r="GW37" s="115"/>
      <c r="GX37" s="115"/>
      <c r="GY37" s="115"/>
      <c r="GZ37" s="115"/>
      <c r="HA37" s="115"/>
      <c r="HB37" s="115"/>
      <c r="HC37" s="115"/>
      <c r="HD37" s="115"/>
      <c r="HE37" s="115"/>
      <c r="HF37" s="115"/>
      <c r="HG37" s="115"/>
      <c r="HH37" s="115"/>
      <c r="HI37" s="115"/>
      <c r="HJ37" s="115"/>
      <c r="HK37" s="115"/>
      <c r="HL37" s="115"/>
      <c r="HM37" s="115"/>
      <c r="HN37" s="115"/>
      <c r="HO37" s="115"/>
      <c r="HP37" s="115"/>
      <c r="HQ37" s="115"/>
      <c r="HR37" s="115"/>
      <c r="HS37" s="115"/>
      <c r="HT37" s="115"/>
      <c r="HU37" s="115"/>
      <c r="HV37" s="115"/>
      <c r="HW37" s="115"/>
      <c r="HX37" s="115"/>
      <c r="HY37" s="115"/>
      <c r="HZ37" s="117"/>
      <c r="IA37" s="117"/>
      <c r="IB37" s="117"/>
      <c r="IC37" s="117"/>
      <c r="ID37" s="117"/>
      <c r="IE37" s="117"/>
      <c r="IF37" s="117"/>
      <c r="IG37" s="117"/>
      <c r="IH37" s="117"/>
      <c r="II37" s="117"/>
      <c r="IJ37" s="117"/>
      <c r="IK37" s="117"/>
      <c r="IL37" s="117"/>
      <c r="IM37" s="117"/>
      <c r="IN37" s="117"/>
      <c r="IO37" s="117"/>
      <c r="IP37" s="117"/>
      <c r="IQ37" s="117"/>
      <c r="IR37" s="117"/>
      <c r="IS37" s="117"/>
      <c r="IT37" s="117"/>
      <c r="IU37" s="117"/>
      <c r="IV37" s="117"/>
      <c r="IW37" s="117"/>
      <c r="IX37" s="117"/>
      <c r="IY37" s="117"/>
      <c r="IZ37" s="117"/>
      <c r="JA37" s="117"/>
      <c r="JB37" s="117"/>
      <c r="JC37" s="117"/>
      <c r="JD37" s="117"/>
      <c r="JE37" s="117"/>
      <c r="JF37" s="117"/>
      <c r="JG37" s="117"/>
      <c r="JH37" s="117"/>
      <c r="JI37" s="117"/>
      <c r="JJ37" s="117"/>
      <c r="JK37" s="117"/>
      <c r="JL37" s="117"/>
      <c r="JM37" s="117"/>
      <c r="JN37" s="117"/>
      <c r="JO37" s="117"/>
      <c r="JP37" s="117"/>
      <c r="JQ37" s="117"/>
      <c r="JR37" s="117"/>
      <c r="JS37" s="114"/>
      <c r="JT37" s="114"/>
      <c r="JU37" s="114"/>
      <c r="JV37" s="114"/>
      <c r="JW37" s="114"/>
      <c r="JX37" s="114"/>
      <c r="JY37" s="114"/>
      <c r="JZ37" s="114"/>
      <c r="KA37" s="114"/>
      <c r="KB37" s="114"/>
      <c r="KC37" s="114"/>
      <c r="KD37" s="114"/>
      <c r="KE37" s="114"/>
      <c r="KF37" s="114"/>
      <c r="KG37" s="114"/>
      <c r="KH37" s="114"/>
      <c r="KI37" s="114"/>
      <c r="KJ37" s="114"/>
      <c r="KK37" s="114"/>
      <c r="KL37" s="114"/>
      <c r="KM37" s="114"/>
      <c r="KN37" s="114"/>
      <c r="KO37" s="114"/>
      <c r="KP37" s="114"/>
      <c r="KQ37" s="114"/>
      <c r="KR37" s="114"/>
      <c r="KS37" s="114"/>
      <c r="KT37" s="114"/>
      <c r="KU37" s="114"/>
      <c r="KV37" s="114"/>
      <c r="KW37" s="114"/>
      <c r="KX37" s="114"/>
      <c r="KY37" s="114"/>
      <c r="KZ37" s="114"/>
      <c r="LA37" s="114"/>
      <c r="LB37" s="114"/>
      <c r="LC37" s="114"/>
      <c r="LD37" s="114"/>
      <c r="LE37" s="114"/>
      <c r="LF37" s="114"/>
      <c r="LG37" s="114"/>
      <c r="LH37" s="114"/>
      <c r="LI37" s="114"/>
      <c r="LJ37" s="114"/>
      <c r="LK37" s="114"/>
    </row>
    <row r="38" spans="1:323" ht="47.25" x14ac:dyDescent="0.25">
      <c r="A38" s="127"/>
      <c r="B38" s="133"/>
      <c r="C38" s="134"/>
      <c r="D38" s="133"/>
      <c r="E38" s="127"/>
      <c r="F38" s="126"/>
      <c r="G38" s="20" t="s">
        <v>56</v>
      </c>
      <c r="H38" s="22" t="s">
        <v>85</v>
      </c>
      <c r="I38" s="78" t="s">
        <v>269</v>
      </c>
      <c r="J38" s="78" t="s">
        <v>269</v>
      </c>
      <c r="K38" s="78" t="s">
        <v>269</v>
      </c>
      <c r="L38" s="78" t="s">
        <v>269</v>
      </c>
      <c r="M38" s="78" t="s">
        <v>269</v>
      </c>
      <c r="N38" s="78" t="s">
        <v>269</v>
      </c>
      <c r="O38" s="78" t="s">
        <v>269</v>
      </c>
      <c r="P38" s="78" t="s">
        <v>269</v>
      </c>
      <c r="Q38" s="78" t="s">
        <v>269</v>
      </c>
      <c r="R38" s="78" t="s">
        <v>269</v>
      </c>
      <c r="S38" s="78" t="s">
        <v>269</v>
      </c>
      <c r="T38" s="78" t="s">
        <v>269</v>
      </c>
      <c r="U38" s="78" t="s">
        <v>269</v>
      </c>
      <c r="V38" s="78" t="s">
        <v>269</v>
      </c>
      <c r="W38" s="78" t="s">
        <v>269</v>
      </c>
      <c r="X38" s="78" t="s">
        <v>269</v>
      </c>
      <c r="Y38" s="78" t="s">
        <v>269</v>
      </c>
      <c r="Z38" s="78" t="s">
        <v>269</v>
      </c>
      <c r="AA38" s="78" t="s">
        <v>269</v>
      </c>
      <c r="AB38" s="78" t="s">
        <v>269</v>
      </c>
      <c r="AC38" s="78" t="s">
        <v>269</v>
      </c>
      <c r="AD38" s="78" t="s">
        <v>269</v>
      </c>
      <c r="AE38" s="78" t="s">
        <v>269</v>
      </c>
      <c r="AF38" s="78" t="s">
        <v>269</v>
      </c>
      <c r="AG38" s="78" t="s">
        <v>269</v>
      </c>
      <c r="AH38" s="78" t="s">
        <v>269</v>
      </c>
      <c r="AI38" s="78" t="s">
        <v>269</v>
      </c>
      <c r="AJ38" s="78" t="s">
        <v>269</v>
      </c>
      <c r="AK38" s="78" t="s">
        <v>269</v>
      </c>
      <c r="AL38" s="78" t="s">
        <v>269</v>
      </c>
      <c r="AM38" s="78" t="s">
        <v>269</v>
      </c>
      <c r="AN38" s="78" t="s">
        <v>269</v>
      </c>
      <c r="AO38" s="78" t="s">
        <v>269</v>
      </c>
      <c r="AP38" s="78" t="s">
        <v>269</v>
      </c>
      <c r="AQ38" s="78" t="s">
        <v>269</v>
      </c>
      <c r="AR38" s="78" t="s">
        <v>269</v>
      </c>
      <c r="AS38" s="78" t="s">
        <v>269</v>
      </c>
      <c r="AT38" s="78" t="s">
        <v>269</v>
      </c>
      <c r="AU38" s="78" t="s">
        <v>269</v>
      </c>
      <c r="AV38" s="78" t="s">
        <v>269</v>
      </c>
      <c r="AW38" s="78"/>
      <c r="AX38" s="78"/>
      <c r="AY38" s="78"/>
      <c r="AZ38" s="78"/>
      <c r="BA38" s="78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/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0"/>
      <c r="EO38" s="120"/>
      <c r="EP38" s="120"/>
      <c r="EQ38" s="120"/>
      <c r="ER38" s="120"/>
      <c r="ES38" s="120"/>
      <c r="ET38" s="120"/>
      <c r="EU38" s="120"/>
      <c r="EV38" s="120"/>
      <c r="EW38" s="120"/>
      <c r="EX38" s="120"/>
      <c r="EY38" s="120"/>
      <c r="EZ38" s="120"/>
      <c r="FA38" s="120"/>
      <c r="FB38" s="120"/>
      <c r="FC38" s="120"/>
      <c r="FD38" s="120"/>
      <c r="FE38" s="120"/>
      <c r="FF38" s="120"/>
      <c r="FG38" s="120"/>
      <c r="FH38" s="120"/>
      <c r="FI38" s="120"/>
      <c r="FJ38" s="120"/>
      <c r="FK38" s="120"/>
      <c r="FL38" s="120"/>
      <c r="FM38" s="120"/>
      <c r="FN38" s="120"/>
      <c r="FO38" s="120"/>
      <c r="FP38" s="120"/>
      <c r="FQ38" s="120"/>
      <c r="FR38" s="120"/>
      <c r="FS38" s="120"/>
      <c r="FT38" s="120"/>
      <c r="FU38" s="120"/>
      <c r="FV38" s="120"/>
      <c r="FW38" s="120"/>
      <c r="FX38" s="120"/>
      <c r="FY38" s="120"/>
      <c r="FZ38" s="120"/>
      <c r="GA38" s="120"/>
      <c r="GB38" s="120"/>
      <c r="GC38" s="120"/>
      <c r="GD38" s="120"/>
      <c r="GE38" s="120"/>
      <c r="GF38" s="120"/>
      <c r="GG38" s="115"/>
      <c r="GH38" s="115"/>
      <c r="GI38" s="115"/>
      <c r="GJ38" s="115"/>
      <c r="GK38" s="115"/>
      <c r="GL38" s="115"/>
      <c r="GM38" s="115"/>
      <c r="GN38" s="115"/>
      <c r="GO38" s="115"/>
      <c r="GP38" s="115"/>
      <c r="GQ38" s="115"/>
      <c r="GR38" s="115"/>
      <c r="GS38" s="115"/>
      <c r="GT38" s="115"/>
      <c r="GU38" s="115"/>
      <c r="GV38" s="115"/>
      <c r="GW38" s="115"/>
      <c r="GX38" s="115"/>
      <c r="GY38" s="115"/>
      <c r="GZ38" s="115"/>
      <c r="HA38" s="115"/>
      <c r="HB38" s="115"/>
      <c r="HC38" s="115"/>
      <c r="HD38" s="115"/>
      <c r="HE38" s="115"/>
      <c r="HF38" s="115"/>
      <c r="HG38" s="115"/>
      <c r="HH38" s="115"/>
      <c r="HI38" s="115"/>
      <c r="HJ38" s="115"/>
      <c r="HK38" s="115"/>
      <c r="HL38" s="115"/>
      <c r="HM38" s="115"/>
      <c r="HN38" s="115"/>
      <c r="HO38" s="115"/>
      <c r="HP38" s="115"/>
      <c r="HQ38" s="115"/>
      <c r="HR38" s="115"/>
      <c r="HS38" s="115"/>
      <c r="HT38" s="115"/>
      <c r="HU38" s="115"/>
      <c r="HV38" s="115"/>
      <c r="HW38" s="115"/>
      <c r="HX38" s="115"/>
      <c r="HY38" s="115"/>
      <c r="HZ38" s="117"/>
      <c r="IA38" s="117"/>
      <c r="IB38" s="117"/>
      <c r="IC38" s="117"/>
      <c r="ID38" s="117"/>
      <c r="IE38" s="117"/>
      <c r="IF38" s="117"/>
      <c r="IG38" s="117"/>
      <c r="IH38" s="117"/>
      <c r="II38" s="117"/>
      <c r="IJ38" s="117"/>
      <c r="IK38" s="117"/>
      <c r="IL38" s="117"/>
      <c r="IM38" s="117"/>
      <c r="IN38" s="117"/>
      <c r="IO38" s="117"/>
      <c r="IP38" s="117"/>
      <c r="IQ38" s="117"/>
      <c r="IR38" s="117"/>
      <c r="IS38" s="117"/>
      <c r="IT38" s="117"/>
      <c r="IU38" s="117"/>
      <c r="IV38" s="117"/>
      <c r="IW38" s="117"/>
      <c r="IX38" s="117"/>
      <c r="IY38" s="117"/>
      <c r="IZ38" s="117"/>
      <c r="JA38" s="117"/>
      <c r="JB38" s="117"/>
      <c r="JC38" s="117"/>
      <c r="JD38" s="117"/>
      <c r="JE38" s="117"/>
      <c r="JF38" s="117"/>
      <c r="JG38" s="117"/>
      <c r="JH38" s="117"/>
      <c r="JI38" s="117"/>
      <c r="JJ38" s="117"/>
      <c r="JK38" s="117"/>
      <c r="JL38" s="117"/>
      <c r="JM38" s="117"/>
      <c r="JN38" s="117"/>
      <c r="JO38" s="117"/>
      <c r="JP38" s="117"/>
      <c r="JQ38" s="117"/>
      <c r="JR38" s="117"/>
      <c r="JS38" s="114"/>
      <c r="JT38" s="114"/>
      <c r="JU38" s="114"/>
      <c r="JV38" s="114"/>
      <c r="JW38" s="114"/>
      <c r="JX38" s="114"/>
      <c r="JY38" s="114"/>
      <c r="JZ38" s="114"/>
      <c r="KA38" s="114"/>
      <c r="KB38" s="114"/>
      <c r="KC38" s="114"/>
      <c r="KD38" s="114"/>
      <c r="KE38" s="114"/>
      <c r="KF38" s="114"/>
      <c r="KG38" s="114"/>
      <c r="KH38" s="114"/>
      <c r="KI38" s="114"/>
      <c r="KJ38" s="114"/>
      <c r="KK38" s="114"/>
      <c r="KL38" s="114"/>
      <c r="KM38" s="114"/>
      <c r="KN38" s="114"/>
      <c r="KO38" s="114"/>
      <c r="KP38" s="114"/>
      <c r="KQ38" s="114"/>
      <c r="KR38" s="114"/>
      <c r="KS38" s="114"/>
      <c r="KT38" s="114"/>
      <c r="KU38" s="114"/>
      <c r="KV38" s="114"/>
      <c r="KW38" s="114"/>
      <c r="KX38" s="114"/>
      <c r="KY38" s="114"/>
      <c r="KZ38" s="114"/>
      <c r="LA38" s="114"/>
      <c r="LB38" s="114"/>
      <c r="LC38" s="114"/>
      <c r="LD38" s="114"/>
      <c r="LE38" s="114"/>
      <c r="LF38" s="114"/>
      <c r="LG38" s="114"/>
      <c r="LH38" s="114"/>
      <c r="LI38" s="114"/>
      <c r="LJ38" s="114"/>
      <c r="LK38" s="114"/>
    </row>
    <row r="39" spans="1:323" ht="31.15" customHeight="1" x14ac:dyDescent="0.25">
      <c r="A39" s="127"/>
      <c r="B39" s="133"/>
      <c r="C39" s="127" t="s">
        <v>24</v>
      </c>
      <c r="D39" s="135" t="s">
        <v>25</v>
      </c>
      <c r="E39" s="127">
        <v>1</v>
      </c>
      <c r="F39" s="126" t="s">
        <v>26</v>
      </c>
      <c r="G39" s="20" t="s">
        <v>56</v>
      </c>
      <c r="H39" s="22" t="s">
        <v>87</v>
      </c>
      <c r="I39" s="78" t="s">
        <v>269</v>
      </c>
      <c r="J39" s="78" t="s">
        <v>269</v>
      </c>
      <c r="K39" s="78" t="s">
        <v>269</v>
      </c>
      <c r="L39" s="78" t="s">
        <v>269</v>
      </c>
      <c r="M39" s="78" t="s">
        <v>269</v>
      </c>
      <c r="N39" s="78" t="s">
        <v>269</v>
      </c>
      <c r="O39" s="78" t="s">
        <v>269</v>
      </c>
      <c r="P39" s="78" t="s">
        <v>269</v>
      </c>
      <c r="Q39" s="78" t="s">
        <v>269</v>
      </c>
      <c r="R39" s="78" t="s">
        <v>269</v>
      </c>
      <c r="S39" s="78" t="s">
        <v>269</v>
      </c>
      <c r="T39" s="78" t="s">
        <v>269</v>
      </c>
      <c r="U39" s="78" t="s">
        <v>269</v>
      </c>
      <c r="V39" s="78" t="s">
        <v>269</v>
      </c>
      <c r="W39" s="78" t="s">
        <v>269</v>
      </c>
      <c r="X39" s="78" t="s">
        <v>269</v>
      </c>
      <c r="Y39" s="78" t="s">
        <v>269</v>
      </c>
      <c r="Z39" s="78" t="s">
        <v>269</v>
      </c>
      <c r="AA39" s="78" t="s">
        <v>269</v>
      </c>
      <c r="AB39" s="78" t="s">
        <v>269</v>
      </c>
      <c r="AC39" s="78" t="s">
        <v>269</v>
      </c>
      <c r="AD39" s="78" t="s">
        <v>269</v>
      </c>
      <c r="AE39" s="78" t="s">
        <v>269</v>
      </c>
      <c r="AF39" s="78" t="s">
        <v>269</v>
      </c>
      <c r="AG39" s="78" t="s">
        <v>269</v>
      </c>
      <c r="AH39" s="78" t="s">
        <v>269</v>
      </c>
      <c r="AI39" s="78" t="s">
        <v>269</v>
      </c>
      <c r="AJ39" s="78" t="s">
        <v>269</v>
      </c>
      <c r="AK39" s="78" t="s">
        <v>269</v>
      </c>
      <c r="AL39" s="78" t="s">
        <v>269</v>
      </c>
      <c r="AM39" s="78" t="s">
        <v>269</v>
      </c>
      <c r="AN39" s="78" t="s">
        <v>269</v>
      </c>
      <c r="AO39" s="78" t="s">
        <v>269</v>
      </c>
      <c r="AP39" s="78" t="s">
        <v>269</v>
      </c>
      <c r="AQ39" s="78" t="s">
        <v>269</v>
      </c>
      <c r="AR39" s="78" t="s">
        <v>269</v>
      </c>
      <c r="AS39" s="78" t="s">
        <v>269</v>
      </c>
      <c r="AT39" s="78" t="s">
        <v>269</v>
      </c>
      <c r="AU39" s="78" t="s">
        <v>269</v>
      </c>
      <c r="AV39" s="78" t="s">
        <v>269</v>
      </c>
      <c r="AW39" s="78"/>
      <c r="AX39" s="78"/>
      <c r="AY39" s="78"/>
      <c r="AZ39" s="78"/>
      <c r="BA39" s="78"/>
      <c r="BB39" s="122">
        <f t="shared" ref="BB39:CO39" si="93">IF(AND(I39="",I40=""),"",COUNTIF(I39:I40,"v"))</f>
        <v>2</v>
      </c>
      <c r="BC39" s="122">
        <f t="shared" si="93"/>
        <v>2</v>
      </c>
      <c r="BD39" s="122">
        <f t="shared" si="93"/>
        <v>2</v>
      </c>
      <c r="BE39" s="122">
        <f t="shared" si="93"/>
        <v>2</v>
      </c>
      <c r="BF39" s="122">
        <f t="shared" si="93"/>
        <v>2</v>
      </c>
      <c r="BG39" s="122">
        <f t="shared" si="93"/>
        <v>2</v>
      </c>
      <c r="BH39" s="122">
        <f t="shared" si="93"/>
        <v>2</v>
      </c>
      <c r="BI39" s="122">
        <f t="shared" si="93"/>
        <v>2</v>
      </c>
      <c r="BJ39" s="122">
        <f t="shared" si="93"/>
        <v>2</v>
      </c>
      <c r="BK39" s="122">
        <f t="shared" si="93"/>
        <v>2</v>
      </c>
      <c r="BL39" s="122">
        <f t="shared" si="93"/>
        <v>2</v>
      </c>
      <c r="BM39" s="122">
        <f t="shared" si="93"/>
        <v>2</v>
      </c>
      <c r="BN39" s="122">
        <f t="shared" si="93"/>
        <v>2</v>
      </c>
      <c r="BO39" s="122">
        <f t="shared" si="93"/>
        <v>2</v>
      </c>
      <c r="BP39" s="122">
        <f t="shared" si="93"/>
        <v>2</v>
      </c>
      <c r="BQ39" s="122">
        <f t="shared" si="93"/>
        <v>2</v>
      </c>
      <c r="BR39" s="122">
        <f t="shared" si="93"/>
        <v>2</v>
      </c>
      <c r="BS39" s="122">
        <f t="shared" si="93"/>
        <v>2</v>
      </c>
      <c r="BT39" s="122">
        <f t="shared" si="93"/>
        <v>2</v>
      </c>
      <c r="BU39" s="122">
        <f t="shared" si="93"/>
        <v>2</v>
      </c>
      <c r="BV39" s="122">
        <f t="shared" si="93"/>
        <v>2</v>
      </c>
      <c r="BW39" s="122">
        <f t="shared" si="93"/>
        <v>2</v>
      </c>
      <c r="BX39" s="122">
        <f t="shared" si="93"/>
        <v>2</v>
      </c>
      <c r="BY39" s="122">
        <f t="shared" si="93"/>
        <v>2</v>
      </c>
      <c r="BZ39" s="122">
        <f t="shared" si="93"/>
        <v>2</v>
      </c>
      <c r="CA39" s="122">
        <f t="shared" si="93"/>
        <v>2</v>
      </c>
      <c r="CB39" s="122">
        <f t="shared" si="93"/>
        <v>2</v>
      </c>
      <c r="CC39" s="122">
        <f t="shared" si="93"/>
        <v>2</v>
      </c>
      <c r="CD39" s="122">
        <f t="shared" si="93"/>
        <v>2</v>
      </c>
      <c r="CE39" s="122">
        <f t="shared" si="93"/>
        <v>2</v>
      </c>
      <c r="CF39" s="122">
        <f t="shared" si="93"/>
        <v>2</v>
      </c>
      <c r="CG39" s="122">
        <f t="shared" si="93"/>
        <v>2</v>
      </c>
      <c r="CH39" s="122">
        <f t="shared" si="93"/>
        <v>2</v>
      </c>
      <c r="CI39" s="122">
        <f t="shared" si="93"/>
        <v>2</v>
      </c>
      <c r="CJ39" s="122">
        <f t="shared" si="93"/>
        <v>2</v>
      </c>
      <c r="CK39" s="122">
        <f t="shared" si="93"/>
        <v>2</v>
      </c>
      <c r="CL39" s="122">
        <f t="shared" si="93"/>
        <v>2</v>
      </c>
      <c r="CM39" s="122">
        <f t="shared" si="93"/>
        <v>2</v>
      </c>
      <c r="CN39" s="122">
        <f t="shared" si="93"/>
        <v>2</v>
      </c>
      <c r="CO39" s="122">
        <f t="shared" si="93"/>
        <v>2</v>
      </c>
      <c r="CP39" s="122" t="str">
        <f t="shared" ref="CP39:CT39" si="94">IF(AND(AW39="",AW40=""),"",COUNTIF(AW39:AW40,"v"))</f>
        <v/>
      </c>
      <c r="CQ39" s="122" t="str">
        <f t="shared" si="94"/>
        <v/>
      </c>
      <c r="CR39" s="122" t="str">
        <f t="shared" si="94"/>
        <v/>
      </c>
      <c r="CS39" s="122" t="str">
        <f t="shared" si="94"/>
        <v/>
      </c>
      <c r="CT39" s="122" t="str">
        <f t="shared" si="94"/>
        <v/>
      </c>
      <c r="CU39" s="121" t="str">
        <f t="shared" ref="CU39" si="95">IF(BB39="","",IF(BB39=0,"Ditolak",IF(BB39=1,"Diperbaiki","Digunakan")))</f>
        <v>Digunakan</v>
      </c>
      <c r="CV39" s="121" t="str">
        <f t="shared" ref="CV39:EH39" si="96">IF(BC39="","",IF(BC39=0,"Ditolak",IF(AND(BC39&gt;=1,BC39&lt;2),"Diperbaiki","Digunakan")))</f>
        <v>Digunakan</v>
      </c>
      <c r="CW39" s="121" t="str">
        <f t="shared" si="96"/>
        <v>Digunakan</v>
      </c>
      <c r="CX39" s="121" t="str">
        <f t="shared" si="96"/>
        <v>Digunakan</v>
      </c>
      <c r="CY39" s="121" t="str">
        <f t="shared" si="96"/>
        <v>Digunakan</v>
      </c>
      <c r="CZ39" s="121" t="str">
        <f t="shared" si="96"/>
        <v>Digunakan</v>
      </c>
      <c r="DA39" s="121" t="str">
        <f t="shared" si="96"/>
        <v>Digunakan</v>
      </c>
      <c r="DB39" s="121" t="str">
        <f t="shared" si="96"/>
        <v>Digunakan</v>
      </c>
      <c r="DC39" s="121" t="str">
        <f t="shared" si="96"/>
        <v>Digunakan</v>
      </c>
      <c r="DD39" s="121" t="str">
        <f t="shared" si="96"/>
        <v>Digunakan</v>
      </c>
      <c r="DE39" s="121" t="str">
        <f t="shared" si="96"/>
        <v>Digunakan</v>
      </c>
      <c r="DF39" s="121" t="str">
        <f t="shared" si="96"/>
        <v>Digunakan</v>
      </c>
      <c r="DG39" s="121" t="str">
        <f t="shared" si="96"/>
        <v>Digunakan</v>
      </c>
      <c r="DH39" s="121" t="str">
        <f t="shared" si="96"/>
        <v>Digunakan</v>
      </c>
      <c r="DI39" s="121" t="str">
        <f t="shared" si="96"/>
        <v>Digunakan</v>
      </c>
      <c r="DJ39" s="121" t="str">
        <f t="shared" si="96"/>
        <v>Digunakan</v>
      </c>
      <c r="DK39" s="121" t="str">
        <f t="shared" si="96"/>
        <v>Digunakan</v>
      </c>
      <c r="DL39" s="121" t="str">
        <f t="shared" si="96"/>
        <v>Digunakan</v>
      </c>
      <c r="DM39" s="121" t="str">
        <f t="shared" si="96"/>
        <v>Digunakan</v>
      </c>
      <c r="DN39" s="121" t="str">
        <f t="shared" si="96"/>
        <v>Digunakan</v>
      </c>
      <c r="DO39" s="121" t="str">
        <f t="shared" si="96"/>
        <v>Digunakan</v>
      </c>
      <c r="DP39" s="121" t="str">
        <f t="shared" si="96"/>
        <v>Digunakan</v>
      </c>
      <c r="DQ39" s="121" t="str">
        <f t="shared" si="96"/>
        <v>Digunakan</v>
      </c>
      <c r="DR39" s="121" t="str">
        <f t="shared" si="96"/>
        <v>Digunakan</v>
      </c>
      <c r="DS39" s="121" t="str">
        <f t="shared" si="96"/>
        <v>Digunakan</v>
      </c>
      <c r="DT39" s="121" t="str">
        <f t="shared" si="96"/>
        <v>Digunakan</v>
      </c>
      <c r="DU39" s="121" t="str">
        <f t="shared" si="96"/>
        <v>Digunakan</v>
      </c>
      <c r="DV39" s="121" t="str">
        <f t="shared" si="96"/>
        <v>Digunakan</v>
      </c>
      <c r="DW39" s="121" t="str">
        <f t="shared" si="96"/>
        <v>Digunakan</v>
      </c>
      <c r="DX39" s="121" t="str">
        <f t="shared" si="96"/>
        <v>Digunakan</v>
      </c>
      <c r="DY39" s="121" t="str">
        <f t="shared" si="96"/>
        <v>Digunakan</v>
      </c>
      <c r="DZ39" s="121" t="str">
        <f t="shared" si="96"/>
        <v>Digunakan</v>
      </c>
      <c r="EA39" s="121" t="str">
        <f t="shared" si="96"/>
        <v>Digunakan</v>
      </c>
      <c r="EB39" s="121" t="str">
        <f t="shared" si="96"/>
        <v>Digunakan</v>
      </c>
      <c r="EC39" s="121" t="str">
        <f t="shared" si="96"/>
        <v>Digunakan</v>
      </c>
      <c r="ED39" s="121" t="str">
        <f t="shared" si="96"/>
        <v>Digunakan</v>
      </c>
      <c r="EE39" s="121" t="str">
        <f t="shared" si="96"/>
        <v>Digunakan</v>
      </c>
      <c r="EF39" s="121" t="str">
        <f t="shared" si="96"/>
        <v>Digunakan</v>
      </c>
      <c r="EG39" s="121" t="str">
        <f t="shared" si="96"/>
        <v>Digunakan</v>
      </c>
      <c r="EH39" s="121" t="str">
        <f t="shared" si="96"/>
        <v>Digunakan</v>
      </c>
      <c r="EI39" s="121" t="str">
        <f t="shared" ref="EI39:EM39" si="97">IF(CP39="","",IF(CP39=0,"Ditolak",IF(AND(CP39&gt;=1,CP39&lt;2),"Diperbaiki","Digunakan")))</f>
        <v/>
      </c>
      <c r="EJ39" s="121" t="str">
        <f t="shared" si="97"/>
        <v/>
      </c>
      <c r="EK39" s="121" t="str">
        <f t="shared" si="97"/>
        <v/>
      </c>
      <c r="EL39" s="121" t="str">
        <f t="shared" si="97"/>
        <v/>
      </c>
      <c r="EM39" s="121" t="str">
        <f t="shared" si="97"/>
        <v/>
      </c>
      <c r="EN39" s="120" t="str">
        <f t="shared" ref="EN39:GA39" si="98">IF(COUNTIF(CU39:CU46,"Diperbaiki")&gt;=1,"bahasa","")</f>
        <v/>
      </c>
      <c r="EO39" s="120" t="str">
        <f t="shared" si="98"/>
        <v/>
      </c>
      <c r="EP39" s="120" t="str">
        <f t="shared" si="98"/>
        <v/>
      </c>
      <c r="EQ39" s="120" t="str">
        <f t="shared" si="98"/>
        <v/>
      </c>
      <c r="ER39" s="120" t="str">
        <f t="shared" si="98"/>
        <v/>
      </c>
      <c r="ES39" s="120" t="str">
        <f t="shared" si="98"/>
        <v/>
      </c>
      <c r="ET39" s="120" t="str">
        <f t="shared" si="98"/>
        <v/>
      </c>
      <c r="EU39" s="120" t="str">
        <f t="shared" si="98"/>
        <v/>
      </c>
      <c r="EV39" s="120" t="str">
        <f t="shared" si="98"/>
        <v/>
      </c>
      <c r="EW39" s="120" t="str">
        <f t="shared" si="98"/>
        <v/>
      </c>
      <c r="EX39" s="120" t="str">
        <f t="shared" si="98"/>
        <v/>
      </c>
      <c r="EY39" s="120" t="str">
        <f t="shared" si="98"/>
        <v/>
      </c>
      <c r="EZ39" s="120" t="str">
        <f t="shared" si="98"/>
        <v/>
      </c>
      <c r="FA39" s="120" t="str">
        <f t="shared" si="98"/>
        <v/>
      </c>
      <c r="FB39" s="120" t="str">
        <f t="shared" si="98"/>
        <v/>
      </c>
      <c r="FC39" s="120" t="str">
        <f t="shared" si="98"/>
        <v/>
      </c>
      <c r="FD39" s="120" t="str">
        <f t="shared" si="98"/>
        <v/>
      </c>
      <c r="FE39" s="120" t="str">
        <f t="shared" si="98"/>
        <v/>
      </c>
      <c r="FF39" s="120" t="str">
        <f t="shared" si="98"/>
        <v/>
      </c>
      <c r="FG39" s="120" t="str">
        <f t="shared" si="98"/>
        <v/>
      </c>
      <c r="FH39" s="120" t="str">
        <f t="shared" si="98"/>
        <v/>
      </c>
      <c r="FI39" s="120" t="str">
        <f t="shared" si="98"/>
        <v/>
      </c>
      <c r="FJ39" s="120" t="str">
        <f t="shared" si="98"/>
        <v/>
      </c>
      <c r="FK39" s="120" t="str">
        <f t="shared" si="98"/>
        <v/>
      </c>
      <c r="FL39" s="120" t="str">
        <f t="shared" si="98"/>
        <v/>
      </c>
      <c r="FM39" s="120" t="str">
        <f t="shared" si="98"/>
        <v/>
      </c>
      <c r="FN39" s="120" t="str">
        <f t="shared" si="98"/>
        <v/>
      </c>
      <c r="FO39" s="120" t="str">
        <f t="shared" si="98"/>
        <v/>
      </c>
      <c r="FP39" s="120" t="str">
        <f t="shared" si="98"/>
        <v/>
      </c>
      <c r="FQ39" s="120" t="str">
        <f t="shared" si="98"/>
        <v/>
      </c>
      <c r="FR39" s="120" t="str">
        <f t="shared" si="98"/>
        <v/>
      </c>
      <c r="FS39" s="120" t="str">
        <f t="shared" si="98"/>
        <v/>
      </c>
      <c r="FT39" s="120" t="str">
        <f t="shared" si="98"/>
        <v/>
      </c>
      <c r="FU39" s="120" t="str">
        <f t="shared" si="98"/>
        <v/>
      </c>
      <c r="FV39" s="120" t="str">
        <f t="shared" si="98"/>
        <v/>
      </c>
      <c r="FW39" s="120" t="str">
        <f t="shared" si="98"/>
        <v/>
      </c>
      <c r="FX39" s="120" t="str">
        <f t="shared" si="98"/>
        <v/>
      </c>
      <c r="FY39" s="120" t="str">
        <f t="shared" si="98"/>
        <v/>
      </c>
      <c r="FZ39" s="120" t="str">
        <f t="shared" si="98"/>
        <v/>
      </c>
      <c r="GA39" s="120" t="str">
        <f t="shared" si="98"/>
        <v/>
      </c>
      <c r="GB39" s="120" t="str">
        <f t="shared" ref="GB39:GF39" si="99">IF(COUNTIF(EI39:EI46,"Diperbaiki")&gt;=1,"bahasa","")</f>
        <v/>
      </c>
      <c r="GC39" s="120" t="str">
        <f t="shared" si="99"/>
        <v/>
      </c>
      <c r="GD39" s="120" t="str">
        <f t="shared" si="99"/>
        <v/>
      </c>
      <c r="GE39" s="120" t="str">
        <f t="shared" si="99"/>
        <v/>
      </c>
      <c r="GF39" s="120" t="str">
        <f t="shared" si="99"/>
        <v/>
      </c>
      <c r="GG39" s="115" t="str">
        <f>IF(EN39="","",",")</f>
        <v/>
      </c>
      <c r="GH39" s="115" t="str">
        <f t="shared" ref="GH39:HT39" si="100">IF(EO39="","",",")</f>
        <v/>
      </c>
      <c r="GI39" s="115" t="str">
        <f t="shared" si="100"/>
        <v/>
      </c>
      <c r="GJ39" s="115" t="str">
        <f t="shared" si="100"/>
        <v/>
      </c>
      <c r="GK39" s="115" t="str">
        <f t="shared" si="100"/>
        <v/>
      </c>
      <c r="GL39" s="115" t="str">
        <f t="shared" si="100"/>
        <v/>
      </c>
      <c r="GM39" s="115" t="str">
        <f t="shared" si="100"/>
        <v/>
      </c>
      <c r="GN39" s="115" t="str">
        <f t="shared" si="100"/>
        <v/>
      </c>
      <c r="GO39" s="115" t="str">
        <f t="shared" si="100"/>
        <v/>
      </c>
      <c r="GP39" s="115" t="str">
        <f t="shared" si="100"/>
        <v/>
      </c>
      <c r="GQ39" s="115" t="str">
        <f t="shared" si="100"/>
        <v/>
      </c>
      <c r="GR39" s="115" t="str">
        <f t="shared" si="100"/>
        <v/>
      </c>
      <c r="GS39" s="115" t="str">
        <f t="shared" si="100"/>
        <v/>
      </c>
      <c r="GT39" s="115" t="str">
        <f t="shared" si="100"/>
        <v/>
      </c>
      <c r="GU39" s="115" t="str">
        <f t="shared" si="100"/>
        <v/>
      </c>
      <c r="GV39" s="115" t="str">
        <f t="shared" si="100"/>
        <v/>
      </c>
      <c r="GW39" s="115" t="str">
        <f t="shared" si="100"/>
        <v/>
      </c>
      <c r="GX39" s="115" t="str">
        <f t="shared" si="100"/>
        <v/>
      </c>
      <c r="GY39" s="115" t="str">
        <f t="shared" si="100"/>
        <v/>
      </c>
      <c r="GZ39" s="115" t="str">
        <f t="shared" si="100"/>
        <v/>
      </c>
      <c r="HA39" s="115" t="str">
        <f t="shared" si="100"/>
        <v/>
      </c>
      <c r="HB39" s="115" t="str">
        <f t="shared" si="100"/>
        <v/>
      </c>
      <c r="HC39" s="115" t="str">
        <f t="shared" si="100"/>
        <v/>
      </c>
      <c r="HD39" s="115" t="str">
        <f t="shared" si="100"/>
        <v/>
      </c>
      <c r="HE39" s="115" t="str">
        <f t="shared" si="100"/>
        <v/>
      </c>
      <c r="HF39" s="115" t="str">
        <f t="shared" si="100"/>
        <v/>
      </c>
      <c r="HG39" s="115" t="str">
        <f t="shared" si="100"/>
        <v/>
      </c>
      <c r="HH39" s="115" t="str">
        <f t="shared" si="100"/>
        <v/>
      </c>
      <c r="HI39" s="115" t="str">
        <f t="shared" si="100"/>
        <v/>
      </c>
      <c r="HJ39" s="115" t="str">
        <f t="shared" si="100"/>
        <v/>
      </c>
      <c r="HK39" s="115" t="str">
        <f t="shared" si="100"/>
        <v/>
      </c>
      <c r="HL39" s="115" t="str">
        <f t="shared" si="100"/>
        <v/>
      </c>
      <c r="HM39" s="115" t="str">
        <f t="shared" si="100"/>
        <v/>
      </c>
      <c r="HN39" s="115" t="str">
        <f t="shared" si="100"/>
        <v/>
      </c>
      <c r="HO39" s="115" t="str">
        <f t="shared" si="100"/>
        <v/>
      </c>
      <c r="HP39" s="115" t="str">
        <f t="shared" si="100"/>
        <v/>
      </c>
      <c r="HQ39" s="115" t="str">
        <f t="shared" si="100"/>
        <v/>
      </c>
      <c r="HR39" s="115" t="str">
        <f t="shared" si="100"/>
        <v/>
      </c>
      <c r="HS39" s="115" t="str">
        <f t="shared" si="100"/>
        <v/>
      </c>
      <c r="HT39" s="115" t="str">
        <f t="shared" si="100"/>
        <v/>
      </c>
      <c r="HU39" s="115" t="str">
        <f t="shared" ref="HU39" si="101">IF(GB39="","",",")</f>
        <v/>
      </c>
      <c r="HV39" s="115" t="str">
        <f t="shared" ref="HV39" si="102">IF(GC39="","",",")</f>
        <v/>
      </c>
      <c r="HW39" s="115" t="str">
        <f t="shared" ref="HW39" si="103">IF(GD39="","",",")</f>
        <v/>
      </c>
      <c r="HX39" s="115" t="str">
        <f t="shared" ref="HX39" si="104">IF(GE39="","",",")</f>
        <v/>
      </c>
      <c r="HY39" s="115" t="str">
        <f t="shared" ref="HY39" si="105">IF(GF39="","",",")</f>
        <v/>
      </c>
      <c r="HZ39" s="117"/>
      <c r="IA39" s="117"/>
      <c r="IB39" s="117"/>
      <c r="IC39" s="117"/>
      <c r="ID39" s="117"/>
      <c r="IE39" s="117"/>
      <c r="IF39" s="117"/>
      <c r="IG39" s="117"/>
      <c r="IH39" s="117"/>
      <c r="II39" s="117"/>
      <c r="IJ39" s="117"/>
      <c r="IK39" s="117"/>
      <c r="IL39" s="117"/>
      <c r="IM39" s="117"/>
      <c r="IN39" s="117"/>
      <c r="IO39" s="117"/>
      <c r="IP39" s="117"/>
      <c r="IQ39" s="117"/>
      <c r="IR39" s="117"/>
      <c r="IS39" s="117"/>
      <c r="IT39" s="117"/>
      <c r="IU39" s="117"/>
      <c r="IV39" s="117"/>
      <c r="IW39" s="117"/>
      <c r="IX39" s="117"/>
      <c r="IY39" s="117"/>
      <c r="IZ39" s="117"/>
      <c r="JA39" s="117"/>
      <c r="JB39" s="117"/>
      <c r="JC39" s="117"/>
      <c r="JD39" s="117"/>
      <c r="JE39" s="117"/>
      <c r="JF39" s="117"/>
      <c r="JG39" s="117"/>
      <c r="JH39" s="117"/>
      <c r="JI39" s="117"/>
      <c r="JJ39" s="117"/>
      <c r="JK39" s="117"/>
      <c r="JL39" s="117"/>
      <c r="JM39" s="117"/>
      <c r="JN39" s="117"/>
      <c r="JO39" s="117"/>
      <c r="JP39" s="117"/>
      <c r="JQ39" s="117"/>
      <c r="JR39" s="117"/>
      <c r="JS39" s="114"/>
      <c r="JT39" s="114"/>
      <c r="JU39" s="114"/>
      <c r="JV39" s="114"/>
      <c r="JW39" s="114"/>
      <c r="JX39" s="114"/>
      <c r="JY39" s="114"/>
      <c r="JZ39" s="114"/>
      <c r="KA39" s="114"/>
      <c r="KB39" s="114"/>
      <c r="KC39" s="114"/>
      <c r="KD39" s="114"/>
      <c r="KE39" s="114"/>
      <c r="KF39" s="114"/>
      <c r="KG39" s="114"/>
      <c r="KH39" s="114"/>
      <c r="KI39" s="114"/>
      <c r="KJ39" s="114"/>
      <c r="KK39" s="114"/>
      <c r="KL39" s="114"/>
      <c r="KM39" s="114"/>
      <c r="KN39" s="114"/>
      <c r="KO39" s="114"/>
      <c r="KP39" s="114"/>
      <c r="KQ39" s="114"/>
      <c r="KR39" s="114"/>
      <c r="KS39" s="114"/>
      <c r="KT39" s="114"/>
      <c r="KU39" s="114"/>
      <c r="KV39" s="114"/>
      <c r="KW39" s="114"/>
      <c r="KX39" s="114"/>
      <c r="KY39" s="114"/>
      <c r="KZ39" s="114"/>
      <c r="LA39" s="114"/>
      <c r="LB39" s="114"/>
      <c r="LC39" s="114"/>
      <c r="LD39" s="114"/>
      <c r="LE39" s="114"/>
      <c r="LF39" s="114"/>
      <c r="LG39" s="114"/>
      <c r="LH39" s="114"/>
      <c r="LI39" s="114"/>
      <c r="LJ39" s="114"/>
      <c r="LK39" s="114"/>
    </row>
    <row r="40" spans="1:323" ht="47.25" x14ac:dyDescent="0.25">
      <c r="A40" s="127"/>
      <c r="B40" s="133"/>
      <c r="C40" s="127"/>
      <c r="D40" s="135"/>
      <c r="E40" s="127"/>
      <c r="F40" s="126"/>
      <c r="G40" s="20" t="s">
        <v>56</v>
      </c>
      <c r="H40" s="23" t="s">
        <v>86</v>
      </c>
      <c r="I40" s="78" t="s">
        <v>269</v>
      </c>
      <c r="J40" s="78" t="s">
        <v>269</v>
      </c>
      <c r="K40" s="78" t="s">
        <v>269</v>
      </c>
      <c r="L40" s="78" t="s">
        <v>269</v>
      </c>
      <c r="M40" s="78" t="s">
        <v>269</v>
      </c>
      <c r="N40" s="78" t="s">
        <v>269</v>
      </c>
      <c r="O40" s="78" t="s">
        <v>269</v>
      </c>
      <c r="P40" s="78" t="s">
        <v>269</v>
      </c>
      <c r="Q40" s="78" t="s">
        <v>269</v>
      </c>
      <c r="R40" s="78" t="s">
        <v>269</v>
      </c>
      <c r="S40" s="78" t="s">
        <v>269</v>
      </c>
      <c r="T40" s="78" t="s">
        <v>269</v>
      </c>
      <c r="U40" s="78" t="s">
        <v>269</v>
      </c>
      <c r="V40" s="78" t="s">
        <v>269</v>
      </c>
      <c r="W40" s="78" t="s">
        <v>269</v>
      </c>
      <c r="X40" s="78" t="s">
        <v>269</v>
      </c>
      <c r="Y40" s="78" t="s">
        <v>269</v>
      </c>
      <c r="Z40" s="78" t="s">
        <v>269</v>
      </c>
      <c r="AA40" s="78" t="s">
        <v>269</v>
      </c>
      <c r="AB40" s="78" t="s">
        <v>269</v>
      </c>
      <c r="AC40" s="78" t="s">
        <v>269</v>
      </c>
      <c r="AD40" s="78" t="s">
        <v>269</v>
      </c>
      <c r="AE40" s="78" t="s">
        <v>269</v>
      </c>
      <c r="AF40" s="78" t="s">
        <v>269</v>
      </c>
      <c r="AG40" s="78" t="s">
        <v>269</v>
      </c>
      <c r="AH40" s="78" t="s">
        <v>269</v>
      </c>
      <c r="AI40" s="78" t="s">
        <v>269</v>
      </c>
      <c r="AJ40" s="78" t="s">
        <v>269</v>
      </c>
      <c r="AK40" s="78" t="s">
        <v>269</v>
      </c>
      <c r="AL40" s="78" t="s">
        <v>269</v>
      </c>
      <c r="AM40" s="78" t="s">
        <v>269</v>
      </c>
      <c r="AN40" s="78" t="s">
        <v>269</v>
      </c>
      <c r="AO40" s="78" t="s">
        <v>269</v>
      </c>
      <c r="AP40" s="78" t="s">
        <v>269</v>
      </c>
      <c r="AQ40" s="78" t="s">
        <v>269</v>
      </c>
      <c r="AR40" s="78" t="s">
        <v>269</v>
      </c>
      <c r="AS40" s="78" t="s">
        <v>269</v>
      </c>
      <c r="AT40" s="78" t="s">
        <v>269</v>
      </c>
      <c r="AU40" s="78" t="s">
        <v>269</v>
      </c>
      <c r="AV40" s="78" t="s">
        <v>269</v>
      </c>
      <c r="AW40" s="78"/>
      <c r="AX40" s="78"/>
      <c r="AY40" s="78"/>
      <c r="AZ40" s="78"/>
      <c r="BA40" s="78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/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/>
      <c r="CI40" s="122"/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0"/>
      <c r="EO40" s="120"/>
      <c r="EP40" s="120"/>
      <c r="EQ40" s="120"/>
      <c r="ER40" s="120"/>
      <c r="ES40" s="120"/>
      <c r="ET40" s="120"/>
      <c r="EU40" s="120"/>
      <c r="EV40" s="120"/>
      <c r="EW40" s="120"/>
      <c r="EX40" s="120"/>
      <c r="EY40" s="120"/>
      <c r="EZ40" s="120"/>
      <c r="FA40" s="120"/>
      <c r="FB40" s="120"/>
      <c r="FC40" s="120"/>
      <c r="FD40" s="120"/>
      <c r="FE40" s="120"/>
      <c r="FF40" s="120"/>
      <c r="FG40" s="120"/>
      <c r="FH40" s="120"/>
      <c r="FI40" s="120"/>
      <c r="FJ40" s="120"/>
      <c r="FK40" s="120"/>
      <c r="FL40" s="120"/>
      <c r="FM40" s="120"/>
      <c r="FN40" s="120"/>
      <c r="FO40" s="120"/>
      <c r="FP40" s="120"/>
      <c r="FQ40" s="120"/>
      <c r="FR40" s="120"/>
      <c r="FS40" s="120"/>
      <c r="FT40" s="120"/>
      <c r="FU40" s="120"/>
      <c r="FV40" s="120"/>
      <c r="FW40" s="120"/>
      <c r="FX40" s="120"/>
      <c r="FY40" s="120"/>
      <c r="FZ40" s="120"/>
      <c r="GA40" s="120"/>
      <c r="GB40" s="120"/>
      <c r="GC40" s="120"/>
      <c r="GD40" s="120"/>
      <c r="GE40" s="120"/>
      <c r="GF40" s="120"/>
      <c r="GG40" s="115"/>
      <c r="GH40" s="115"/>
      <c r="GI40" s="115"/>
      <c r="GJ40" s="115"/>
      <c r="GK40" s="115"/>
      <c r="GL40" s="115"/>
      <c r="GM40" s="115"/>
      <c r="GN40" s="115"/>
      <c r="GO40" s="115"/>
      <c r="GP40" s="115"/>
      <c r="GQ40" s="115"/>
      <c r="GR40" s="115"/>
      <c r="GS40" s="115"/>
      <c r="GT40" s="115"/>
      <c r="GU40" s="115"/>
      <c r="GV40" s="115"/>
      <c r="GW40" s="115"/>
      <c r="GX40" s="115"/>
      <c r="GY40" s="115"/>
      <c r="GZ40" s="115"/>
      <c r="HA40" s="115"/>
      <c r="HB40" s="115"/>
      <c r="HC40" s="115"/>
      <c r="HD40" s="115"/>
      <c r="HE40" s="115"/>
      <c r="HF40" s="115"/>
      <c r="HG40" s="115"/>
      <c r="HH40" s="115"/>
      <c r="HI40" s="115"/>
      <c r="HJ40" s="115"/>
      <c r="HK40" s="115"/>
      <c r="HL40" s="115"/>
      <c r="HM40" s="115"/>
      <c r="HN40" s="115"/>
      <c r="HO40" s="115"/>
      <c r="HP40" s="115"/>
      <c r="HQ40" s="115"/>
      <c r="HR40" s="115"/>
      <c r="HS40" s="115"/>
      <c r="HT40" s="115"/>
      <c r="HU40" s="115"/>
      <c r="HV40" s="115"/>
      <c r="HW40" s="115"/>
      <c r="HX40" s="115"/>
      <c r="HY40" s="115"/>
      <c r="HZ40" s="117"/>
      <c r="IA40" s="117"/>
      <c r="IB40" s="117"/>
      <c r="IC40" s="117"/>
      <c r="ID40" s="117"/>
      <c r="IE40" s="117"/>
      <c r="IF40" s="117"/>
      <c r="IG40" s="117"/>
      <c r="IH40" s="117"/>
      <c r="II40" s="117"/>
      <c r="IJ40" s="117"/>
      <c r="IK40" s="117"/>
      <c r="IL40" s="117"/>
      <c r="IM40" s="117"/>
      <c r="IN40" s="117"/>
      <c r="IO40" s="117"/>
      <c r="IP40" s="117"/>
      <c r="IQ40" s="117"/>
      <c r="IR40" s="117"/>
      <c r="IS40" s="117"/>
      <c r="IT40" s="117"/>
      <c r="IU40" s="117"/>
      <c r="IV40" s="117"/>
      <c r="IW40" s="117"/>
      <c r="IX40" s="117"/>
      <c r="IY40" s="117"/>
      <c r="IZ40" s="117"/>
      <c r="JA40" s="117"/>
      <c r="JB40" s="117"/>
      <c r="JC40" s="117"/>
      <c r="JD40" s="117"/>
      <c r="JE40" s="117"/>
      <c r="JF40" s="117"/>
      <c r="JG40" s="117"/>
      <c r="JH40" s="117"/>
      <c r="JI40" s="117"/>
      <c r="JJ40" s="117"/>
      <c r="JK40" s="117"/>
      <c r="JL40" s="117"/>
      <c r="JM40" s="117"/>
      <c r="JN40" s="117"/>
      <c r="JO40" s="117"/>
      <c r="JP40" s="117"/>
      <c r="JQ40" s="117"/>
      <c r="JR40" s="117"/>
      <c r="JS40" s="114"/>
      <c r="JT40" s="114"/>
      <c r="JU40" s="114"/>
      <c r="JV40" s="114"/>
      <c r="JW40" s="114"/>
      <c r="JX40" s="114"/>
      <c r="JY40" s="114"/>
      <c r="JZ40" s="114"/>
      <c r="KA40" s="114"/>
      <c r="KB40" s="114"/>
      <c r="KC40" s="114"/>
      <c r="KD40" s="114"/>
      <c r="KE40" s="114"/>
      <c r="KF40" s="114"/>
      <c r="KG40" s="114"/>
      <c r="KH40" s="114"/>
      <c r="KI40" s="114"/>
      <c r="KJ40" s="114"/>
      <c r="KK40" s="114"/>
      <c r="KL40" s="114"/>
      <c r="KM40" s="114"/>
      <c r="KN40" s="114"/>
      <c r="KO40" s="114"/>
      <c r="KP40" s="114"/>
      <c r="KQ40" s="114"/>
      <c r="KR40" s="114"/>
      <c r="KS40" s="114"/>
      <c r="KT40" s="114"/>
      <c r="KU40" s="114"/>
      <c r="KV40" s="114"/>
      <c r="KW40" s="114"/>
      <c r="KX40" s="114"/>
      <c r="KY40" s="114"/>
      <c r="KZ40" s="114"/>
      <c r="LA40" s="114"/>
      <c r="LB40" s="114"/>
      <c r="LC40" s="114"/>
      <c r="LD40" s="114"/>
      <c r="LE40" s="114"/>
      <c r="LF40" s="114"/>
      <c r="LG40" s="114"/>
      <c r="LH40" s="114"/>
      <c r="LI40" s="114"/>
      <c r="LJ40" s="114"/>
      <c r="LK40" s="114"/>
    </row>
    <row r="41" spans="1:323" ht="33" customHeight="1" x14ac:dyDescent="0.25">
      <c r="A41" s="127"/>
      <c r="B41" s="133"/>
      <c r="C41" s="127"/>
      <c r="D41" s="135"/>
      <c r="E41" s="127">
        <v>2</v>
      </c>
      <c r="F41" s="126" t="s">
        <v>27</v>
      </c>
      <c r="G41" s="20" t="s">
        <v>56</v>
      </c>
      <c r="H41" s="23" t="s">
        <v>30</v>
      </c>
      <c r="I41" s="78" t="s">
        <v>269</v>
      </c>
      <c r="J41" s="78" t="s">
        <v>269</v>
      </c>
      <c r="K41" s="78" t="s">
        <v>269</v>
      </c>
      <c r="L41" s="78" t="s">
        <v>269</v>
      </c>
      <c r="M41" s="78" t="s">
        <v>269</v>
      </c>
      <c r="N41" s="78" t="s">
        <v>269</v>
      </c>
      <c r="O41" s="78" t="s">
        <v>269</v>
      </c>
      <c r="P41" s="78" t="s">
        <v>269</v>
      </c>
      <c r="Q41" s="78" t="s">
        <v>269</v>
      </c>
      <c r="R41" s="78" t="s">
        <v>269</v>
      </c>
      <c r="S41" s="78" t="s">
        <v>269</v>
      </c>
      <c r="T41" s="78" t="s">
        <v>269</v>
      </c>
      <c r="U41" s="78" t="s">
        <v>269</v>
      </c>
      <c r="V41" s="78" t="s">
        <v>269</v>
      </c>
      <c r="W41" s="78" t="s">
        <v>269</v>
      </c>
      <c r="X41" s="78" t="s">
        <v>269</v>
      </c>
      <c r="Y41" s="78" t="s">
        <v>269</v>
      </c>
      <c r="Z41" s="78" t="s">
        <v>269</v>
      </c>
      <c r="AA41" s="78" t="s">
        <v>269</v>
      </c>
      <c r="AB41" s="78" t="s">
        <v>269</v>
      </c>
      <c r="AC41" s="78" t="s">
        <v>269</v>
      </c>
      <c r="AD41" s="78" t="s">
        <v>269</v>
      </c>
      <c r="AE41" s="78" t="s">
        <v>269</v>
      </c>
      <c r="AF41" s="78" t="s">
        <v>269</v>
      </c>
      <c r="AG41" s="78" t="s">
        <v>269</v>
      </c>
      <c r="AH41" s="78" t="s">
        <v>269</v>
      </c>
      <c r="AI41" s="78" t="s">
        <v>269</v>
      </c>
      <c r="AJ41" s="78" t="s">
        <v>269</v>
      </c>
      <c r="AK41" s="78" t="s">
        <v>269</v>
      </c>
      <c r="AL41" s="78" t="s">
        <v>269</v>
      </c>
      <c r="AM41" s="78" t="s">
        <v>269</v>
      </c>
      <c r="AN41" s="78" t="s">
        <v>269</v>
      </c>
      <c r="AO41" s="78" t="s">
        <v>269</v>
      </c>
      <c r="AP41" s="78" t="s">
        <v>269</v>
      </c>
      <c r="AQ41" s="78" t="s">
        <v>269</v>
      </c>
      <c r="AR41" s="78" t="s">
        <v>269</v>
      </c>
      <c r="AS41" s="78" t="s">
        <v>269</v>
      </c>
      <c r="AT41" s="78" t="s">
        <v>269</v>
      </c>
      <c r="AU41" s="78" t="s">
        <v>269</v>
      </c>
      <c r="AV41" s="78" t="s">
        <v>269</v>
      </c>
      <c r="AW41" s="78"/>
      <c r="AX41" s="78"/>
      <c r="AY41" s="78"/>
      <c r="AZ41" s="78"/>
      <c r="BA41" s="78"/>
      <c r="BB41" s="122">
        <f t="shared" ref="BB41:CO41" si="106">IF(AND(I41="",I42=""),"",COUNTIF(I41:I42,"v"))</f>
        <v>2</v>
      </c>
      <c r="BC41" s="122">
        <f t="shared" si="106"/>
        <v>2</v>
      </c>
      <c r="BD41" s="122">
        <f t="shared" si="106"/>
        <v>2</v>
      </c>
      <c r="BE41" s="122">
        <f t="shared" si="106"/>
        <v>2</v>
      </c>
      <c r="BF41" s="122">
        <f t="shared" si="106"/>
        <v>2</v>
      </c>
      <c r="BG41" s="122">
        <f t="shared" si="106"/>
        <v>2</v>
      </c>
      <c r="BH41" s="122">
        <f t="shared" si="106"/>
        <v>2</v>
      </c>
      <c r="BI41" s="122">
        <f t="shared" si="106"/>
        <v>2</v>
      </c>
      <c r="BJ41" s="122">
        <f t="shared" si="106"/>
        <v>2</v>
      </c>
      <c r="BK41" s="122">
        <f t="shared" si="106"/>
        <v>2</v>
      </c>
      <c r="BL41" s="122">
        <f t="shared" si="106"/>
        <v>2</v>
      </c>
      <c r="BM41" s="122">
        <f t="shared" si="106"/>
        <v>2</v>
      </c>
      <c r="BN41" s="122">
        <f t="shared" si="106"/>
        <v>2</v>
      </c>
      <c r="BO41" s="122">
        <f t="shared" si="106"/>
        <v>2</v>
      </c>
      <c r="BP41" s="122">
        <f t="shared" si="106"/>
        <v>2</v>
      </c>
      <c r="BQ41" s="122">
        <f t="shared" si="106"/>
        <v>2</v>
      </c>
      <c r="BR41" s="122">
        <f t="shared" si="106"/>
        <v>2</v>
      </c>
      <c r="BS41" s="122">
        <f t="shared" si="106"/>
        <v>2</v>
      </c>
      <c r="BT41" s="122">
        <f t="shared" si="106"/>
        <v>2</v>
      </c>
      <c r="BU41" s="122">
        <f t="shared" si="106"/>
        <v>2</v>
      </c>
      <c r="BV41" s="122">
        <f t="shared" si="106"/>
        <v>2</v>
      </c>
      <c r="BW41" s="122">
        <f t="shared" si="106"/>
        <v>2</v>
      </c>
      <c r="BX41" s="122">
        <f t="shared" si="106"/>
        <v>2</v>
      </c>
      <c r="BY41" s="122">
        <f t="shared" si="106"/>
        <v>2</v>
      </c>
      <c r="BZ41" s="122">
        <f t="shared" si="106"/>
        <v>2</v>
      </c>
      <c r="CA41" s="122">
        <f t="shared" si="106"/>
        <v>2</v>
      </c>
      <c r="CB41" s="122">
        <f t="shared" si="106"/>
        <v>2</v>
      </c>
      <c r="CC41" s="122">
        <f t="shared" si="106"/>
        <v>2</v>
      </c>
      <c r="CD41" s="122">
        <f t="shared" si="106"/>
        <v>2</v>
      </c>
      <c r="CE41" s="122">
        <f t="shared" si="106"/>
        <v>2</v>
      </c>
      <c r="CF41" s="122">
        <f t="shared" si="106"/>
        <v>2</v>
      </c>
      <c r="CG41" s="122">
        <f t="shared" si="106"/>
        <v>2</v>
      </c>
      <c r="CH41" s="122">
        <f t="shared" si="106"/>
        <v>2</v>
      </c>
      <c r="CI41" s="122">
        <f t="shared" si="106"/>
        <v>2</v>
      </c>
      <c r="CJ41" s="122">
        <f t="shared" si="106"/>
        <v>2</v>
      </c>
      <c r="CK41" s="122">
        <f t="shared" si="106"/>
        <v>2</v>
      </c>
      <c r="CL41" s="122">
        <f t="shared" si="106"/>
        <v>2</v>
      </c>
      <c r="CM41" s="122">
        <f t="shared" si="106"/>
        <v>2</v>
      </c>
      <c r="CN41" s="122">
        <f t="shared" si="106"/>
        <v>2</v>
      </c>
      <c r="CO41" s="122">
        <f t="shared" si="106"/>
        <v>2</v>
      </c>
      <c r="CP41" s="122" t="str">
        <f t="shared" ref="CP41:CT41" si="107">IF(AND(AW41="",AW42=""),"",COUNTIF(AW41:AW42,"v"))</f>
        <v/>
      </c>
      <c r="CQ41" s="122" t="str">
        <f t="shared" si="107"/>
        <v/>
      </c>
      <c r="CR41" s="122" t="str">
        <f t="shared" si="107"/>
        <v/>
      </c>
      <c r="CS41" s="122" t="str">
        <f t="shared" si="107"/>
        <v/>
      </c>
      <c r="CT41" s="122" t="str">
        <f t="shared" si="107"/>
        <v/>
      </c>
      <c r="CU41" s="121" t="str">
        <f t="shared" ref="CU41" si="108">IF(BB41="","",IF(BB41=0,"Ditolak",IF(BB41=1,"Diperbaiki","Digunakan")))</f>
        <v>Digunakan</v>
      </c>
      <c r="CV41" s="121" t="str">
        <f t="shared" ref="CV41:EH41" si="109">IF(BC41="","",IF(BC41=0,"Ditolak",IF(AND(BC41&gt;=1,BC41&lt;2),"Diperbaiki","Digunakan")))</f>
        <v>Digunakan</v>
      </c>
      <c r="CW41" s="121" t="str">
        <f t="shared" si="109"/>
        <v>Digunakan</v>
      </c>
      <c r="CX41" s="121" t="str">
        <f t="shared" si="109"/>
        <v>Digunakan</v>
      </c>
      <c r="CY41" s="121" t="str">
        <f t="shared" si="109"/>
        <v>Digunakan</v>
      </c>
      <c r="CZ41" s="121" t="str">
        <f t="shared" si="109"/>
        <v>Digunakan</v>
      </c>
      <c r="DA41" s="121" t="str">
        <f t="shared" si="109"/>
        <v>Digunakan</v>
      </c>
      <c r="DB41" s="121" t="str">
        <f t="shared" si="109"/>
        <v>Digunakan</v>
      </c>
      <c r="DC41" s="121" t="str">
        <f t="shared" si="109"/>
        <v>Digunakan</v>
      </c>
      <c r="DD41" s="121" t="str">
        <f t="shared" si="109"/>
        <v>Digunakan</v>
      </c>
      <c r="DE41" s="121" t="str">
        <f t="shared" si="109"/>
        <v>Digunakan</v>
      </c>
      <c r="DF41" s="121" t="str">
        <f t="shared" si="109"/>
        <v>Digunakan</v>
      </c>
      <c r="DG41" s="121" t="str">
        <f t="shared" si="109"/>
        <v>Digunakan</v>
      </c>
      <c r="DH41" s="121" t="str">
        <f t="shared" si="109"/>
        <v>Digunakan</v>
      </c>
      <c r="DI41" s="121" t="str">
        <f t="shared" si="109"/>
        <v>Digunakan</v>
      </c>
      <c r="DJ41" s="121" t="str">
        <f t="shared" si="109"/>
        <v>Digunakan</v>
      </c>
      <c r="DK41" s="121" t="str">
        <f t="shared" si="109"/>
        <v>Digunakan</v>
      </c>
      <c r="DL41" s="121" t="str">
        <f t="shared" si="109"/>
        <v>Digunakan</v>
      </c>
      <c r="DM41" s="121" t="str">
        <f t="shared" si="109"/>
        <v>Digunakan</v>
      </c>
      <c r="DN41" s="121" t="str">
        <f t="shared" si="109"/>
        <v>Digunakan</v>
      </c>
      <c r="DO41" s="121" t="str">
        <f t="shared" si="109"/>
        <v>Digunakan</v>
      </c>
      <c r="DP41" s="121" t="str">
        <f t="shared" si="109"/>
        <v>Digunakan</v>
      </c>
      <c r="DQ41" s="121" t="str">
        <f t="shared" si="109"/>
        <v>Digunakan</v>
      </c>
      <c r="DR41" s="121" t="str">
        <f t="shared" si="109"/>
        <v>Digunakan</v>
      </c>
      <c r="DS41" s="121" t="str">
        <f t="shared" si="109"/>
        <v>Digunakan</v>
      </c>
      <c r="DT41" s="121" t="str">
        <f t="shared" si="109"/>
        <v>Digunakan</v>
      </c>
      <c r="DU41" s="121" t="str">
        <f t="shared" si="109"/>
        <v>Digunakan</v>
      </c>
      <c r="DV41" s="121" t="str">
        <f t="shared" si="109"/>
        <v>Digunakan</v>
      </c>
      <c r="DW41" s="121" t="str">
        <f t="shared" si="109"/>
        <v>Digunakan</v>
      </c>
      <c r="DX41" s="121" t="str">
        <f t="shared" si="109"/>
        <v>Digunakan</v>
      </c>
      <c r="DY41" s="121" t="str">
        <f t="shared" si="109"/>
        <v>Digunakan</v>
      </c>
      <c r="DZ41" s="121" t="str">
        <f t="shared" si="109"/>
        <v>Digunakan</v>
      </c>
      <c r="EA41" s="121" t="str">
        <f t="shared" si="109"/>
        <v>Digunakan</v>
      </c>
      <c r="EB41" s="121" t="str">
        <f t="shared" si="109"/>
        <v>Digunakan</v>
      </c>
      <c r="EC41" s="121" t="str">
        <f t="shared" si="109"/>
        <v>Digunakan</v>
      </c>
      <c r="ED41" s="121" t="str">
        <f t="shared" si="109"/>
        <v>Digunakan</v>
      </c>
      <c r="EE41" s="121" t="str">
        <f t="shared" si="109"/>
        <v>Digunakan</v>
      </c>
      <c r="EF41" s="121" t="str">
        <f t="shared" si="109"/>
        <v>Digunakan</v>
      </c>
      <c r="EG41" s="121" t="str">
        <f t="shared" si="109"/>
        <v>Digunakan</v>
      </c>
      <c r="EH41" s="121" t="str">
        <f t="shared" si="109"/>
        <v>Digunakan</v>
      </c>
      <c r="EI41" s="121" t="str">
        <f t="shared" ref="EI41:EM41" si="110">IF(CP41="","",IF(CP41=0,"Ditolak",IF(AND(CP41&gt;=1,CP41&lt;2),"Diperbaiki","Digunakan")))</f>
        <v/>
      </c>
      <c r="EJ41" s="121" t="str">
        <f t="shared" si="110"/>
        <v/>
      </c>
      <c r="EK41" s="121" t="str">
        <f t="shared" si="110"/>
        <v/>
      </c>
      <c r="EL41" s="121" t="str">
        <f t="shared" si="110"/>
        <v/>
      </c>
      <c r="EM41" s="121" t="str">
        <f t="shared" si="110"/>
        <v/>
      </c>
      <c r="EN41" s="120"/>
      <c r="EO41" s="120"/>
      <c r="EP41" s="120"/>
      <c r="EQ41" s="120"/>
      <c r="ER41" s="120"/>
      <c r="ES41" s="120"/>
      <c r="ET41" s="120"/>
      <c r="EU41" s="120"/>
      <c r="EV41" s="120"/>
      <c r="EW41" s="120"/>
      <c r="EX41" s="120"/>
      <c r="EY41" s="120"/>
      <c r="EZ41" s="120"/>
      <c r="FA41" s="120"/>
      <c r="FB41" s="120"/>
      <c r="FC41" s="120"/>
      <c r="FD41" s="120"/>
      <c r="FE41" s="120"/>
      <c r="FF41" s="120"/>
      <c r="FG41" s="120"/>
      <c r="FH41" s="120"/>
      <c r="FI41" s="120"/>
      <c r="FJ41" s="120"/>
      <c r="FK41" s="120"/>
      <c r="FL41" s="120"/>
      <c r="FM41" s="120"/>
      <c r="FN41" s="120"/>
      <c r="FO41" s="120"/>
      <c r="FP41" s="120"/>
      <c r="FQ41" s="120"/>
      <c r="FR41" s="120"/>
      <c r="FS41" s="120"/>
      <c r="FT41" s="120"/>
      <c r="FU41" s="120"/>
      <c r="FV41" s="120"/>
      <c r="FW41" s="120"/>
      <c r="FX41" s="120"/>
      <c r="FY41" s="120"/>
      <c r="FZ41" s="120"/>
      <c r="GA41" s="120"/>
      <c r="GB41" s="120"/>
      <c r="GC41" s="120"/>
      <c r="GD41" s="120"/>
      <c r="GE41" s="120"/>
      <c r="GF41" s="120"/>
      <c r="GG41" s="115"/>
      <c r="GH41" s="115"/>
      <c r="GI41" s="115"/>
      <c r="GJ41" s="115"/>
      <c r="GK41" s="115"/>
      <c r="GL41" s="115"/>
      <c r="GM41" s="115"/>
      <c r="GN41" s="115"/>
      <c r="GO41" s="115"/>
      <c r="GP41" s="115"/>
      <c r="GQ41" s="115"/>
      <c r="GR41" s="115"/>
      <c r="GS41" s="115"/>
      <c r="GT41" s="115"/>
      <c r="GU41" s="115"/>
      <c r="GV41" s="115"/>
      <c r="GW41" s="115"/>
      <c r="GX41" s="115"/>
      <c r="GY41" s="115"/>
      <c r="GZ41" s="115"/>
      <c r="HA41" s="115"/>
      <c r="HB41" s="115"/>
      <c r="HC41" s="115"/>
      <c r="HD41" s="115"/>
      <c r="HE41" s="115"/>
      <c r="HF41" s="115"/>
      <c r="HG41" s="115"/>
      <c r="HH41" s="115"/>
      <c r="HI41" s="115"/>
      <c r="HJ41" s="115"/>
      <c r="HK41" s="115"/>
      <c r="HL41" s="115"/>
      <c r="HM41" s="115"/>
      <c r="HN41" s="115"/>
      <c r="HO41" s="115"/>
      <c r="HP41" s="115"/>
      <c r="HQ41" s="115"/>
      <c r="HR41" s="115"/>
      <c r="HS41" s="115"/>
      <c r="HT41" s="115"/>
      <c r="HU41" s="115"/>
      <c r="HV41" s="115"/>
      <c r="HW41" s="115"/>
      <c r="HX41" s="115"/>
      <c r="HY41" s="115"/>
      <c r="HZ41" s="117"/>
      <c r="IA41" s="117"/>
      <c r="IB41" s="117"/>
      <c r="IC41" s="117"/>
      <c r="ID41" s="117"/>
      <c r="IE41" s="117"/>
      <c r="IF41" s="117"/>
      <c r="IG41" s="117"/>
      <c r="IH41" s="117"/>
      <c r="II41" s="117"/>
      <c r="IJ41" s="117"/>
      <c r="IK41" s="117"/>
      <c r="IL41" s="117"/>
      <c r="IM41" s="117"/>
      <c r="IN41" s="117"/>
      <c r="IO41" s="117"/>
      <c r="IP41" s="117"/>
      <c r="IQ41" s="117"/>
      <c r="IR41" s="117"/>
      <c r="IS41" s="117"/>
      <c r="IT41" s="117"/>
      <c r="IU41" s="117"/>
      <c r="IV41" s="117"/>
      <c r="IW41" s="117"/>
      <c r="IX41" s="117"/>
      <c r="IY41" s="117"/>
      <c r="IZ41" s="117"/>
      <c r="JA41" s="117"/>
      <c r="JB41" s="117"/>
      <c r="JC41" s="117"/>
      <c r="JD41" s="117"/>
      <c r="JE41" s="117"/>
      <c r="JF41" s="117"/>
      <c r="JG41" s="117"/>
      <c r="JH41" s="117"/>
      <c r="JI41" s="117"/>
      <c r="JJ41" s="117"/>
      <c r="JK41" s="117"/>
      <c r="JL41" s="117"/>
      <c r="JM41" s="117"/>
      <c r="JN41" s="117"/>
      <c r="JO41" s="117"/>
      <c r="JP41" s="117"/>
      <c r="JQ41" s="117"/>
      <c r="JR41" s="117"/>
      <c r="JS41" s="114"/>
      <c r="JT41" s="114"/>
      <c r="JU41" s="114"/>
      <c r="JV41" s="114"/>
      <c r="JW41" s="114"/>
      <c r="JX41" s="114"/>
      <c r="JY41" s="114"/>
      <c r="JZ41" s="114"/>
      <c r="KA41" s="114"/>
      <c r="KB41" s="114"/>
      <c r="KC41" s="114"/>
      <c r="KD41" s="114"/>
      <c r="KE41" s="114"/>
      <c r="KF41" s="114"/>
      <c r="KG41" s="114"/>
      <c r="KH41" s="114"/>
      <c r="KI41" s="114"/>
      <c r="KJ41" s="114"/>
      <c r="KK41" s="114"/>
      <c r="KL41" s="114"/>
      <c r="KM41" s="114"/>
      <c r="KN41" s="114"/>
      <c r="KO41" s="114"/>
      <c r="KP41" s="114"/>
      <c r="KQ41" s="114"/>
      <c r="KR41" s="114"/>
      <c r="KS41" s="114"/>
      <c r="KT41" s="114"/>
      <c r="KU41" s="114"/>
      <c r="KV41" s="114"/>
      <c r="KW41" s="114"/>
      <c r="KX41" s="114"/>
      <c r="KY41" s="114"/>
      <c r="KZ41" s="114"/>
      <c r="LA41" s="114"/>
      <c r="LB41" s="114"/>
      <c r="LC41" s="114"/>
      <c r="LD41" s="114"/>
      <c r="LE41" s="114"/>
      <c r="LF41" s="114"/>
      <c r="LG41" s="114"/>
      <c r="LH41" s="114"/>
      <c r="LI41" s="114"/>
      <c r="LJ41" s="114"/>
      <c r="LK41" s="114"/>
    </row>
    <row r="42" spans="1:323" ht="47.25" x14ac:dyDescent="0.25">
      <c r="A42" s="127"/>
      <c r="B42" s="133"/>
      <c r="C42" s="127"/>
      <c r="D42" s="135"/>
      <c r="E42" s="127"/>
      <c r="F42" s="126"/>
      <c r="G42" s="20" t="s">
        <v>56</v>
      </c>
      <c r="H42" s="24" t="s">
        <v>31</v>
      </c>
      <c r="I42" s="78" t="s">
        <v>269</v>
      </c>
      <c r="J42" s="78" t="s">
        <v>269</v>
      </c>
      <c r="K42" s="78" t="s">
        <v>269</v>
      </c>
      <c r="L42" s="78" t="s">
        <v>269</v>
      </c>
      <c r="M42" s="78" t="s">
        <v>269</v>
      </c>
      <c r="N42" s="78" t="s">
        <v>269</v>
      </c>
      <c r="O42" s="78" t="s">
        <v>269</v>
      </c>
      <c r="P42" s="78" t="s">
        <v>269</v>
      </c>
      <c r="Q42" s="78" t="s">
        <v>269</v>
      </c>
      <c r="R42" s="78" t="s">
        <v>269</v>
      </c>
      <c r="S42" s="78" t="s">
        <v>269</v>
      </c>
      <c r="T42" s="78" t="s">
        <v>269</v>
      </c>
      <c r="U42" s="78" t="s">
        <v>269</v>
      </c>
      <c r="V42" s="78" t="s">
        <v>269</v>
      </c>
      <c r="W42" s="78" t="s">
        <v>269</v>
      </c>
      <c r="X42" s="78" t="s">
        <v>269</v>
      </c>
      <c r="Y42" s="78" t="s">
        <v>269</v>
      </c>
      <c r="Z42" s="78" t="s">
        <v>269</v>
      </c>
      <c r="AA42" s="78" t="s">
        <v>269</v>
      </c>
      <c r="AB42" s="78" t="s">
        <v>269</v>
      </c>
      <c r="AC42" s="78" t="s">
        <v>269</v>
      </c>
      <c r="AD42" s="78" t="s">
        <v>269</v>
      </c>
      <c r="AE42" s="78" t="s">
        <v>269</v>
      </c>
      <c r="AF42" s="78" t="s">
        <v>269</v>
      </c>
      <c r="AG42" s="78" t="s">
        <v>269</v>
      </c>
      <c r="AH42" s="78" t="s">
        <v>269</v>
      </c>
      <c r="AI42" s="78" t="s">
        <v>269</v>
      </c>
      <c r="AJ42" s="78" t="s">
        <v>269</v>
      </c>
      <c r="AK42" s="78" t="s">
        <v>269</v>
      </c>
      <c r="AL42" s="78" t="s">
        <v>269</v>
      </c>
      <c r="AM42" s="78" t="s">
        <v>269</v>
      </c>
      <c r="AN42" s="78" t="s">
        <v>269</v>
      </c>
      <c r="AO42" s="78" t="s">
        <v>269</v>
      </c>
      <c r="AP42" s="78" t="s">
        <v>269</v>
      </c>
      <c r="AQ42" s="78" t="s">
        <v>269</v>
      </c>
      <c r="AR42" s="78" t="s">
        <v>269</v>
      </c>
      <c r="AS42" s="78" t="s">
        <v>269</v>
      </c>
      <c r="AT42" s="78" t="s">
        <v>269</v>
      </c>
      <c r="AU42" s="78" t="s">
        <v>269</v>
      </c>
      <c r="AV42" s="78" t="s">
        <v>269</v>
      </c>
      <c r="AW42" s="78"/>
      <c r="AX42" s="78"/>
      <c r="AY42" s="78"/>
      <c r="AZ42" s="78"/>
      <c r="BA42" s="78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2"/>
      <c r="CF42" s="122"/>
      <c r="CG42" s="122"/>
      <c r="CH42" s="122"/>
      <c r="CI42" s="122"/>
      <c r="CJ42" s="122"/>
      <c r="CK42" s="122"/>
      <c r="CL42" s="122"/>
      <c r="CM42" s="122"/>
      <c r="CN42" s="122"/>
      <c r="CO42" s="122"/>
      <c r="CP42" s="122"/>
      <c r="CQ42" s="122"/>
      <c r="CR42" s="122"/>
      <c r="CS42" s="122"/>
      <c r="CT42" s="122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0"/>
      <c r="EO42" s="120"/>
      <c r="EP42" s="120"/>
      <c r="EQ42" s="120"/>
      <c r="ER42" s="120"/>
      <c r="ES42" s="120"/>
      <c r="ET42" s="120"/>
      <c r="EU42" s="120"/>
      <c r="EV42" s="120"/>
      <c r="EW42" s="120"/>
      <c r="EX42" s="120"/>
      <c r="EY42" s="120"/>
      <c r="EZ42" s="120"/>
      <c r="FA42" s="120"/>
      <c r="FB42" s="120"/>
      <c r="FC42" s="120"/>
      <c r="FD42" s="120"/>
      <c r="FE42" s="120"/>
      <c r="FF42" s="120"/>
      <c r="FG42" s="120"/>
      <c r="FH42" s="120"/>
      <c r="FI42" s="120"/>
      <c r="FJ42" s="120"/>
      <c r="FK42" s="120"/>
      <c r="FL42" s="120"/>
      <c r="FM42" s="120"/>
      <c r="FN42" s="120"/>
      <c r="FO42" s="120"/>
      <c r="FP42" s="120"/>
      <c r="FQ42" s="120"/>
      <c r="FR42" s="120"/>
      <c r="FS42" s="120"/>
      <c r="FT42" s="120"/>
      <c r="FU42" s="120"/>
      <c r="FV42" s="120"/>
      <c r="FW42" s="120"/>
      <c r="FX42" s="120"/>
      <c r="FY42" s="120"/>
      <c r="FZ42" s="120"/>
      <c r="GA42" s="120"/>
      <c r="GB42" s="120"/>
      <c r="GC42" s="120"/>
      <c r="GD42" s="120"/>
      <c r="GE42" s="120"/>
      <c r="GF42" s="120"/>
      <c r="GG42" s="115"/>
      <c r="GH42" s="115"/>
      <c r="GI42" s="115"/>
      <c r="GJ42" s="115"/>
      <c r="GK42" s="115"/>
      <c r="GL42" s="115"/>
      <c r="GM42" s="115"/>
      <c r="GN42" s="115"/>
      <c r="GO42" s="115"/>
      <c r="GP42" s="115"/>
      <c r="GQ42" s="115"/>
      <c r="GR42" s="115"/>
      <c r="GS42" s="115"/>
      <c r="GT42" s="115"/>
      <c r="GU42" s="115"/>
      <c r="GV42" s="115"/>
      <c r="GW42" s="115"/>
      <c r="GX42" s="115"/>
      <c r="GY42" s="115"/>
      <c r="GZ42" s="115"/>
      <c r="HA42" s="115"/>
      <c r="HB42" s="115"/>
      <c r="HC42" s="115"/>
      <c r="HD42" s="115"/>
      <c r="HE42" s="115"/>
      <c r="HF42" s="115"/>
      <c r="HG42" s="115"/>
      <c r="HH42" s="115"/>
      <c r="HI42" s="115"/>
      <c r="HJ42" s="115"/>
      <c r="HK42" s="115"/>
      <c r="HL42" s="115"/>
      <c r="HM42" s="115"/>
      <c r="HN42" s="115"/>
      <c r="HO42" s="115"/>
      <c r="HP42" s="115"/>
      <c r="HQ42" s="115"/>
      <c r="HR42" s="115"/>
      <c r="HS42" s="115"/>
      <c r="HT42" s="115"/>
      <c r="HU42" s="115"/>
      <c r="HV42" s="115"/>
      <c r="HW42" s="115"/>
      <c r="HX42" s="115"/>
      <c r="HY42" s="115"/>
      <c r="HZ42" s="117"/>
      <c r="IA42" s="117"/>
      <c r="IB42" s="117"/>
      <c r="IC42" s="117"/>
      <c r="ID42" s="117"/>
      <c r="IE42" s="117"/>
      <c r="IF42" s="117"/>
      <c r="IG42" s="117"/>
      <c r="IH42" s="117"/>
      <c r="II42" s="117"/>
      <c r="IJ42" s="117"/>
      <c r="IK42" s="117"/>
      <c r="IL42" s="117"/>
      <c r="IM42" s="117"/>
      <c r="IN42" s="117"/>
      <c r="IO42" s="117"/>
      <c r="IP42" s="117"/>
      <c r="IQ42" s="117"/>
      <c r="IR42" s="117"/>
      <c r="IS42" s="117"/>
      <c r="IT42" s="117"/>
      <c r="IU42" s="117"/>
      <c r="IV42" s="117"/>
      <c r="IW42" s="117"/>
      <c r="IX42" s="117"/>
      <c r="IY42" s="117"/>
      <c r="IZ42" s="117"/>
      <c r="JA42" s="117"/>
      <c r="JB42" s="117"/>
      <c r="JC42" s="117"/>
      <c r="JD42" s="117"/>
      <c r="JE42" s="117"/>
      <c r="JF42" s="117"/>
      <c r="JG42" s="117"/>
      <c r="JH42" s="117"/>
      <c r="JI42" s="117"/>
      <c r="JJ42" s="117"/>
      <c r="JK42" s="117"/>
      <c r="JL42" s="117"/>
      <c r="JM42" s="117"/>
      <c r="JN42" s="117"/>
      <c r="JO42" s="117"/>
      <c r="JP42" s="117"/>
      <c r="JQ42" s="117"/>
      <c r="JR42" s="117"/>
      <c r="JS42" s="114"/>
      <c r="JT42" s="114"/>
      <c r="JU42" s="114"/>
      <c r="JV42" s="114"/>
      <c r="JW42" s="114"/>
      <c r="JX42" s="114"/>
      <c r="JY42" s="114"/>
      <c r="JZ42" s="114"/>
      <c r="KA42" s="114"/>
      <c r="KB42" s="114"/>
      <c r="KC42" s="114"/>
      <c r="KD42" s="114"/>
      <c r="KE42" s="114"/>
      <c r="KF42" s="114"/>
      <c r="KG42" s="114"/>
      <c r="KH42" s="114"/>
      <c r="KI42" s="114"/>
      <c r="KJ42" s="114"/>
      <c r="KK42" s="114"/>
      <c r="KL42" s="114"/>
      <c r="KM42" s="114"/>
      <c r="KN42" s="114"/>
      <c r="KO42" s="114"/>
      <c r="KP42" s="114"/>
      <c r="KQ42" s="114"/>
      <c r="KR42" s="114"/>
      <c r="KS42" s="114"/>
      <c r="KT42" s="114"/>
      <c r="KU42" s="114"/>
      <c r="KV42" s="114"/>
      <c r="KW42" s="114"/>
      <c r="KX42" s="114"/>
      <c r="KY42" s="114"/>
      <c r="KZ42" s="114"/>
      <c r="LA42" s="114"/>
      <c r="LB42" s="114"/>
      <c r="LC42" s="114"/>
      <c r="LD42" s="114"/>
      <c r="LE42" s="114"/>
      <c r="LF42" s="114"/>
      <c r="LG42" s="114"/>
      <c r="LH42" s="114"/>
      <c r="LI42" s="114"/>
      <c r="LJ42" s="114"/>
      <c r="LK42" s="114"/>
    </row>
    <row r="43" spans="1:323" ht="46.9" customHeight="1" x14ac:dyDescent="0.25">
      <c r="A43" s="127"/>
      <c r="B43" s="133"/>
      <c r="C43" s="127"/>
      <c r="D43" s="135"/>
      <c r="E43" s="127">
        <v>3</v>
      </c>
      <c r="F43" s="126" t="s">
        <v>28</v>
      </c>
      <c r="G43" s="20" t="s">
        <v>56</v>
      </c>
      <c r="H43" s="23" t="s">
        <v>32</v>
      </c>
      <c r="I43" s="78" t="s">
        <v>269</v>
      </c>
      <c r="J43" s="78" t="s">
        <v>269</v>
      </c>
      <c r="K43" s="78" t="s">
        <v>269</v>
      </c>
      <c r="L43" s="78" t="s">
        <v>269</v>
      </c>
      <c r="M43" s="78" t="s">
        <v>269</v>
      </c>
      <c r="N43" s="78" t="s">
        <v>269</v>
      </c>
      <c r="O43" s="78" t="s">
        <v>269</v>
      </c>
      <c r="P43" s="78" t="s">
        <v>269</v>
      </c>
      <c r="Q43" s="78" t="s">
        <v>269</v>
      </c>
      <c r="R43" s="78" t="s">
        <v>269</v>
      </c>
      <c r="S43" s="78" t="s">
        <v>269</v>
      </c>
      <c r="T43" s="78" t="s">
        <v>269</v>
      </c>
      <c r="U43" s="78" t="s">
        <v>269</v>
      </c>
      <c r="V43" s="78" t="s">
        <v>269</v>
      </c>
      <c r="W43" s="78" t="s">
        <v>269</v>
      </c>
      <c r="X43" s="78" t="s">
        <v>269</v>
      </c>
      <c r="Y43" s="78" t="s">
        <v>269</v>
      </c>
      <c r="Z43" s="78" t="s">
        <v>269</v>
      </c>
      <c r="AA43" s="78" t="s">
        <v>269</v>
      </c>
      <c r="AB43" s="78" t="s">
        <v>269</v>
      </c>
      <c r="AC43" s="78" t="s">
        <v>269</v>
      </c>
      <c r="AD43" s="78" t="s">
        <v>269</v>
      </c>
      <c r="AE43" s="78" t="s">
        <v>269</v>
      </c>
      <c r="AF43" s="78" t="s">
        <v>269</v>
      </c>
      <c r="AG43" s="78" t="s">
        <v>269</v>
      </c>
      <c r="AH43" s="78" t="s">
        <v>269</v>
      </c>
      <c r="AI43" s="78" t="s">
        <v>269</v>
      </c>
      <c r="AJ43" s="78" t="s">
        <v>269</v>
      </c>
      <c r="AK43" s="78" t="s">
        <v>269</v>
      </c>
      <c r="AL43" s="78" t="s">
        <v>269</v>
      </c>
      <c r="AM43" s="78" t="s">
        <v>269</v>
      </c>
      <c r="AN43" s="78" t="s">
        <v>269</v>
      </c>
      <c r="AO43" s="78" t="s">
        <v>269</v>
      </c>
      <c r="AP43" s="78" t="s">
        <v>269</v>
      </c>
      <c r="AQ43" s="78" t="s">
        <v>269</v>
      </c>
      <c r="AR43" s="78" t="s">
        <v>269</v>
      </c>
      <c r="AS43" s="78" t="s">
        <v>269</v>
      </c>
      <c r="AT43" s="78" t="s">
        <v>269</v>
      </c>
      <c r="AU43" s="78" t="s">
        <v>269</v>
      </c>
      <c r="AV43" s="78" t="s">
        <v>269</v>
      </c>
      <c r="AW43" s="78"/>
      <c r="AX43" s="78"/>
      <c r="AY43" s="78"/>
      <c r="AZ43" s="78"/>
      <c r="BA43" s="78"/>
      <c r="BB43" s="122">
        <f t="shared" ref="BB43:CO43" si="111">IF(AND(I43="",I44=""),"",COUNTIF(I43:I44,"v"))</f>
        <v>2</v>
      </c>
      <c r="BC43" s="122">
        <f t="shared" si="111"/>
        <v>2</v>
      </c>
      <c r="BD43" s="122">
        <f t="shared" si="111"/>
        <v>2</v>
      </c>
      <c r="BE43" s="122">
        <f t="shared" si="111"/>
        <v>2</v>
      </c>
      <c r="BF43" s="122">
        <f t="shared" si="111"/>
        <v>2</v>
      </c>
      <c r="BG43" s="122">
        <f t="shared" si="111"/>
        <v>2</v>
      </c>
      <c r="BH43" s="122">
        <f t="shared" si="111"/>
        <v>2</v>
      </c>
      <c r="BI43" s="122">
        <f t="shared" si="111"/>
        <v>2</v>
      </c>
      <c r="BJ43" s="122">
        <f t="shared" si="111"/>
        <v>2</v>
      </c>
      <c r="BK43" s="122">
        <f t="shared" si="111"/>
        <v>2</v>
      </c>
      <c r="BL43" s="122">
        <f t="shared" si="111"/>
        <v>2</v>
      </c>
      <c r="BM43" s="122">
        <f t="shared" si="111"/>
        <v>2</v>
      </c>
      <c r="BN43" s="122">
        <f t="shared" si="111"/>
        <v>2</v>
      </c>
      <c r="BO43" s="122">
        <f t="shared" si="111"/>
        <v>2</v>
      </c>
      <c r="BP43" s="122">
        <f t="shared" si="111"/>
        <v>2</v>
      </c>
      <c r="BQ43" s="122">
        <f t="shared" si="111"/>
        <v>2</v>
      </c>
      <c r="BR43" s="122">
        <f t="shared" si="111"/>
        <v>2</v>
      </c>
      <c r="BS43" s="122">
        <f t="shared" si="111"/>
        <v>2</v>
      </c>
      <c r="BT43" s="122">
        <f t="shared" si="111"/>
        <v>2</v>
      </c>
      <c r="BU43" s="122">
        <f t="shared" si="111"/>
        <v>2</v>
      </c>
      <c r="BV43" s="122">
        <f t="shared" si="111"/>
        <v>2</v>
      </c>
      <c r="BW43" s="122">
        <f t="shared" si="111"/>
        <v>2</v>
      </c>
      <c r="BX43" s="122">
        <f t="shared" si="111"/>
        <v>2</v>
      </c>
      <c r="BY43" s="122">
        <f t="shared" si="111"/>
        <v>2</v>
      </c>
      <c r="BZ43" s="122">
        <f t="shared" si="111"/>
        <v>2</v>
      </c>
      <c r="CA43" s="122">
        <f t="shared" si="111"/>
        <v>2</v>
      </c>
      <c r="CB43" s="122">
        <f t="shared" si="111"/>
        <v>2</v>
      </c>
      <c r="CC43" s="122">
        <f t="shared" si="111"/>
        <v>2</v>
      </c>
      <c r="CD43" s="122">
        <f t="shared" si="111"/>
        <v>2</v>
      </c>
      <c r="CE43" s="122">
        <f t="shared" si="111"/>
        <v>2</v>
      </c>
      <c r="CF43" s="122">
        <f t="shared" si="111"/>
        <v>2</v>
      </c>
      <c r="CG43" s="122">
        <f t="shared" si="111"/>
        <v>2</v>
      </c>
      <c r="CH43" s="122">
        <f t="shared" si="111"/>
        <v>2</v>
      </c>
      <c r="CI43" s="122">
        <f t="shared" si="111"/>
        <v>2</v>
      </c>
      <c r="CJ43" s="122">
        <f t="shared" si="111"/>
        <v>2</v>
      </c>
      <c r="CK43" s="122">
        <f t="shared" si="111"/>
        <v>2</v>
      </c>
      <c r="CL43" s="122">
        <f t="shared" si="111"/>
        <v>2</v>
      </c>
      <c r="CM43" s="122">
        <f t="shared" si="111"/>
        <v>2</v>
      </c>
      <c r="CN43" s="122">
        <f t="shared" si="111"/>
        <v>2</v>
      </c>
      <c r="CO43" s="122">
        <f t="shared" si="111"/>
        <v>2</v>
      </c>
      <c r="CP43" s="122" t="str">
        <f t="shared" ref="CP43:CT43" si="112">IF(AND(AW43="",AW44=""),"",COUNTIF(AW43:AW44,"v"))</f>
        <v/>
      </c>
      <c r="CQ43" s="122" t="str">
        <f t="shared" si="112"/>
        <v/>
      </c>
      <c r="CR43" s="122" t="str">
        <f t="shared" si="112"/>
        <v/>
      </c>
      <c r="CS43" s="122" t="str">
        <f t="shared" si="112"/>
        <v/>
      </c>
      <c r="CT43" s="122" t="str">
        <f t="shared" si="112"/>
        <v/>
      </c>
      <c r="CU43" s="121" t="str">
        <f t="shared" ref="CU43" si="113">IF(BB43="","",IF(BB43=0,"Ditolak",IF(BB43=1,"Diperbaiki","Digunakan")))</f>
        <v>Digunakan</v>
      </c>
      <c r="CV43" s="121" t="str">
        <f t="shared" ref="CV43:EH43" si="114">IF(BC43="","",IF(BC43=0,"Ditolak",IF(AND(BC43&gt;=1,BC43&lt;2),"Diperbaiki","Digunakan")))</f>
        <v>Digunakan</v>
      </c>
      <c r="CW43" s="121" t="str">
        <f t="shared" si="114"/>
        <v>Digunakan</v>
      </c>
      <c r="CX43" s="121" t="str">
        <f t="shared" si="114"/>
        <v>Digunakan</v>
      </c>
      <c r="CY43" s="121" t="str">
        <f t="shared" si="114"/>
        <v>Digunakan</v>
      </c>
      <c r="CZ43" s="121" t="str">
        <f t="shared" si="114"/>
        <v>Digunakan</v>
      </c>
      <c r="DA43" s="121" t="str">
        <f t="shared" si="114"/>
        <v>Digunakan</v>
      </c>
      <c r="DB43" s="121" t="str">
        <f t="shared" si="114"/>
        <v>Digunakan</v>
      </c>
      <c r="DC43" s="121" t="str">
        <f t="shared" si="114"/>
        <v>Digunakan</v>
      </c>
      <c r="DD43" s="121" t="str">
        <f t="shared" si="114"/>
        <v>Digunakan</v>
      </c>
      <c r="DE43" s="121" t="str">
        <f t="shared" si="114"/>
        <v>Digunakan</v>
      </c>
      <c r="DF43" s="121" t="str">
        <f t="shared" si="114"/>
        <v>Digunakan</v>
      </c>
      <c r="DG43" s="121" t="str">
        <f t="shared" si="114"/>
        <v>Digunakan</v>
      </c>
      <c r="DH43" s="121" t="str">
        <f t="shared" si="114"/>
        <v>Digunakan</v>
      </c>
      <c r="DI43" s="121" t="str">
        <f t="shared" si="114"/>
        <v>Digunakan</v>
      </c>
      <c r="DJ43" s="121" t="str">
        <f t="shared" si="114"/>
        <v>Digunakan</v>
      </c>
      <c r="DK43" s="121" t="str">
        <f t="shared" si="114"/>
        <v>Digunakan</v>
      </c>
      <c r="DL43" s="121" t="str">
        <f t="shared" si="114"/>
        <v>Digunakan</v>
      </c>
      <c r="DM43" s="121" t="str">
        <f t="shared" si="114"/>
        <v>Digunakan</v>
      </c>
      <c r="DN43" s="121" t="str">
        <f t="shared" si="114"/>
        <v>Digunakan</v>
      </c>
      <c r="DO43" s="121" t="str">
        <f t="shared" si="114"/>
        <v>Digunakan</v>
      </c>
      <c r="DP43" s="121" t="str">
        <f t="shared" si="114"/>
        <v>Digunakan</v>
      </c>
      <c r="DQ43" s="121" t="str">
        <f t="shared" si="114"/>
        <v>Digunakan</v>
      </c>
      <c r="DR43" s="121" t="str">
        <f t="shared" si="114"/>
        <v>Digunakan</v>
      </c>
      <c r="DS43" s="121" t="str">
        <f t="shared" si="114"/>
        <v>Digunakan</v>
      </c>
      <c r="DT43" s="121" t="str">
        <f t="shared" si="114"/>
        <v>Digunakan</v>
      </c>
      <c r="DU43" s="121" t="str">
        <f t="shared" si="114"/>
        <v>Digunakan</v>
      </c>
      <c r="DV43" s="121" t="str">
        <f t="shared" si="114"/>
        <v>Digunakan</v>
      </c>
      <c r="DW43" s="121" t="str">
        <f t="shared" si="114"/>
        <v>Digunakan</v>
      </c>
      <c r="DX43" s="121" t="str">
        <f t="shared" si="114"/>
        <v>Digunakan</v>
      </c>
      <c r="DY43" s="121" t="str">
        <f t="shared" si="114"/>
        <v>Digunakan</v>
      </c>
      <c r="DZ43" s="121" t="str">
        <f t="shared" si="114"/>
        <v>Digunakan</v>
      </c>
      <c r="EA43" s="121" t="str">
        <f t="shared" si="114"/>
        <v>Digunakan</v>
      </c>
      <c r="EB43" s="121" t="str">
        <f t="shared" si="114"/>
        <v>Digunakan</v>
      </c>
      <c r="EC43" s="121" t="str">
        <f t="shared" si="114"/>
        <v>Digunakan</v>
      </c>
      <c r="ED43" s="121" t="str">
        <f t="shared" si="114"/>
        <v>Digunakan</v>
      </c>
      <c r="EE43" s="121" t="str">
        <f t="shared" si="114"/>
        <v>Digunakan</v>
      </c>
      <c r="EF43" s="121" t="str">
        <f t="shared" si="114"/>
        <v>Digunakan</v>
      </c>
      <c r="EG43" s="121" t="str">
        <f t="shared" si="114"/>
        <v>Digunakan</v>
      </c>
      <c r="EH43" s="121" t="str">
        <f t="shared" si="114"/>
        <v>Digunakan</v>
      </c>
      <c r="EI43" s="121" t="str">
        <f t="shared" ref="EI43:EM43" si="115">IF(CP43="","",IF(CP43=0,"Ditolak",IF(AND(CP43&gt;=1,CP43&lt;2),"Diperbaiki","Digunakan")))</f>
        <v/>
      </c>
      <c r="EJ43" s="121" t="str">
        <f t="shared" si="115"/>
        <v/>
      </c>
      <c r="EK43" s="121" t="str">
        <f t="shared" si="115"/>
        <v/>
      </c>
      <c r="EL43" s="121" t="str">
        <f t="shared" si="115"/>
        <v/>
      </c>
      <c r="EM43" s="121" t="str">
        <f t="shared" si="115"/>
        <v/>
      </c>
      <c r="EN43" s="120"/>
      <c r="EO43" s="120"/>
      <c r="EP43" s="120"/>
      <c r="EQ43" s="120"/>
      <c r="ER43" s="120"/>
      <c r="ES43" s="120"/>
      <c r="ET43" s="120"/>
      <c r="EU43" s="120"/>
      <c r="EV43" s="120"/>
      <c r="EW43" s="120"/>
      <c r="EX43" s="120"/>
      <c r="EY43" s="120"/>
      <c r="EZ43" s="120"/>
      <c r="FA43" s="120"/>
      <c r="FB43" s="120"/>
      <c r="FC43" s="120"/>
      <c r="FD43" s="120"/>
      <c r="FE43" s="120"/>
      <c r="FF43" s="120"/>
      <c r="FG43" s="120"/>
      <c r="FH43" s="120"/>
      <c r="FI43" s="120"/>
      <c r="FJ43" s="120"/>
      <c r="FK43" s="120"/>
      <c r="FL43" s="120"/>
      <c r="FM43" s="120"/>
      <c r="FN43" s="120"/>
      <c r="FO43" s="120"/>
      <c r="FP43" s="120"/>
      <c r="FQ43" s="120"/>
      <c r="FR43" s="120"/>
      <c r="FS43" s="120"/>
      <c r="FT43" s="120"/>
      <c r="FU43" s="120"/>
      <c r="FV43" s="120"/>
      <c r="FW43" s="120"/>
      <c r="FX43" s="120"/>
      <c r="FY43" s="120"/>
      <c r="FZ43" s="120"/>
      <c r="GA43" s="120"/>
      <c r="GB43" s="120"/>
      <c r="GC43" s="120"/>
      <c r="GD43" s="120"/>
      <c r="GE43" s="120"/>
      <c r="GF43" s="120"/>
      <c r="GG43" s="115"/>
      <c r="GH43" s="115"/>
      <c r="GI43" s="115"/>
      <c r="GJ43" s="115"/>
      <c r="GK43" s="115"/>
      <c r="GL43" s="115"/>
      <c r="GM43" s="115"/>
      <c r="GN43" s="115"/>
      <c r="GO43" s="115"/>
      <c r="GP43" s="115"/>
      <c r="GQ43" s="115"/>
      <c r="GR43" s="115"/>
      <c r="GS43" s="115"/>
      <c r="GT43" s="115"/>
      <c r="GU43" s="115"/>
      <c r="GV43" s="115"/>
      <c r="GW43" s="115"/>
      <c r="GX43" s="115"/>
      <c r="GY43" s="115"/>
      <c r="GZ43" s="115"/>
      <c r="HA43" s="115"/>
      <c r="HB43" s="115"/>
      <c r="HC43" s="115"/>
      <c r="HD43" s="115"/>
      <c r="HE43" s="115"/>
      <c r="HF43" s="115"/>
      <c r="HG43" s="115"/>
      <c r="HH43" s="115"/>
      <c r="HI43" s="115"/>
      <c r="HJ43" s="115"/>
      <c r="HK43" s="115"/>
      <c r="HL43" s="115"/>
      <c r="HM43" s="115"/>
      <c r="HN43" s="115"/>
      <c r="HO43" s="115"/>
      <c r="HP43" s="115"/>
      <c r="HQ43" s="115"/>
      <c r="HR43" s="115"/>
      <c r="HS43" s="115"/>
      <c r="HT43" s="115"/>
      <c r="HU43" s="115"/>
      <c r="HV43" s="115"/>
      <c r="HW43" s="115"/>
      <c r="HX43" s="115"/>
      <c r="HY43" s="115"/>
      <c r="HZ43" s="117"/>
      <c r="IA43" s="117"/>
      <c r="IB43" s="117"/>
      <c r="IC43" s="117"/>
      <c r="ID43" s="117"/>
      <c r="IE43" s="117"/>
      <c r="IF43" s="117"/>
      <c r="IG43" s="117"/>
      <c r="IH43" s="117"/>
      <c r="II43" s="117"/>
      <c r="IJ43" s="117"/>
      <c r="IK43" s="117"/>
      <c r="IL43" s="117"/>
      <c r="IM43" s="117"/>
      <c r="IN43" s="117"/>
      <c r="IO43" s="117"/>
      <c r="IP43" s="117"/>
      <c r="IQ43" s="117"/>
      <c r="IR43" s="117"/>
      <c r="IS43" s="117"/>
      <c r="IT43" s="117"/>
      <c r="IU43" s="117"/>
      <c r="IV43" s="117"/>
      <c r="IW43" s="117"/>
      <c r="IX43" s="117"/>
      <c r="IY43" s="117"/>
      <c r="IZ43" s="117"/>
      <c r="JA43" s="117"/>
      <c r="JB43" s="117"/>
      <c r="JC43" s="117"/>
      <c r="JD43" s="117"/>
      <c r="JE43" s="117"/>
      <c r="JF43" s="117"/>
      <c r="JG43" s="117"/>
      <c r="JH43" s="117"/>
      <c r="JI43" s="117"/>
      <c r="JJ43" s="117"/>
      <c r="JK43" s="117"/>
      <c r="JL43" s="117"/>
      <c r="JM43" s="117"/>
      <c r="JN43" s="117"/>
      <c r="JO43" s="117"/>
      <c r="JP43" s="117"/>
      <c r="JQ43" s="117"/>
      <c r="JR43" s="117"/>
      <c r="JS43" s="114"/>
      <c r="JT43" s="114"/>
      <c r="JU43" s="114"/>
      <c r="JV43" s="114"/>
      <c r="JW43" s="114"/>
      <c r="JX43" s="114"/>
      <c r="JY43" s="114"/>
      <c r="JZ43" s="114"/>
      <c r="KA43" s="114"/>
      <c r="KB43" s="114"/>
      <c r="KC43" s="114"/>
      <c r="KD43" s="114"/>
      <c r="KE43" s="114"/>
      <c r="KF43" s="114"/>
      <c r="KG43" s="114"/>
      <c r="KH43" s="114"/>
      <c r="KI43" s="114"/>
      <c r="KJ43" s="114"/>
      <c r="KK43" s="114"/>
      <c r="KL43" s="114"/>
      <c r="KM43" s="114"/>
      <c r="KN43" s="114"/>
      <c r="KO43" s="114"/>
      <c r="KP43" s="114"/>
      <c r="KQ43" s="114"/>
      <c r="KR43" s="114"/>
      <c r="KS43" s="114"/>
      <c r="KT43" s="114"/>
      <c r="KU43" s="114"/>
      <c r="KV43" s="114"/>
      <c r="KW43" s="114"/>
      <c r="KX43" s="114"/>
      <c r="KY43" s="114"/>
      <c r="KZ43" s="114"/>
      <c r="LA43" s="114"/>
      <c r="LB43" s="114"/>
      <c r="LC43" s="114"/>
      <c r="LD43" s="114"/>
      <c r="LE43" s="114"/>
      <c r="LF43" s="114"/>
      <c r="LG43" s="114"/>
      <c r="LH43" s="114"/>
      <c r="LI43" s="114"/>
      <c r="LJ43" s="114"/>
      <c r="LK43" s="114"/>
    </row>
    <row r="44" spans="1:323" ht="31.5" x14ac:dyDescent="0.25">
      <c r="A44" s="127"/>
      <c r="B44" s="133"/>
      <c r="C44" s="127"/>
      <c r="D44" s="135"/>
      <c r="E44" s="127"/>
      <c r="F44" s="126"/>
      <c r="G44" s="20" t="s">
        <v>56</v>
      </c>
      <c r="H44" s="24" t="s">
        <v>33</v>
      </c>
      <c r="I44" s="78" t="s">
        <v>269</v>
      </c>
      <c r="J44" s="78" t="s">
        <v>269</v>
      </c>
      <c r="K44" s="78" t="s">
        <v>269</v>
      </c>
      <c r="L44" s="78" t="s">
        <v>269</v>
      </c>
      <c r="M44" s="78" t="s">
        <v>269</v>
      </c>
      <c r="N44" s="78" t="s">
        <v>269</v>
      </c>
      <c r="O44" s="78" t="s">
        <v>269</v>
      </c>
      <c r="P44" s="78" t="s">
        <v>269</v>
      </c>
      <c r="Q44" s="78" t="s">
        <v>269</v>
      </c>
      <c r="R44" s="78" t="s">
        <v>269</v>
      </c>
      <c r="S44" s="78" t="s">
        <v>269</v>
      </c>
      <c r="T44" s="78" t="s">
        <v>269</v>
      </c>
      <c r="U44" s="78" t="s">
        <v>269</v>
      </c>
      <c r="V44" s="78" t="s">
        <v>269</v>
      </c>
      <c r="W44" s="78" t="s">
        <v>269</v>
      </c>
      <c r="X44" s="78" t="s">
        <v>269</v>
      </c>
      <c r="Y44" s="78" t="s">
        <v>269</v>
      </c>
      <c r="Z44" s="78" t="s">
        <v>269</v>
      </c>
      <c r="AA44" s="78" t="s">
        <v>269</v>
      </c>
      <c r="AB44" s="78" t="s">
        <v>269</v>
      </c>
      <c r="AC44" s="78" t="s">
        <v>269</v>
      </c>
      <c r="AD44" s="78" t="s">
        <v>269</v>
      </c>
      <c r="AE44" s="78" t="s">
        <v>269</v>
      </c>
      <c r="AF44" s="78" t="s">
        <v>269</v>
      </c>
      <c r="AG44" s="78" t="s">
        <v>269</v>
      </c>
      <c r="AH44" s="78" t="s">
        <v>269</v>
      </c>
      <c r="AI44" s="78" t="s">
        <v>269</v>
      </c>
      <c r="AJ44" s="78" t="s">
        <v>269</v>
      </c>
      <c r="AK44" s="78" t="s">
        <v>269</v>
      </c>
      <c r="AL44" s="78" t="s">
        <v>269</v>
      </c>
      <c r="AM44" s="78" t="s">
        <v>269</v>
      </c>
      <c r="AN44" s="78" t="s">
        <v>269</v>
      </c>
      <c r="AO44" s="78" t="s">
        <v>269</v>
      </c>
      <c r="AP44" s="78" t="s">
        <v>269</v>
      </c>
      <c r="AQ44" s="78" t="s">
        <v>269</v>
      </c>
      <c r="AR44" s="78" t="s">
        <v>269</v>
      </c>
      <c r="AS44" s="78" t="s">
        <v>269</v>
      </c>
      <c r="AT44" s="78" t="s">
        <v>269</v>
      </c>
      <c r="AU44" s="78" t="s">
        <v>269</v>
      </c>
      <c r="AV44" s="78" t="s">
        <v>269</v>
      </c>
      <c r="AW44" s="78"/>
      <c r="AX44" s="78"/>
      <c r="AY44" s="78"/>
      <c r="AZ44" s="78"/>
      <c r="BA44" s="78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0"/>
      <c r="EO44" s="120"/>
      <c r="EP44" s="120"/>
      <c r="EQ44" s="120"/>
      <c r="ER44" s="120"/>
      <c r="ES44" s="120"/>
      <c r="ET44" s="120"/>
      <c r="EU44" s="120"/>
      <c r="EV44" s="120"/>
      <c r="EW44" s="120"/>
      <c r="EX44" s="120"/>
      <c r="EY44" s="120"/>
      <c r="EZ44" s="120"/>
      <c r="FA44" s="120"/>
      <c r="FB44" s="120"/>
      <c r="FC44" s="120"/>
      <c r="FD44" s="120"/>
      <c r="FE44" s="120"/>
      <c r="FF44" s="120"/>
      <c r="FG44" s="120"/>
      <c r="FH44" s="120"/>
      <c r="FI44" s="120"/>
      <c r="FJ44" s="120"/>
      <c r="FK44" s="120"/>
      <c r="FL44" s="120"/>
      <c r="FM44" s="120"/>
      <c r="FN44" s="120"/>
      <c r="FO44" s="120"/>
      <c r="FP44" s="120"/>
      <c r="FQ44" s="120"/>
      <c r="FR44" s="120"/>
      <c r="FS44" s="120"/>
      <c r="FT44" s="120"/>
      <c r="FU44" s="120"/>
      <c r="FV44" s="120"/>
      <c r="FW44" s="120"/>
      <c r="FX44" s="120"/>
      <c r="FY44" s="120"/>
      <c r="FZ44" s="120"/>
      <c r="GA44" s="120"/>
      <c r="GB44" s="120"/>
      <c r="GC44" s="120"/>
      <c r="GD44" s="120"/>
      <c r="GE44" s="120"/>
      <c r="GF44" s="120"/>
      <c r="GG44" s="115"/>
      <c r="GH44" s="115"/>
      <c r="GI44" s="115"/>
      <c r="GJ44" s="115"/>
      <c r="GK44" s="115"/>
      <c r="GL44" s="115"/>
      <c r="GM44" s="115"/>
      <c r="GN44" s="115"/>
      <c r="GO44" s="115"/>
      <c r="GP44" s="115"/>
      <c r="GQ44" s="115"/>
      <c r="GR44" s="115"/>
      <c r="GS44" s="115"/>
      <c r="GT44" s="115"/>
      <c r="GU44" s="115"/>
      <c r="GV44" s="115"/>
      <c r="GW44" s="115"/>
      <c r="GX44" s="115"/>
      <c r="GY44" s="115"/>
      <c r="GZ44" s="115"/>
      <c r="HA44" s="115"/>
      <c r="HB44" s="115"/>
      <c r="HC44" s="115"/>
      <c r="HD44" s="115"/>
      <c r="HE44" s="115"/>
      <c r="HF44" s="115"/>
      <c r="HG44" s="115"/>
      <c r="HH44" s="115"/>
      <c r="HI44" s="115"/>
      <c r="HJ44" s="115"/>
      <c r="HK44" s="115"/>
      <c r="HL44" s="115"/>
      <c r="HM44" s="115"/>
      <c r="HN44" s="115"/>
      <c r="HO44" s="115"/>
      <c r="HP44" s="115"/>
      <c r="HQ44" s="115"/>
      <c r="HR44" s="115"/>
      <c r="HS44" s="115"/>
      <c r="HT44" s="115"/>
      <c r="HU44" s="115"/>
      <c r="HV44" s="115"/>
      <c r="HW44" s="115"/>
      <c r="HX44" s="115"/>
      <c r="HY44" s="115"/>
      <c r="HZ44" s="117"/>
      <c r="IA44" s="117"/>
      <c r="IB44" s="117"/>
      <c r="IC44" s="117"/>
      <c r="ID44" s="117"/>
      <c r="IE44" s="117"/>
      <c r="IF44" s="117"/>
      <c r="IG44" s="117"/>
      <c r="IH44" s="117"/>
      <c r="II44" s="117"/>
      <c r="IJ44" s="117"/>
      <c r="IK44" s="117"/>
      <c r="IL44" s="117"/>
      <c r="IM44" s="117"/>
      <c r="IN44" s="117"/>
      <c r="IO44" s="117"/>
      <c r="IP44" s="117"/>
      <c r="IQ44" s="117"/>
      <c r="IR44" s="117"/>
      <c r="IS44" s="117"/>
      <c r="IT44" s="117"/>
      <c r="IU44" s="117"/>
      <c r="IV44" s="117"/>
      <c r="IW44" s="117"/>
      <c r="IX44" s="117"/>
      <c r="IY44" s="117"/>
      <c r="IZ44" s="117"/>
      <c r="JA44" s="117"/>
      <c r="JB44" s="117"/>
      <c r="JC44" s="117"/>
      <c r="JD44" s="117"/>
      <c r="JE44" s="117"/>
      <c r="JF44" s="117"/>
      <c r="JG44" s="117"/>
      <c r="JH44" s="117"/>
      <c r="JI44" s="117"/>
      <c r="JJ44" s="117"/>
      <c r="JK44" s="117"/>
      <c r="JL44" s="117"/>
      <c r="JM44" s="117"/>
      <c r="JN44" s="117"/>
      <c r="JO44" s="117"/>
      <c r="JP44" s="117"/>
      <c r="JQ44" s="117"/>
      <c r="JR44" s="117"/>
      <c r="JS44" s="114"/>
      <c r="JT44" s="114"/>
      <c r="JU44" s="114"/>
      <c r="JV44" s="114"/>
      <c r="JW44" s="114"/>
      <c r="JX44" s="114"/>
      <c r="JY44" s="114"/>
      <c r="JZ44" s="114"/>
      <c r="KA44" s="114"/>
      <c r="KB44" s="114"/>
      <c r="KC44" s="114"/>
      <c r="KD44" s="114"/>
      <c r="KE44" s="114"/>
      <c r="KF44" s="114"/>
      <c r="KG44" s="114"/>
      <c r="KH44" s="114"/>
      <c r="KI44" s="114"/>
      <c r="KJ44" s="114"/>
      <c r="KK44" s="114"/>
      <c r="KL44" s="114"/>
      <c r="KM44" s="114"/>
      <c r="KN44" s="114"/>
      <c r="KO44" s="114"/>
      <c r="KP44" s="114"/>
      <c r="KQ44" s="114"/>
      <c r="KR44" s="114"/>
      <c r="KS44" s="114"/>
      <c r="KT44" s="114"/>
      <c r="KU44" s="114"/>
      <c r="KV44" s="114"/>
      <c r="KW44" s="114"/>
      <c r="KX44" s="114"/>
      <c r="KY44" s="114"/>
      <c r="KZ44" s="114"/>
      <c r="LA44" s="114"/>
      <c r="LB44" s="114"/>
      <c r="LC44" s="114"/>
      <c r="LD44" s="114"/>
      <c r="LE44" s="114"/>
      <c r="LF44" s="114"/>
      <c r="LG44" s="114"/>
      <c r="LH44" s="114"/>
      <c r="LI44" s="114"/>
      <c r="LJ44" s="114"/>
      <c r="LK44" s="114"/>
    </row>
    <row r="45" spans="1:323" ht="48" customHeight="1" x14ac:dyDescent="0.25">
      <c r="A45" s="127"/>
      <c r="B45" s="133"/>
      <c r="C45" s="127"/>
      <c r="D45" s="135"/>
      <c r="E45" s="127">
        <v>4</v>
      </c>
      <c r="F45" s="126" t="s">
        <v>29</v>
      </c>
      <c r="G45" s="20" t="s">
        <v>56</v>
      </c>
      <c r="H45" s="23" t="s">
        <v>34</v>
      </c>
      <c r="I45" s="78" t="s">
        <v>269</v>
      </c>
      <c r="J45" s="78" t="s">
        <v>269</v>
      </c>
      <c r="K45" s="78" t="s">
        <v>269</v>
      </c>
      <c r="L45" s="78" t="s">
        <v>269</v>
      </c>
      <c r="M45" s="78" t="s">
        <v>269</v>
      </c>
      <c r="N45" s="78" t="s">
        <v>269</v>
      </c>
      <c r="O45" s="78" t="s">
        <v>269</v>
      </c>
      <c r="P45" s="78" t="s">
        <v>269</v>
      </c>
      <c r="Q45" s="78" t="s">
        <v>269</v>
      </c>
      <c r="R45" s="78" t="s">
        <v>269</v>
      </c>
      <c r="S45" s="78" t="s">
        <v>269</v>
      </c>
      <c r="T45" s="78" t="s">
        <v>269</v>
      </c>
      <c r="U45" s="78" t="s">
        <v>269</v>
      </c>
      <c r="V45" s="78" t="s">
        <v>269</v>
      </c>
      <c r="W45" s="78" t="s">
        <v>269</v>
      </c>
      <c r="X45" s="78" t="s">
        <v>269</v>
      </c>
      <c r="Y45" s="78" t="s">
        <v>269</v>
      </c>
      <c r="Z45" s="78" t="s">
        <v>269</v>
      </c>
      <c r="AA45" s="78" t="s">
        <v>269</v>
      </c>
      <c r="AB45" s="78" t="s">
        <v>269</v>
      </c>
      <c r="AC45" s="78" t="s">
        <v>269</v>
      </c>
      <c r="AD45" s="78" t="s">
        <v>269</v>
      </c>
      <c r="AE45" s="78" t="s">
        <v>269</v>
      </c>
      <c r="AF45" s="78" t="s">
        <v>269</v>
      </c>
      <c r="AG45" s="78" t="s">
        <v>269</v>
      </c>
      <c r="AH45" s="78" t="s">
        <v>269</v>
      </c>
      <c r="AI45" s="78" t="s">
        <v>269</v>
      </c>
      <c r="AJ45" s="78" t="s">
        <v>269</v>
      </c>
      <c r="AK45" s="78" t="s">
        <v>269</v>
      </c>
      <c r="AL45" s="78" t="s">
        <v>269</v>
      </c>
      <c r="AM45" s="78" t="s">
        <v>269</v>
      </c>
      <c r="AN45" s="78" t="s">
        <v>269</v>
      </c>
      <c r="AO45" s="78" t="s">
        <v>269</v>
      </c>
      <c r="AP45" s="78" t="s">
        <v>269</v>
      </c>
      <c r="AQ45" s="78" t="s">
        <v>269</v>
      </c>
      <c r="AR45" s="78" t="s">
        <v>269</v>
      </c>
      <c r="AS45" s="78" t="s">
        <v>269</v>
      </c>
      <c r="AT45" s="78" t="s">
        <v>269</v>
      </c>
      <c r="AU45" s="78" t="s">
        <v>269</v>
      </c>
      <c r="AV45" s="78" t="s">
        <v>269</v>
      </c>
      <c r="AW45" s="78"/>
      <c r="AX45" s="78"/>
      <c r="AY45" s="78"/>
      <c r="AZ45" s="78"/>
      <c r="BA45" s="78"/>
      <c r="BB45" s="122">
        <f t="shared" ref="BB45:CO45" si="116">IF(AND(I45="",I46=""),"",COUNTIF(I45:I46,"v"))</f>
        <v>2</v>
      </c>
      <c r="BC45" s="122">
        <f t="shared" si="116"/>
        <v>2</v>
      </c>
      <c r="BD45" s="122">
        <f t="shared" si="116"/>
        <v>2</v>
      </c>
      <c r="BE45" s="122">
        <f t="shared" si="116"/>
        <v>2</v>
      </c>
      <c r="BF45" s="122">
        <f t="shared" si="116"/>
        <v>2</v>
      </c>
      <c r="BG45" s="122">
        <f t="shared" si="116"/>
        <v>2</v>
      </c>
      <c r="BH45" s="122">
        <f t="shared" si="116"/>
        <v>2</v>
      </c>
      <c r="BI45" s="122">
        <f t="shared" si="116"/>
        <v>2</v>
      </c>
      <c r="BJ45" s="122">
        <f t="shared" si="116"/>
        <v>2</v>
      </c>
      <c r="BK45" s="122">
        <f t="shared" si="116"/>
        <v>2</v>
      </c>
      <c r="BL45" s="122">
        <f t="shared" si="116"/>
        <v>2</v>
      </c>
      <c r="BM45" s="122">
        <f t="shared" si="116"/>
        <v>2</v>
      </c>
      <c r="BN45" s="122">
        <f t="shared" si="116"/>
        <v>2</v>
      </c>
      <c r="BO45" s="122">
        <f t="shared" si="116"/>
        <v>2</v>
      </c>
      <c r="BP45" s="122">
        <f t="shared" si="116"/>
        <v>2</v>
      </c>
      <c r="BQ45" s="122">
        <f t="shared" si="116"/>
        <v>2</v>
      </c>
      <c r="BR45" s="122">
        <f t="shared" si="116"/>
        <v>2</v>
      </c>
      <c r="BS45" s="122">
        <f t="shared" si="116"/>
        <v>2</v>
      </c>
      <c r="BT45" s="122">
        <f t="shared" si="116"/>
        <v>2</v>
      </c>
      <c r="BU45" s="122">
        <f t="shared" si="116"/>
        <v>2</v>
      </c>
      <c r="BV45" s="122">
        <f t="shared" si="116"/>
        <v>2</v>
      </c>
      <c r="BW45" s="122">
        <f t="shared" si="116"/>
        <v>2</v>
      </c>
      <c r="BX45" s="122">
        <f t="shared" si="116"/>
        <v>2</v>
      </c>
      <c r="BY45" s="122">
        <f t="shared" si="116"/>
        <v>2</v>
      </c>
      <c r="BZ45" s="122">
        <f t="shared" si="116"/>
        <v>2</v>
      </c>
      <c r="CA45" s="122">
        <f t="shared" si="116"/>
        <v>2</v>
      </c>
      <c r="CB45" s="122">
        <f t="shared" si="116"/>
        <v>2</v>
      </c>
      <c r="CC45" s="122">
        <f t="shared" si="116"/>
        <v>2</v>
      </c>
      <c r="CD45" s="122">
        <f t="shared" si="116"/>
        <v>2</v>
      </c>
      <c r="CE45" s="122">
        <f t="shared" si="116"/>
        <v>2</v>
      </c>
      <c r="CF45" s="122">
        <f t="shared" si="116"/>
        <v>2</v>
      </c>
      <c r="CG45" s="122">
        <f t="shared" si="116"/>
        <v>2</v>
      </c>
      <c r="CH45" s="122">
        <f t="shared" si="116"/>
        <v>2</v>
      </c>
      <c r="CI45" s="122">
        <f t="shared" si="116"/>
        <v>2</v>
      </c>
      <c r="CJ45" s="122">
        <f t="shared" si="116"/>
        <v>2</v>
      </c>
      <c r="CK45" s="122">
        <f t="shared" si="116"/>
        <v>2</v>
      </c>
      <c r="CL45" s="122">
        <f t="shared" si="116"/>
        <v>2</v>
      </c>
      <c r="CM45" s="122">
        <f t="shared" si="116"/>
        <v>2</v>
      </c>
      <c r="CN45" s="122">
        <f t="shared" si="116"/>
        <v>2</v>
      </c>
      <c r="CO45" s="122">
        <f t="shared" si="116"/>
        <v>2</v>
      </c>
      <c r="CP45" s="122" t="str">
        <f t="shared" ref="CP45:CT45" si="117">IF(AND(AW45="",AW46=""),"",COUNTIF(AW45:AW46,"v"))</f>
        <v/>
      </c>
      <c r="CQ45" s="122" t="str">
        <f t="shared" si="117"/>
        <v/>
      </c>
      <c r="CR45" s="122" t="str">
        <f t="shared" si="117"/>
        <v/>
      </c>
      <c r="CS45" s="122" t="str">
        <f t="shared" si="117"/>
        <v/>
      </c>
      <c r="CT45" s="122" t="str">
        <f t="shared" si="117"/>
        <v/>
      </c>
      <c r="CU45" s="121" t="str">
        <f t="shared" ref="CU45" si="118">IF(BB45="","",IF(BB45=0,"Ditolak",IF(BB45=1,"Diperbaiki","Digunakan")))</f>
        <v>Digunakan</v>
      </c>
      <c r="CV45" s="121" t="str">
        <f t="shared" ref="CV45:EH45" si="119">IF(BC45="","",IF(BC45=0,"Ditolak",IF(AND(BC45&gt;=1,BC45&lt;2),"Diperbaiki","Digunakan")))</f>
        <v>Digunakan</v>
      </c>
      <c r="CW45" s="121" t="str">
        <f t="shared" si="119"/>
        <v>Digunakan</v>
      </c>
      <c r="CX45" s="121" t="str">
        <f t="shared" si="119"/>
        <v>Digunakan</v>
      </c>
      <c r="CY45" s="121" t="str">
        <f t="shared" si="119"/>
        <v>Digunakan</v>
      </c>
      <c r="CZ45" s="121" t="str">
        <f t="shared" si="119"/>
        <v>Digunakan</v>
      </c>
      <c r="DA45" s="121" t="str">
        <f t="shared" si="119"/>
        <v>Digunakan</v>
      </c>
      <c r="DB45" s="121" t="str">
        <f t="shared" si="119"/>
        <v>Digunakan</v>
      </c>
      <c r="DC45" s="121" t="str">
        <f t="shared" si="119"/>
        <v>Digunakan</v>
      </c>
      <c r="DD45" s="121" t="str">
        <f t="shared" si="119"/>
        <v>Digunakan</v>
      </c>
      <c r="DE45" s="121" t="str">
        <f t="shared" si="119"/>
        <v>Digunakan</v>
      </c>
      <c r="DF45" s="121" t="str">
        <f t="shared" si="119"/>
        <v>Digunakan</v>
      </c>
      <c r="DG45" s="121" t="str">
        <f t="shared" si="119"/>
        <v>Digunakan</v>
      </c>
      <c r="DH45" s="121" t="str">
        <f t="shared" si="119"/>
        <v>Digunakan</v>
      </c>
      <c r="DI45" s="121" t="str">
        <f t="shared" si="119"/>
        <v>Digunakan</v>
      </c>
      <c r="DJ45" s="121" t="str">
        <f t="shared" si="119"/>
        <v>Digunakan</v>
      </c>
      <c r="DK45" s="121" t="str">
        <f t="shared" si="119"/>
        <v>Digunakan</v>
      </c>
      <c r="DL45" s="121" t="str">
        <f t="shared" si="119"/>
        <v>Digunakan</v>
      </c>
      <c r="DM45" s="121" t="str">
        <f t="shared" si="119"/>
        <v>Digunakan</v>
      </c>
      <c r="DN45" s="121" t="str">
        <f t="shared" si="119"/>
        <v>Digunakan</v>
      </c>
      <c r="DO45" s="121" t="str">
        <f t="shared" si="119"/>
        <v>Digunakan</v>
      </c>
      <c r="DP45" s="121" t="str">
        <f t="shared" si="119"/>
        <v>Digunakan</v>
      </c>
      <c r="DQ45" s="121" t="str">
        <f t="shared" si="119"/>
        <v>Digunakan</v>
      </c>
      <c r="DR45" s="121" t="str">
        <f t="shared" si="119"/>
        <v>Digunakan</v>
      </c>
      <c r="DS45" s="121" t="str">
        <f t="shared" si="119"/>
        <v>Digunakan</v>
      </c>
      <c r="DT45" s="121" t="str">
        <f t="shared" si="119"/>
        <v>Digunakan</v>
      </c>
      <c r="DU45" s="121" t="str">
        <f t="shared" si="119"/>
        <v>Digunakan</v>
      </c>
      <c r="DV45" s="121" t="str">
        <f t="shared" si="119"/>
        <v>Digunakan</v>
      </c>
      <c r="DW45" s="121" t="str">
        <f t="shared" si="119"/>
        <v>Digunakan</v>
      </c>
      <c r="DX45" s="121" t="str">
        <f t="shared" si="119"/>
        <v>Digunakan</v>
      </c>
      <c r="DY45" s="121" t="str">
        <f t="shared" si="119"/>
        <v>Digunakan</v>
      </c>
      <c r="DZ45" s="121" t="str">
        <f t="shared" si="119"/>
        <v>Digunakan</v>
      </c>
      <c r="EA45" s="121" t="str">
        <f t="shared" si="119"/>
        <v>Digunakan</v>
      </c>
      <c r="EB45" s="121" t="str">
        <f t="shared" si="119"/>
        <v>Digunakan</v>
      </c>
      <c r="EC45" s="121" t="str">
        <f t="shared" si="119"/>
        <v>Digunakan</v>
      </c>
      <c r="ED45" s="121" t="str">
        <f t="shared" si="119"/>
        <v>Digunakan</v>
      </c>
      <c r="EE45" s="121" t="str">
        <f t="shared" si="119"/>
        <v>Digunakan</v>
      </c>
      <c r="EF45" s="121" t="str">
        <f t="shared" si="119"/>
        <v>Digunakan</v>
      </c>
      <c r="EG45" s="121" t="str">
        <f t="shared" si="119"/>
        <v>Digunakan</v>
      </c>
      <c r="EH45" s="121" t="str">
        <f t="shared" si="119"/>
        <v>Digunakan</v>
      </c>
      <c r="EI45" s="121" t="str">
        <f t="shared" ref="EI45:EM45" si="120">IF(CP45="","",IF(CP45=0,"Ditolak",IF(AND(CP45&gt;=1,CP45&lt;2),"Diperbaiki","Digunakan")))</f>
        <v/>
      </c>
      <c r="EJ45" s="121" t="str">
        <f t="shared" si="120"/>
        <v/>
      </c>
      <c r="EK45" s="121" t="str">
        <f t="shared" si="120"/>
        <v/>
      </c>
      <c r="EL45" s="121" t="str">
        <f t="shared" si="120"/>
        <v/>
      </c>
      <c r="EM45" s="121" t="str">
        <f t="shared" si="120"/>
        <v/>
      </c>
      <c r="EN45" s="120"/>
      <c r="EO45" s="120"/>
      <c r="EP45" s="120"/>
      <c r="EQ45" s="120"/>
      <c r="ER45" s="120"/>
      <c r="ES45" s="120"/>
      <c r="ET45" s="120"/>
      <c r="EU45" s="120"/>
      <c r="EV45" s="120"/>
      <c r="EW45" s="120"/>
      <c r="EX45" s="120"/>
      <c r="EY45" s="120"/>
      <c r="EZ45" s="120"/>
      <c r="FA45" s="120"/>
      <c r="FB45" s="120"/>
      <c r="FC45" s="120"/>
      <c r="FD45" s="120"/>
      <c r="FE45" s="120"/>
      <c r="FF45" s="120"/>
      <c r="FG45" s="120"/>
      <c r="FH45" s="120"/>
      <c r="FI45" s="120"/>
      <c r="FJ45" s="120"/>
      <c r="FK45" s="120"/>
      <c r="FL45" s="120"/>
      <c r="FM45" s="120"/>
      <c r="FN45" s="120"/>
      <c r="FO45" s="120"/>
      <c r="FP45" s="120"/>
      <c r="FQ45" s="120"/>
      <c r="FR45" s="120"/>
      <c r="FS45" s="120"/>
      <c r="FT45" s="120"/>
      <c r="FU45" s="120"/>
      <c r="FV45" s="120"/>
      <c r="FW45" s="120"/>
      <c r="FX45" s="120"/>
      <c r="FY45" s="120"/>
      <c r="FZ45" s="120"/>
      <c r="GA45" s="120"/>
      <c r="GB45" s="120"/>
      <c r="GC45" s="120"/>
      <c r="GD45" s="120"/>
      <c r="GE45" s="120"/>
      <c r="GF45" s="120"/>
      <c r="GG45" s="115"/>
      <c r="GH45" s="115"/>
      <c r="GI45" s="115"/>
      <c r="GJ45" s="115"/>
      <c r="GK45" s="115"/>
      <c r="GL45" s="115"/>
      <c r="GM45" s="115"/>
      <c r="GN45" s="115"/>
      <c r="GO45" s="115"/>
      <c r="GP45" s="115"/>
      <c r="GQ45" s="115"/>
      <c r="GR45" s="115"/>
      <c r="GS45" s="115"/>
      <c r="GT45" s="115"/>
      <c r="GU45" s="115"/>
      <c r="GV45" s="115"/>
      <c r="GW45" s="115"/>
      <c r="GX45" s="115"/>
      <c r="GY45" s="115"/>
      <c r="GZ45" s="115"/>
      <c r="HA45" s="115"/>
      <c r="HB45" s="115"/>
      <c r="HC45" s="115"/>
      <c r="HD45" s="115"/>
      <c r="HE45" s="115"/>
      <c r="HF45" s="115"/>
      <c r="HG45" s="115"/>
      <c r="HH45" s="115"/>
      <c r="HI45" s="115"/>
      <c r="HJ45" s="115"/>
      <c r="HK45" s="115"/>
      <c r="HL45" s="115"/>
      <c r="HM45" s="115"/>
      <c r="HN45" s="115"/>
      <c r="HO45" s="115"/>
      <c r="HP45" s="115"/>
      <c r="HQ45" s="115"/>
      <c r="HR45" s="115"/>
      <c r="HS45" s="115"/>
      <c r="HT45" s="115"/>
      <c r="HU45" s="115"/>
      <c r="HV45" s="115"/>
      <c r="HW45" s="115"/>
      <c r="HX45" s="115"/>
      <c r="HY45" s="115"/>
      <c r="HZ45" s="117"/>
      <c r="IA45" s="117"/>
      <c r="IB45" s="117"/>
      <c r="IC45" s="117"/>
      <c r="ID45" s="117"/>
      <c r="IE45" s="117"/>
      <c r="IF45" s="117"/>
      <c r="IG45" s="117"/>
      <c r="IH45" s="117"/>
      <c r="II45" s="117"/>
      <c r="IJ45" s="117"/>
      <c r="IK45" s="117"/>
      <c r="IL45" s="117"/>
      <c r="IM45" s="117"/>
      <c r="IN45" s="117"/>
      <c r="IO45" s="117"/>
      <c r="IP45" s="117"/>
      <c r="IQ45" s="117"/>
      <c r="IR45" s="117"/>
      <c r="IS45" s="117"/>
      <c r="IT45" s="117"/>
      <c r="IU45" s="117"/>
      <c r="IV45" s="117"/>
      <c r="IW45" s="117"/>
      <c r="IX45" s="117"/>
      <c r="IY45" s="117"/>
      <c r="IZ45" s="117"/>
      <c r="JA45" s="117"/>
      <c r="JB45" s="117"/>
      <c r="JC45" s="117"/>
      <c r="JD45" s="117"/>
      <c r="JE45" s="117"/>
      <c r="JF45" s="117"/>
      <c r="JG45" s="117"/>
      <c r="JH45" s="117"/>
      <c r="JI45" s="117"/>
      <c r="JJ45" s="117"/>
      <c r="JK45" s="117"/>
      <c r="JL45" s="117"/>
      <c r="JM45" s="117"/>
      <c r="JN45" s="117"/>
      <c r="JO45" s="117"/>
      <c r="JP45" s="117"/>
      <c r="JQ45" s="117"/>
      <c r="JR45" s="117"/>
      <c r="JS45" s="114"/>
      <c r="JT45" s="114"/>
      <c r="JU45" s="114"/>
      <c r="JV45" s="114"/>
      <c r="JW45" s="114"/>
      <c r="JX45" s="114"/>
      <c r="JY45" s="114"/>
      <c r="JZ45" s="114"/>
      <c r="KA45" s="114"/>
      <c r="KB45" s="114"/>
      <c r="KC45" s="114"/>
      <c r="KD45" s="114"/>
      <c r="KE45" s="114"/>
      <c r="KF45" s="114"/>
      <c r="KG45" s="114"/>
      <c r="KH45" s="114"/>
      <c r="KI45" s="114"/>
      <c r="KJ45" s="114"/>
      <c r="KK45" s="114"/>
      <c r="KL45" s="114"/>
      <c r="KM45" s="114"/>
      <c r="KN45" s="114"/>
      <c r="KO45" s="114"/>
      <c r="KP45" s="114"/>
      <c r="KQ45" s="114"/>
      <c r="KR45" s="114"/>
      <c r="KS45" s="114"/>
      <c r="KT45" s="114"/>
      <c r="KU45" s="114"/>
      <c r="KV45" s="114"/>
      <c r="KW45" s="114"/>
      <c r="KX45" s="114"/>
      <c r="KY45" s="114"/>
      <c r="KZ45" s="114"/>
      <c r="LA45" s="114"/>
      <c r="LB45" s="114"/>
      <c r="LC45" s="114"/>
      <c r="LD45" s="114"/>
      <c r="LE45" s="114"/>
      <c r="LF45" s="114"/>
      <c r="LG45" s="114"/>
      <c r="LH45" s="114"/>
      <c r="LI45" s="114"/>
      <c r="LJ45" s="114"/>
      <c r="LK45" s="114"/>
    </row>
    <row r="46" spans="1:323" ht="47.25" x14ac:dyDescent="0.25">
      <c r="A46" s="127"/>
      <c r="B46" s="133"/>
      <c r="C46" s="127"/>
      <c r="D46" s="135"/>
      <c r="E46" s="127"/>
      <c r="F46" s="126"/>
      <c r="G46" s="20" t="s">
        <v>56</v>
      </c>
      <c r="H46" s="24" t="s">
        <v>35</v>
      </c>
      <c r="I46" s="78" t="s">
        <v>269</v>
      </c>
      <c r="J46" s="78" t="s">
        <v>269</v>
      </c>
      <c r="K46" s="78" t="s">
        <v>269</v>
      </c>
      <c r="L46" s="78" t="s">
        <v>269</v>
      </c>
      <c r="M46" s="78" t="s">
        <v>269</v>
      </c>
      <c r="N46" s="78" t="s">
        <v>269</v>
      </c>
      <c r="O46" s="78" t="s">
        <v>269</v>
      </c>
      <c r="P46" s="78" t="s">
        <v>269</v>
      </c>
      <c r="Q46" s="78" t="s">
        <v>269</v>
      </c>
      <c r="R46" s="78" t="s">
        <v>269</v>
      </c>
      <c r="S46" s="78" t="s">
        <v>269</v>
      </c>
      <c r="T46" s="78" t="s">
        <v>269</v>
      </c>
      <c r="U46" s="78" t="s">
        <v>269</v>
      </c>
      <c r="V46" s="78" t="s">
        <v>269</v>
      </c>
      <c r="W46" s="78" t="s">
        <v>269</v>
      </c>
      <c r="X46" s="78" t="s">
        <v>269</v>
      </c>
      <c r="Y46" s="78" t="s">
        <v>269</v>
      </c>
      <c r="Z46" s="78" t="s">
        <v>269</v>
      </c>
      <c r="AA46" s="78" t="s">
        <v>269</v>
      </c>
      <c r="AB46" s="78" t="s">
        <v>269</v>
      </c>
      <c r="AC46" s="78" t="s">
        <v>269</v>
      </c>
      <c r="AD46" s="78" t="s">
        <v>269</v>
      </c>
      <c r="AE46" s="78" t="s">
        <v>269</v>
      </c>
      <c r="AF46" s="78" t="s">
        <v>269</v>
      </c>
      <c r="AG46" s="78" t="s">
        <v>269</v>
      </c>
      <c r="AH46" s="78" t="s">
        <v>269</v>
      </c>
      <c r="AI46" s="78" t="s">
        <v>269</v>
      </c>
      <c r="AJ46" s="78" t="s">
        <v>269</v>
      </c>
      <c r="AK46" s="78" t="s">
        <v>269</v>
      </c>
      <c r="AL46" s="78" t="s">
        <v>269</v>
      </c>
      <c r="AM46" s="78" t="s">
        <v>269</v>
      </c>
      <c r="AN46" s="78" t="s">
        <v>269</v>
      </c>
      <c r="AO46" s="78" t="s">
        <v>269</v>
      </c>
      <c r="AP46" s="78" t="s">
        <v>269</v>
      </c>
      <c r="AQ46" s="78" t="s">
        <v>269</v>
      </c>
      <c r="AR46" s="78" t="s">
        <v>269</v>
      </c>
      <c r="AS46" s="78" t="s">
        <v>269</v>
      </c>
      <c r="AT46" s="78" t="s">
        <v>269</v>
      </c>
      <c r="AU46" s="78" t="s">
        <v>269</v>
      </c>
      <c r="AV46" s="78" t="s">
        <v>269</v>
      </c>
      <c r="AW46" s="78"/>
      <c r="AX46" s="78"/>
      <c r="AY46" s="78"/>
      <c r="AZ46" s="78"/>
      <c r="BA46" s="78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0"/>
      <c r="EO46" s="120"/>
      <c r="EP46" s="120"/>
      <c r="EQ46" s="120"/>
      <c r="ER46" s="120"/>
      <c r="ES46" s="120"/>
      <c r="ET46" s="120"/>
      <c r="EU46" s="120"/>
      <c r="EV46" s="120"/>
      <c r="EW46" s="120"/>
      <c r="EX46" s="120"/>
      <c r="EY46" s="120"/>
      <c r="EZ46" s="120"/>
      <c r="FA46" s="120"/>
      <c r="FB46" s="120"/>
      <c r="FC46" s="120"/>
      <c r="FD46" s="120"/>
      <c r="FE46" s="120"/>
      <c r="FF46" s="120"/>
      <c r="FG46" s="120"/>
      <c r="FH46" s="120"/>
      <c r="FI46" s="120"/>
      <c r="FJ46" s="120"/>
      <c r="FK46" s="120"/>
      <c r="FL46" s="120"/>
      <c r="FM46" s="120"/>
      <c r="FN46" s="120"/>
      <c r="FO46" s="120"/>
      <c r="FP46" s="120"/>
      <c r="FQ46" s="120"/>
      <c r="FR46" s="120"/>
      <c r="FS46" s="120"/>
      <c r="FT46" s="120"/>
      <c r="FU46" s="120"/>
      <c r="FV46" s="120"/>
      <c r="FW46" s="120"/>
      <c r="FX46" s="120"/>
      <c r="FY46" s="120"/>
      <c r="FZ46" s="120"/>
      <c r="GA46" s="120"/>
      <c r="GB46" s="120"/>
      <c r="GC46" s="120"/>
      <c r="GD46" s="120"/>
      <c r="GE46" s="120"/>
      <c r="GF46" s="120"/>
      <c r="GG46" s="115"/>
      <c r="GH46" s="115"/>
      <c r="GI46" s="115"/>
      <c r="GJ46" s="115"/>
      <c r="GK46" s="115"/>
      <c r="GL46" s="115"/>
      <c r="GM46" s="115"/>
      <c r="GN46" s="115"/>
      <c r="GO46" s="115"/>
      <c r="GP46" s="115"/>
      <c r="GQ46" s="115"/>
      <c r="GR46" s="115"/>
      <c r="GS46" s="115"/>
      <c r="GT46" s="115"/>
      <c r="GU46" s="115"/>
      <c r="GV46" s="115"/>
      <c r="GW46" s="115"/>
      <c r="GX46" s="115"/>
      <c r="GY46" s="115"/>
      <c r="GZ46" s="115"/>
      <c r="HA46" s="115"/>
      <c r="HB46" s="115"/>
      <c r="HC46" s="115"/>
      <c r="HD46" s="115"/>
      <c r="HE46" s="115"/>
      <c r="HF46" s="115"/>
      <c r="HG46" s="115"/>
      <c r="HH46" s="115"/>
      <c r="HI46" s="115"/>
      <c r="HJ46" s="115"/>
      <c r="HK46" s="115"/>
      <c r="HL46" s="115"/>
      <c r="HM46" s="115"/>
      <c r="HN46" s="115"/>
      <c r="HO46" s="115"/>
      <c r="HP46" s="115"/>
      <c r="HQ46" s="115"/>
      <c r="HR46" s="115"/>
      <c r="HS46" s="115"/>
      <c r="HT46" s="115"/>
      <c r="HU46" s="115"/>
      <c r="HV46" s="115"/>
      <c r="HW46" s="115"/>
      <c r="HX46" s="115"/>
      <c r="HY46" s="115"/>
      <c r="HZ46" s="117"/>
      <c r="IA46" s="117"/>
      <c r="IB46" s="117"/>
      <c r="IC46" s="117"/>
      <c r="ID46" s="117"/>
      <c r="IE46" s="117"/>
      <c r="IF46" s="117"/>
      <c r="IG46" s="117"/>
      <c r="IH46" s="117"/>
      <c r="II46" s="117"/>
      <c r="IJ46" s="117"/>
      <c r="IK46" s="117"/>
      <c r="IL46" s="117"/>
      <c r="IM46" s="117"/>
      <c r="IN46" s="117"/>
      <c r="IO46" s="117"/>
      <c r="IP46" s="117"/>
      <c r="IQ46" s="117"/>
      <c r="IR46" s="117"/>
      <c r="IS46" s="117"/>
      <c r="IT46" s="117"/>
      <c r="IU46" s="117"/>
      <c r="IV46" s="117"/>
      <c r="IW46" s="117"/>
      <c r="IX46" s="117"/>
      <c r="IY46" s="117"/>
      <c r="IZ46" s="117"/>
      <c r="JA46" s="117"/>
      <c r="JB46" s="117"/>
      <c r="JC46" s="117"/>
      <c r="JD46" s="117"/>
      <c r="JE46" s="117"/>
      <c r="JF46" s="117"/>
      <c r="JG46" s="117"/>
      <c r="JH46" s="117"/>
      <c r="JI46" s="117"/>
      <c r="JJ46" s="117"/>
      <c r="JK46" s="117"/>
      <c r="JL46" s="117"/>
      <c r="JM46" s="117"/>
      <c r="JN46" s="117"/>
      <c r="JO46" s="117"/>
      <c r="JP46" s="117"/>
      <c r="JQ46" s="117"/>
      <c r="JR46" s="117"/>
      <c r="JS46" s="114"/>
      <c r="JT46" s="114"/>
      <c r="JU46" s="114"/>
      <c r="JV46" s="114"/>
      <c r="JW46" s="114"/>
      <c r="JX46" s="114"/>
      <c r="JY46" s="114"/>
      <c r="JZ46" s="114"/>
      <c r="KA46" s="114"/>
      <c r="KB46" s="114"/>
      <c r="KC46" s="114"/>
      <c r="KD46" s="114"/>
      <c r="KE46" s="114"/>
      <c r="KF46" s="114"/>
      <c r="KG46" s="114"/>
      <c r="KH46" s="114"/>
      <c r="KI46" s="114"/>
      <c r="KJ46" s="114"/>
      <c r="KK46" s="114"/>
      <c r="KL46" s="114"/>
      <c r="KM46" s="114"/>
      <c r="KN46" s="114"/>
      <c r="KO46" s="114"/>
      <c r="KP46" s="114"/>
      <c r="KQ46" s="114"/>
      <c r="KR46" s="114"/>
      <c r="KS46" s="114"/>
      <c r="KT46" s="114"/>
      <c r="KU46" s="114"/>
      <c r="KV46" s="114"/>
      <c r="KW46" s="114"/>
      <c r="KX46" s="114"/>
      <c r="KY46" s="114"/>
      <c r="KZ46" s="114"/>
      <c r="LA46" s="114"/>
      <c r="LB46" s="114"/>
      <c r="LC46" s="114"/>
      <c r="LD46" s="114"/>
      <c r="LE46" s="114"/>
      <c r="LF46" s="114"/>
      <c r="LG46" s="114"/>
      <c r="LH46" s="114"/>
      <c r="LI46" s="114"/>
      <c r="LJ46" s="114"/>
      <c r="LK46" s="114"/>
    </row>
    <row r="47" spans="1:323" ht="48.6" customHeight="1" x14ac:dyDescent="0.25">
      <c r="A47" s="127" t="s">
        <v>39</v>
      </c>
      <c r="B47" s="132" t="s">
        <v>37</v>
      </c>
      <c r="C47" s="132"/>
      <c r="D47" s="132"/>
      <c r="E47" s="127">
        <v>1</v>
      </c>
      <c r="F47" s="131" t="s">
        <v>102</v>
      </c>
      <c r="G47" s="20" t="s">
        <v>56</v>
      </c>
      <c r="H47" s="23" t="s">
        <v>57</v>
      </c>
      <c r="I47" s="78" t="s">
        <v>269</v>
      </c>
      <c r="J47" s="78" t="s">
        <v>269</v>
      </c>
      <c r="K47" s="78" t="s">
        <v>269</v>
      </c>
      <c r="L47" s="78" t="s">
        <v>269</v>
      </c>
      <c r="M47" s="78" t="s">
        <v>269</v>
      </c>
      <c r="N47" s="78" t="s">
        <v>269</v>
      </c>
      <c r="O47" s="78" t="s">
        <v>269</v>
      </c>
      <c r="P47" s="78" t="s">
        <v>269</v>
      </c>
      <c r="Q47" s="78" t="s">
        <v>269</v>
      </c>
      <c r="R47" s="78" t="s">
        <v>269</v>
      </c>
      <c r="S47" s="78" t="s">
        <v>269</v>
      </c>
      <c r="T47" s="78" t="s">
        <v>269</v>
      </c>
      <c r="U47" s="78" t="s">
        <v>269</v>
      </c>
      <c r="V47" s="78" t="s">
        <v>269</v>
      </c>
      <c r="W47" s="78" t="s">
        <v>269</v>
      </c>
      <c r="X47" s="78" t="s">
        <v>269</v>
      </c>
      <c r="Y47" s="78" t="s">
        <v>269</v>
      </c>
      <c r="Z47" s="78" t="s">
        <v>269</v>
      </c>
      <c r="AA47" s="78" t="s">
        <v>269</v>
      </c>
      <c r="AB47" s="78" t="s">
        <v>269</v>
      </c>
      <c r="AC47" s="78" t="s">
        <v>269</v>
      </c>
      <c r="AD47" s="78" t="s">
        <v>269</v>
      </c>
      <c r="AE47" s="78" t="s">
        <v>269</v>
      </c>
      <c r="AF47" s="78" t="s">
        <v>269</v>
      </c>
      <c r="AG47" s="78" t="s">
        <v>269</v>
      </c>
      <c r="AH47" s="78" t="s">
        <v>269</v>
      </c>
      <c r="AI47" s="78" t="s">
        <v>269</v>
      </c>
      <c r="AJ47" s="78" t="s">
        <v>269</v>
      </c>
      <c r="AK47" s="78" t="s">
        <v>269</v>
      </c>
      <c r="AL47" s="78" t="s">
        <v>269</v>
      </c>
      <c r="AM47" s="78" t="s">
        <v>269</v>
      </c>
      <c r="AN47" s="78" t="s">
        <v>269</v>
      </c>
      <c r="AO47" s="78" t="s">
        <v>269</v>
      </c>
      <c r="AP47" s="78" t="s">
        <v>269</v>
      </c>
      <c r="AQ47" s="78" t="s">
        <v>269</v>
      </c>
      <c r="AR47" s="78" t="s">
        <v>269</v>
      </c>
      <c r="AS47" s="78" t="s">
        <v>269</v>
      </c>
      <c r="AT47" s="78" t="s">
        <v>269</v>
      </c>
      <c r="AU47" s="78" t="s">
        <v>269</v>
      </c>
      <c r="AV47" s="78" t="s">
        <v>269</v>
      </c>
      <c r="AW47" s="78"/>
      <c r="AX47" s="78"/>
      <c r="AY47" s="78"/>
      <c r="AZ47" s="78"/>
      <c r="BA47" s="78"/>
      <c r="BB47" s="122">
        <f t="shared" ref="BB47:CO47" si="121">IF(AND(I47="",I48="",I49="",I50="",I51="",I51=""),"",IF(COUNTIF(I47:I51,"v")=0,0,IF(AND(COUNTIF(I47:I51,"v")&gt;=1,COUNTIF(I47:I51,"v")&lt;4),1,2)))</f>
        <v>2</v>
      </c>
      <c r="BC47" s="122">
        <f t="shared" si="121"/>
        <v>2</v>
      </c>
      <c r="BD47" s="122">
        <f t="shared" si="121"/>
        <v>2</v>
      </c>
      <c r="BE47" s="122">
        <f t="shared" si="121"/>
        <v>2</v>
      </c>
      <c r="BF47" s="122">
        <f t="shared" si="121"/>
        <v>2</v>
      </c>
      <c r="BG47" s="122">
        <f t="shared" si="121"/>
        <v>2</v>
      </c>
      <c r="BH47" s="122">
        <f t="shared" si="121"/>
        <v>2</v>
      </c>
      <c r="BI47" s="122">
        <f t="shared" si="121"/>
        <v>2</v>
      </c>
      <c r="BJ47" s="122">
        <f t="shared" si="121"/>
        <v>2</v>
      </c>
      <c r="BK47" s="122">
        <f t="shared" si="121"/>
        <v>2</v>
      </c>
      <c r="BL47" s="122">
        <f t="shared" si="121"/>
        <v>2</v>
      </c>
      <c r="BM47" s="122">
        <f t="shared" si="121"/>
        <v>2</v>
      </c>
      <c r="BN47" s="122">
        <f t="shared" si="121"/>
        <v>2</v>
      </c>
      <c r="BO47" s="122">
        <f t="shared" si="121"/>
        <v>2</v>
      </c>
      <c r="BP47" s="122">
        <f t="shared" si="121"/>
        <v>2</v>
      </c>
      <c r="BQ47" s="122">
        <f t="shared" si="121"/>
        <v>2</v>
      </c>
      <c r="BR47" s="122">
        <f t="shared" si="121"/>
        <v>2</v>
      </c>
      <c r="BS47" s="122">
        <f t="shared" si="121"/>
        <v>2</v>
      </c>
      <c r="BT47" s="122">
        <f t="shared" si="121"/>
        <v>2</v>
      </c>
      <c r="BU47" s="122">
        <f t="shared" si="121"/>
        <v>2</v>
      </c>
      <c r="BV47" s="122">
        <f t="shared" si="121"/>
        <v>2</v>
      </c>
      <c r="BW47" s="122">
        <f t="shared" si="121"/>
        <v>2</v>
      </c>
      <c r="BX47" s="122">
        <f t="shared" si="121"/>
        <v>2</v>
      </c>
      <c r="BY47" s="122">
        <f t="shared" si="121"/>
        <v>2</v>
      </c>
      <c r="BZ47" s="122">
        <f t="shared" si="121"/>
        <v>2</v>
      </c>
      <c r="CA47" s="122">
        <f t="shared" si="121"/>
        <v>2</v>
      </c>
      <c r="CB47" s="122">
        <f t="shared" si="121"/>
        <v>2</v>
      </c>
      <c r="CC47" s="122">
        <f t="shared" si="121"/>
        <v>2</v>
      </c>
      <c r="CD47" s="122">
        <f t="shared" si="121"/>
        <v>2</v>
      </c>
      <c r="CE47" s="122">
        <f t="shared" si="121"/>
        <v>2</v>
      </c>
      <c r="CF47" s="122">
        <f t="shared" si="121"/>
        <v>2</v>
      </c>
      <c r="CG47" s="122">
        <f t="shared" si="121"/>
        <v>2</v>
      </c>
      <c r="CH47" s="122">
        <f t="shared" si="121"/>
        <v>2</v>
      </c>
      <c r="CI47" s="122">
        <f t="shared" si="121"/>
        <v>2</v>
      </c>
      <c r="CJ47" s="122">
        <f t="shared" si="121"/>
        <v>2</v>
      </c>
      <c r="CK47" s="122">
        <f t="shared" si="121"/>
        <v>2</v>
      </c>
      <c r="CL47" s="122">
        <f t="shared" si="121"/>
        <v>2</v>
      </c>
      <c r="CM47" s="122">
        <f t="shared" si="121"/>
        <v>2</v>
      </c>
      <c r="CN47" s="122">
        <f t="shared" si="121"/>
        <v>2</v>
      </c>
      <c r="CO47" s="122">
        <f t="shared" si="121"/>
        <v>2</v>
      </c>
      <c r="CP47" s="122" t="str">
        <f t="shared" ref="CP47:CT47" si="122">IF(AND(AW47="",AW48="",AW49="",AW50="",AW51="",AW51=""),"",IF(COUNTIF(AW47:AW51,"v")=0,0,IF(AND(COUNTIF(AW47:AW51,"v")&gt;=1,COUNTIF(AW47:AW51,"v")&lt;4),1,2)))</f>
        <v/>
      </c>
      <c r="CQ47" s="122" t="str">
        <f t="shared" si="122"/>
        <v/>
      </c>
      <c r="CR47" s="122" t="str">
        <f t="shared" si="122"/>
        <v/>
      </c>
      <c r="CS47" s="122" t="str">
        <f t="shared" si="122"/>
        <v/>
      </c>
      <c r="CT47" s="122" t="str">
        <f t="shared" si="122"/>
        <v/>
      </c>
      <c r="CU47" s="121" t="str">
        <f t="shared" ref="CU47:EH47" si="123">IF(BB47="","",IF(BB47=0,"Ditolak",IF(AND(BB47&gt;=1,BB47&lt;4),"Diperbaiki","Digunakan")))</f>
        <v>Diperbaiki</v>
      </c>
      <c r="CV47" s="121" t="str">
        <f t="shared" si="123"/>
        <v>Diperbaiki</v>
      </c>
      <c r="CW47" s="121" t="str">
        <f t="shared" si="123"/>
        <v>Diperbaiki</v>
      </c>
      <c r="CX47" s="121" t="str">
        <f t="shared" si="123"/>
        <v>Diperbaiki</v>
      </c>
      <c r="CY47" s="121" t="str">
        <f t="shared" si="123"/>
        <v>Diperbaiki</v>
      </c>
      <c r="CZ47" s="121" t="str">
        <f t="shared" si="123"/>
        <v>Diperbaiki</v>
      </c>
      <c r="DA47" s="121" t="str">
        <f t="shared" si="123"/>
        <v>Diperbaiki</v>
      </c>
      <c r="DB47" s="121" t="str">
        <f t="shared" si="123"/>
        <v>Diperbaiki</v>
      </c>
      <c r="DC47" s="121" t="str">
        <f t="shared" si="123"/>
        <v>Diperbaiki</v>
      </c>
      <c r="DD47" s="121" t="str">
        <f t="shared" si="123"/>
        <v>Diperbaiki</v>
      </c>
      <c r="DE47" s="121" t="str">
        <f t="shared" si="123"/>
        <v>Diperbaiki</v>
      </c>
      <c r="DF47" s="121" t="str">
        <f t="shared" si="123"/>
        <v>Diperbaiki</v>
      </c>
      <c r="DG47" s="121" t="str">
        <f t="shared" si="123"/>
        <v>Diperbaiki</v>
      </c>
      <c r="DH47" s="121" t="str">
        <f t="shared" si="123"/>
        <v>Diperbaiki</v>
      </c>
      <c r="DI47" s="121" t="str">
        <f t="shared" si="123"/>
        <v>Diperbaiki</v>
      </c>
      <c r="DJ47" s="121" t="str">
        <f t="shared" si="123"/>
        <v>Diperbaiki</v>
      </c>
      <c r="DK47" s="121" t="str">
        <f t="shared" si="123"/>
        <v>Diperbaiki</v>
      </c>
      <c r="DL47" s="121" t="str">
        <f t="shared" si="123"/>
        <v>Diperbaiki</v>
      </c>
      <c r="DM47" s="121" t="str">
        <f t="shared" si="123"/>
        <v>Diperbaiki</v>
      </c>
      <c r="DN47" s="121" t="str">
        <f t="shared" si="123"/>
        <v>Diperbaiki</v>
      </c>
      <c r="DO47" s="121" t="str">
        <f t="shared" si="123"/>
        <v>Diperbaiki</v>
      </c>
      <c r="DP47" s="121" t="str">
        <f t="shared" si="123"/>
        <v>Diperbaiki</v>
      </c>
      <c r="DQ47" s="121" t="str">
        <f t="shared" si="123"/>
        <v>Diperbaiki</v>
      </c>
      <c r="DR47" s="121" t="str">
        <f t="shared" si="123"/>
        <v>Diperbaiki</v>
      </c>
      <c r="DS47" s="121" t="str">
        <f t="shared" si="123"/>
        <v>Diperbaiki</v>
      </c>
      <c r="DT47" s="121" t="str">
        <f t="shared" si="123"/>
        <v>Diperbaiki</v>
      </c>
      <c r="DU47" s="121" t="str">
        <f t="shared" si="123"/>
        <v>Diperbaiki</v>
      </c>
      <c r="DV47" s="121" t="str">
        <f t="shared" si="123"/>
        <v>Diperbaiki</v>
      </c>
      <c r="DW47" s="121" t="str">
        <f t="shared" si="123"/>
        <v>Diperbaiki</v>
      </c>
      <c r="DX47" s="121" t="str">
        <f t="shared" si="123"/>
        <v>Diperbaiki</v>
      </c>
      <c r="DY47" s="121" t="str">
        <f t="shared" si="123"/>
        <v>Diperbaiki</v>
      </c>
      <c r="DZ47" s="121" t="str">
        <f t="shared" si="123"/>
        <v>Diperbaiki</v>
      </c>
      <c r="EA47" s="121" t="str">
        <f t="shared" si="123"/>
        <v>Diperbaiki</v>
      </c>
      <c r="EB47" s="121" t="str">
        <f t="shared" si="123"/>
        <v>Diperbaiki</v>
      </c>
      <c r="EC47" s="121" t="str">
        <f t="shared" si="123"/>
        <v>Diperbaiki</v>
      </c>
      <c r="ED47" s="121" t="str">
        <f t="shared" si="123"/>
        <v>Diperbaiki</v>
      </c>
      <c r="EE47" s="121" t="str">
        <f t="shared" si="123"/>
        <v>Diperbaiki</v>
      </c>
      <c r="EF47" s="121" t="str">
        <f t="shared" si="123"/>
        <v>Diperbaiki</v>
      </c>
      <c r="EG47" s="121" t="str">
        <f t="shared" si="123"/>
        <v>Diperbaiki</v>
      </c>
      <c r="EH47" s="121" t="str">
        <f t="shared" si="123"/>
        <v>Diperbaiki</v>
      </c>
      <c r="EI47" s="121" t="str">
        <f t="shared" ref="EI47:EM47" si="124">IF(CP47="","",IF(CP47=0,"Ditolak",IF(AND(CP47&gt;=1,CP47&lt;4),"Diperbaiki","Digunakan")))</f>
        <v/>
      </c>
      <c r="EJ47" s="121" t="str">
        <f t="shared" si="124"/>
        <v/>
      </c>
      <c r="EK47" s="121" t="str">
        <f t="shared" si="124"/>
        <v/>
      </c>
      <c r="EL47" s="121" t="str">
        <f t="shared" si="124"/>
        <v/>
      </c>
      <c r="EM47" s="121" t="str">
        <f t="shared" si="124"/>
        <v/>
      </c>
      <c r="EN47" s="120" t="str">
        <f t="shared" ref="EN47:GA47" si="125">IF(COUNTIF(CU47:CU56,"Diperbaiki")&gt;=1,"HOTS","")</f>
        <v>HOTS</v>
      </c>
      <c r="EO47" s="120" t="str">
        <f t="shared" si="125"/>
        <v>HOTS</v>
      </c>
      <c r="EP47" s="120" t="str">
        <f t="shared" si="125"/>
        <v>HOTS</v>
      </c>
      <c r="EQ47" s="120" t="str">
        <f t="shared" si="125"/>
        <v>HOTS</v>
      </c>
      <c r="ER47" s="120" t="str">
        <f t="shared" si="125"/>
        <v>HOTS</v>
      </c>
      <c r="ES47" s="120" t="str">
        <f t="shared" si="125"/>
        <v>HOTS</v>
      </c>
      <c r="ET47" s="120" t="str">
        <f t="shared" si="125"/>
        <v>HOTS</v>
      </c>
      <c r="EU47" s="120" t="str">
        <f t="shared" si="125"/>
        <v>HOTS</v>
      </c>
      <c r="EV47" s="120" t="str">
        <f t="shared" si="125"/>
        <v>HOTS</v>
      </c>
      <c r="EW47" s="120" t="str">
        <f t="shared" si="125"/>
        <v>HOTS</v>
      </c>
      <c r="EX47" s="120" t="str">
        <f t="shared" si="125"/>
        <v>HOTS</v>
      </c>
      <c r="EY47" s="120" t="str">
        <f t="shared" si="125"/>
        <v>HOTS</v>
      </c>
      <c r="EZ47" s="120" t="str">
        <f t="shared" si="125"/>
        <v>HOTS</v>
      </c>
      <c r="FA47" s="120" t="str">
        <f t="shared" si="125"/>
        <v>HOTS</v>
      </c>
      <c r="FB47" s="120" t="str">
        <f t="shared" si="125"/>
        <v>HOTS</v>
      </c>
      <c r="FC47" s="120" t="str">
        <f t="shared" si="125"/>
        <v>HOTS</v>
      </c>
      <c r="FD47" s="120" t="str">
        <f t="shared" si="125"/>
        <v>HOTS</v>
      </c>
      <c r="FE47" s="120" t="str">
        <f t="shared" si="125"/>
        <v>HOTS</v>
      </c>
      <c r="FF47" s="120" t="str">
        <f t="shared" si="125"/>
        <v>HOTS</v>
      </c>
      <c r="FG47" s="120" t="str">
        <f t="shared" si="125"/>
        <v>HOTS</v>
      </c>
      <c r="FH47" s="120" t="str">
        <f t="shared" si="125"/>
        <v>HOTS</v>
      </c>
      <c r="FI47" s="120" t="str">
        <f t="shared" si="125"/>
        <v>HOTS</v>
      </c>
      <c r="FJ47" s="120" t="str">
        <f t="shared" si="125"/>
        <v>HOTS</v>
      </c>
      <c r="FK47" s="120" t="str">
        <f t="shared" si="125"/>
        <v>HOTS</v>
      </c>
      <c r="FL47" s="120" t="str">
        <f t="shared" si="125"/>
        <v>HOTS</v>
      </c>
      <c r="FM47" s="120" t="str">
        <f t="shared" si="125"/>
        <v>HOTS</v>
      </c>
      <c r="FN47" s="120" t="str">
        <f t="shared" si="125"/>
        <v>HOTS</v>
      </c>
      <c r="FO47" s="120" t="str">
        <f t="shared" si="125"/>
        <v>HOTS</v>
      </c>
      <c r="FP47" s="120" t="str">
        <f t="shared" si="125"/>
        <v>HOTS</v>
      </c>
      <c r="FQ47" s="120" t="str">
        <f t="shared" si="125"/>
        <v>HOTS</v>
      </c>
      <c r="FR47" s="120" t="str">
        <f t="shared" si="125"/>
        <v>HOTS</v>
      </c>
      <c r="FS47" s="120" t="str">
        <f t="shared" si="125"/>
        <v>HOTS</v>
      </c>
      <c r="FT47" s="120" t="str">
        <f t="shared" si="125"/>
        <v>HOTS</v>
      </c>
      <c r="FU47" s="120" t="str">
        <f t="shared" si="125"/>
        <v>HOTS</v>
      </c>
      <c r="FV47" s="120" t="str">
        <f t="shared" si="125"/>
        <v>HOTS</v>
      </c>
      <c r="FW47" s="120" t="str">
        <f t="shared" si="125"/>
        <v>HOTS</v>
      </c>
      <c r="FX47" s="120" t="str">
        <f t="shared" si="125"/>
        <v>HOTS</v>
      </c>
      <c r="FY47" s="120" t="str">
        <f t="shared" si="125"/>
        <v>HOTS</v>
      </c>
      <c r="FZ47" s="120" t="str">
        <f t="shared" si="125"/>
        <v>HOTS</v>
      </c>
      <c r="GA47" s="120" t="str">
        <f t="shared" si="125"/>
        <v>HOTS</v>
      </c>
      <c r="GB47" s="120" t="str">
        <f t="shared" ref="GB47" si="126">IF(COUNTIF(EI47:EI56,"Diperbaiki")&gt;=1,"HOTS","")</f>
        <v/>
      </c>
      <c r="GC47" s="120" t="str">
        <f t="shared" ref="GC47" si="127">IF(COUNTIF(EJ47:EJ56,"Diperbaiki")&gt;=1,"HOTS","")</f>
        <v/>
      </c>
      <c r="GD47" s="120" t="str">
        <f t="shared" ref="GD47" si="128">IF(COUNTIF(EK47:EK56,"Diperbaiki")&gt;=1,"HOTS","")</f>
        <v/>
      </c>
      <c r="GE47" s="120" t="str">
        <f t="shared" ref="GE47" si="129">IF(COUNTIF(EL47:EL56,"Diperbaiki")&gt;=1,"HOTS","")</f>
        <v/>
      </c>
      <c r="GF47" s="120" t="str">
        <f t="shared" ref="GF47" si="130">IF(COUNTIF(EM47:EM56,"Diperbaiki")&gt;=1,"HOTS","")</f>
        <v/>
      </c>
      <c r="GG47" s="115"/>
      <c r="GH47" s="115"/>
      <c r="GI47" s="115"/>
      <c r="GJ47" s="115"/>
      <c r="GK47" s="115"/>
      <c r="GL47" s="115"/>
      <c r="GM47" s="115"/>
      <c r="GN47" s="115"/>
      <c r="GO47" s="115"/>
      <c r="GP47" s="115"/>
      <c r="GQ47" s="115"/>
      <c r="GR47" s="115"/>
      <c r="GS47" s="115"/>
      <c r="GT47" s="115"/>
      <c r="GU47" s="115"/>
      <c r="GV47" s="115"/>
      <c r="GW47" s="115"/>
      <c r="GX47" s="115"/>
      <c r="GY47" s="115"/>
      <c r="GZ47" s="115"/>
      <c r="HA47" s="115"/>
      <c r="HB47" s="115"/>
      <c r="HC47" s="115"/>
      <c r="HD47" s="115"/>
      <c r="HE47" s="115"/>
      <c r="HF47" s="115"/>
      <c r="HG47" s="115"/>
      <c r="HH47" s="115"/>
      <c r="HI47" s="115"/>
      <c r="HJ47" s="115"/>
      <c r="HK47" s="115"/>
      <c r="HL47" s="115"/>
      <c r="HM47" s="115"/>
      <c r="HN47" s="115"/>
      <c r="HO47" s="115"/>
      <c r="HP47" s="115"/>
      <c r="HQ47" s="115"/>
      <c r="HR47" s="115"/>
      <c r="HS47" s="115"/>
      <c r="HT47" s="115"/>
      <c r="HU47" s="115"/>
      <c r="HV47" s="115"/>
      <c r="HW47" s="115"/>
      <c r="HX47" s="115"/>
      <c r="HY47" s="115"/>
      <c r="HZ47" s="117"/>
      <c r="IA47" s="117"/>
      <c r="IB47" s="117"/>
      <c r="IC47" s="117"/>
      <c r="ID47" s="117"/>
      <c r="IE47" s="117"/>
      <c r="IF47" s="117"/>
      <c r="IG47" s="117"/>
      <c r="IH47" s="117"/>
      <c r="II47" s="117"/>
      <c r="IJ47" s="117"/>
      <c r="IK47" s="117"/>
      <c r="IL47" s="117"/>
      <c r="IM47" s="117"/>
      <c r="IN47" s="117"/>
      <c r="IO47" s="117"/>
      <c r="IP47" s="117"/>
      <c r="IQ47" s="117"/>
      <c r="IR47" s="117"/>
      <c r="IS47" s="117"/>
      <c r="IT47" s="117"/>
      <c r="IU47" s="117"/>
      <c r="IV47" s="117"/>
      <c r="IW47" s="117"/>
      <c r="IX47" s="117"/>
      <c r="IY47" s="117"/>
      <c r="IZ47" s="117"/>
      <c r="JA47" s="117"/>
      <c r="JB47" s="117"/>
      <c r="JC47" s="117"/>
      <c r="JD47" s="117"/>
      <c r="JE47" s="117"/>
      <c r="JF47" s="117"/>
      <c r="JG47" s="117"/>
      <c r="JH47" s="117"/>
      <c r="JI47" s="117"/>
      <c r="JJ47" s="117"/>
      <c r="JK47" s="117"/>
      <c r="JL47" s="117"/>
      <c r="JM47" s="117"/>
      <c r="JN47" s="117"/>
      <c r="JO47" s="117"/>
      <c r="JP47" s="117"/>
      <c r="JQ47" s="117"/>
      <c r="JR47" s="117"/>
      <c r="JS47" s="114"/>
      <c r="JT47" s="114"/>
      <c r="JU47" s="114"/>
      <c r="JV47" s="114"/>
      <c r="JW47" s="114"/>
      <c r="JX47" s="114"/>
      <c r="JY47" s="114"/>
      <c r="JZ47" s="114"/>
      <c r="KA47" s="114"/>
      <c r="KB47" s="114"/>
      <c r="KC47" s="114"/>
      <c r="KD47" s="114"/>
      <c r="KE47" s="114"/>
      <c r="KF47" s="114"/>
      <c r="KG47" s="114"/>
      <c r="KH47" s="114"/>
      <c r="KI47" s="114"/>
      <c r="KJ47" s="114"/>
      <c r="KK47" s="114"/>
      <c r="KL47" s="114"/>
      <c r="KM47" s="114"/>
      <c r="KN47" s="114"/>
      <c r="KO47" s="114"/>
      <c r="KP47" s="114"/>
      <c r="KQ47" s="114"/>
      <c r="KR47" s="114"/>
      <c r="KS47" s="114"/>
      <c r="KT47" s="114"/>
      <c r="KU47" s="114"/>
      <c r="KV47" s="114"/>
      <c r="KW47" s="114"/>
      <c r="KX47" s="114"/>
      <c r="KY47" s="114"/>
      <c r="KZ47" s="114"/>
      <c r="LA47" s="114"/>
      <c r="LB47" s="114"/>
      <c r="LC47" s="114"/>
      <c r="LD47" s="114"/>
      <c r="LE47" s="114"/>
      <c r="LF47" s="114"/>
      <c r="LG47" s="114"/>
      <c r="LH47" s="114"/>
      <c r="LI47" s="114"/>
      <c r="LJ47" s="114"/>
      <c r="LK47" s="114"/>
    </row>
    <row r="48" spans="1:323" ht="30" customHeight="1" x14ac:dyDescent="0.25">
      <c r="A48" s="127"/>
      <c r="B48" s="132"/>
      <c r="C48" s="132"/>
      <c r="D48" s="132"/>
      <c r="E48" s="127"/>
      <c r="F48" s="131"/>
      <c r="G48" s="20" t="s">
        <v>56</v>
      </c>
      <c r="H48" s="23" t="s">
        <v>58</v>
      </c>
      <c r="I48" s="78" t="s">
        <v>269</v>
      </c>
      <c r="J48" s="78" t="s">
        <v>269</v>
      </c>
      <c r="K48" s="78" t="s">
        <v>269</v>
      </c>
      <c r="L48" s="78" t="s">
        <v>269</v>
      </c>
      <c r="M48" s="78" t="s">
        <v>269</v>
      </c>
      <c r="N48" s="78" t="s">
        <v>269</v>
      </c>
      <c r="O48" s="78" t="s">
        <v>269</v>
      </c>
      <c r="P48" s="78" t="s">
        <v>269</v>
      </c>
      <c r="Q48" s="78" t="s">
        <v>269</v>
      </c>
      <c r="R48" s="78" t="s">
        <v>269</v>
      </c>
      <c r="S48" s="78" t="s">
        <v>269</v>
      </c>
      <c r="T48" s="78" t="s">
        <v>269</v>
      </c>
      <c r="U48" s="78" t="s">
        <v>269</v>
      </c>
      <c r="V48" s="78" t="s">
        <v>269</v>
      </c>
      <c r="W48" s="78" t="s">
        <v>269</v>
      </c>
      <c r="X48" s="78" t="s">
        <v>269</v>
      </c>
      <c r="Y48" s="78" t="s">
        <v>269</v>
      </c>
      <c r="Z48" s="78" t="s">
        <v>269</v>
      </c>
      <c r="AA48" s="78" t="s">
        <v>269</v>
      </c>
      <c r="AB48" s="78" t="s">
        <v>269</v>
      </c>
      <c r="AC48" s="78" t="s">
        <v>269</v>
      </c>
      <c r="AD48" s="78" t="s">
        <v>269</v>
      </c>
      <c r="AE48" s="78" t="s">
        <v>269</v>
      </c>
      <c r="AF48" s="78" t="s">
        <v>269</v>
      </c>
      <c r="AG48" s="78" t="s">
        <v>269</v>
      </c>
      <c r="AH48" s="78" t="s">
        <v>269</v>
      </c>
      <c r="AI48" s="78" t="s">
        <v>269</v>
      </c>
      <c r="AJ48" s="78" t="s">
        <v>269</v>
      </c>
      <c r="AK48" s="78" t="s">
        <v>269</v>
      </c>
      <c r="AL48" s="78" t="s">
        <v>269</v>
      </c>
      <c r="AM48" s="78" t="s">
        <v>269</v>
      </c>
      <c r="AN48" s="78" t="s">
        <v>269</v>
      </c>
      <c r="AO48" s="78" t="s">
        <v>269</v>
      </c>
      <c r="AP48" s="78" t="s">
        <v>269</v>
      </c>
      <c r="AQ48" s="78" t="s">
        <v>269</v>
      </c>
      <c r="AR48" s="78" t="s">
        <v>269</v>
      </c>
      <c r="AS48" s="78" t="s">
        <v>269</v>
      </c>
      <c r="AT48" s="78" t="s">
        <v>269</v>
      </c>
      <c r="AU48" s="78" t="s">
        <v>269</v>
      </c>
      <c r="AV48" s="78" t="s">
        <v>269</v>
      </c>
      <c r="AW48" s="78"/>
      <c r="AX48" s="78"/>
      <c r="AY48" s="78"/>
      <c r="AZ48" s="78"/>
      <c r="BA48" s="78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  <c r="CB48" s="122"/>
      <c r="CC48" s="122"/>
      <c r="CD48" s="122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/>
      <c r="CO48" s="122"/>
      <c r="CP48" s="122"/>
      <c r="CQ48" s="122"/>
      <c r="CR48" s="122"/>
      <c r="CS48" s="122"/>
      <c r="CT48" s="122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0"/>
      <c r="EO48" s="120"/>
      <c r="EP48" s="120"/>
      <c r="EQ48" s="120"/>
      <c r="ER48" s="120"/>
      <c r="ES48" s="120"/>
      <c r="ET48" s="120"/>
      <c r="EU48" s="120"/>
      <c r="EV48" s="120"/>
      <c r="EW48" s="120"/>
      <c r="EX48" s="120"/>
      <c r="EY48" s="120"/>
      <c r="EZ48" s="120"/>
      <c r="FA48" s="120"/>
      <c r="FB48" s="120"/>
      <c r="FC48" s="120"/>
      <c r="FD48" s="120"/>
      <c r="FE48" s="120"/>
      <c r="FF48" s="120"/>
      <c r="FG48" s="120"/>
      <c r="FH48" s="120"/>
      <c r="FI48" s="120"/>
      <c r="FJ48" s="120"/>
      <c r="FK48" s="120"/>
      <c r="FL48" s="120"/>
      <c r="FM48" s="120"/>
      <c r="FN48" s="120"/>
      <c r="FO48" s="120"/>
      <c r="FP48" s="120"/>
      <c r="FQ48" s="120"/>
      <c r="FR48" s="120"/>
      <c r="FS48" s="120"/>
      <c r="FT48" s="120"/>
      <c r="FU48" s="120"/>
      <c r="FV48" s="120"/>
      <c r="FW48" s="120"/>
      <c r="FX48" s="120"/>
      <c r="FY48" s="120"/>
      <c r="FZ48" s="120"/>
      <c r="GA48" s="120"/>
      <c r="GB48" s="120"/>
      <c r="GC48" s="120"/>
      <c r="GD48" s="120"/>
      <c r="GE48" s="120"/>
      <c r="GF48" s="120"/>
      <c r="GG48" s="115"/>
      <c r="GH48" s="115"/>
      <c r="GI48" s="115"/>
      <c r="GJ48" s="115"/>
      <c r="GK48" s="115"/>
      <c r="GL48" s="115"/>
      <c r="GM48" s="115"/>
      <c r="GN48" s="115"/>
      <c r="GO48" s="115"/>
      <c r="GP48" s="115"/>
      <c r="GQ48" s="115"/>
      <c r="GR48" s="115"/>
      <c r="GS48" s="115"/>
      <c r="GT48" s="115"/>
      <c r="GU48" s="115"/>
      <c r="GV48" s="115"/>
      <c r="GW48" s="115"/>
      <c r="GX48" s="115"/>
      <c r="GY48" s="115"/>
      <c r="GZ48" s="115"/>
      <c r="HA48" s="115"/>
      <c r="HB48" s="115"/>
      <c r="HC48" s="115"/>
      <c r="HD48" s="115"/>
      <c r="HE48" s="115"/>
      <c r="HF48" s="115"/>
      <c r="HG48" s="115"/>
      <c r="HH48" s="115"/>
      <c r="HI48" s="115"/>
      <c r="HJ48" s="115"/>
      <c r="HK48" s="115"/>
      <c r="HL48" s="115"/>
      <c r="HM48" s="115"/>
      <c r="HN48" s="115"/>
      <c r="HO48" s="115"/>
      <c r="HP48" s="115"/>
      <c r="HQ48" s="115"/>
      <c r="HR48" s="115"/>
      <c r="HS48" s="115"/>
      <c r="HT48" s="115"/>
      <c r="HU48" s="115"/>
      <c r="HV48" s="115"/>
      <c r="HW48" s="115"/>
      <c r="HX48" s="115"/>
      <c r="HY48" s="115"/>
      <c r="HZ48" s="117"/>
      <c r="IA48" s="117"/>
      <c r="IB48" s="117"/>
      <c r="IC48" s="117"/>
      <c r="ID48" s="117"/>
      <c r="IE48" s="117"/>
      <c r="IF48" s="117"/>
      <c r="IG48" s="117"/>
      <c r="IH48" s="117"/>
      <c r="II48" s="117"/>
      <c r="IJ48" s="117"/>
      <c r="IK48" s="117"/>
      <c r="IL48" s="117"/>
      <c r="IM48" s="117"/>
      <c r="IN48" s="117"/>
      <c r="IO48" s="117"/>
      <c r="IP48" s="117"/>
      <c r="IQ48" s="117"/>
      <c r="IR48" s="117"/>
      <c r="IS48" s="117"/>
      <c r="IT48" s="117"/>
      <c r="IU48" s="117"/>
      <c r="IV48" s="117"/>
      <c r="IW48" s="117"/>
      <c r="IX48" s="117"/>
      <c r="IY48" s="117"/>
      <c r="IZ48" s="117"/>
      <c r="JA48" s="117"/>
      <c r="JB48" s="117"/>
      <c r="JC48" s="117"/>
      <c r="JD48" s="117"/>
      <c r="JE48" s="117"/>
      <c r="JF48" s="117"/>
      <c r="JG48" s="117"/>
      <c r="JH48" s="117"/>
      <c r="JI48" s="117"/>
      <c r="JJ48" s="117"/>
      <c r="JK48" s="117"/>
      <c r="JL48" s="117"/>
      <c r="JM48" s="117"/>
      <c r="JN48" s="117"/>
      <c r="JO48" s="117"/>
      <c r="JP48" s="117"/>
      <c r="JQ48" s="117"/>
      <c r="JR48" s="117"/>
      <c r="JS48" s="114"/>
      <c r="JT48" s="114"/>
      <c r="JU48" s="114"/>
      <c r="JV48" s="114"/>
      <c r="JW48" s="114"/>
      <c r="JX48" s="114"/>
      <c r="JY48" s="114"/>
      <c r="JZ48" s="114"/>
      <c r="KA48" s="114"/>
      <c r="KB48" s="114"/>
      <c r="KC48" s="114"/>
      <c r="KD48" s="114"/>
      <c r="KE48" s="114"/>
      <c r="KF48" s="114"/>
      <c r="KG48" s="114"/>
      <c r="KH48" s="114"/>
      <c r="KI48" s="114"/>
      <c r="KJ48" s="114"/>
      <c r="KK48" s="114"/>
      <c r="KL48" s="114"/>
      <c r="KM48" s="114"/>
      <c r="KN48" s="114"/>
      <c r="KO48" s="114"/>
      <c r="KP48" s="114"/>
      <c r="KQ48" s="114"/>
      <c r="KR48" s="114"/>
      <c r="KS48" s="114"/>
      <c r="KT48" s="114"/>
      <c r="KU48" s="114"/>
      <c r="KV48" s="114"/>
      <c r="KW48" s="114"/>
      <c r="KX48" s="114"/>
      <c r="KY48" s="114"/>
      <c r="KZ48" s="114"/>
      <c r="LA48" s="114"/>
      <c r="LB48" s="114"/>
      <c r="LC48" s="114"/>
      <c r="LD48" s="114"/>
      <c r="LE48" s="114"/>
      <c r="LF48" s="114"/>
      <c r="LG48" s="114"/>
      <c r="LH48" s="114"/>
      <c r="LI48" s="114"/>
      <c r="LJ48" s="114"/>
      <c r="LK48" s="114"/>
    </row>
    <row r="49" spans="1:323" ht="49.9" customHeight="1" x14ac:dyDescent="0.25">
      <c r="A49" s="127"/>
      <c r="B49" s="132"/>
      <c r="C49" s="132"/>
      <c r="D49" s="132"/>
      <c r="E49" s="127"/>
      <c r="F49" s="131"/>
      <c r="G49" s="20" t="s">
        <v>56</v>
      </c>
      <c r="H49" s="23" t="s">
        <v>59</v>
      </c>
      <c r="I49" s="78" t="s">
        <v>269</v>
      </c>
      <c r="J49" s="78" t="s">
        <v>269</v>
      </c>
      <c r="K49" s="78" t="s">
        <v>269</v>
      </c>
      <c r="L49" s="78" t="s">
        <v>269</v>
      </c>
      <c r="M49" s="78" t="s">
        <v>269</v>
      </c>
      <c r="N49" s="78" t="s">
        <v>269</v>
      </c>
      <c r="O49" s="78" t="s">
        <v>269</v>
      </c>
      <c r="P49" s="78" t="s">
        <v>269</v>
      </c>
      <c r="Q49" s="78" t="s">
        <v>269</v>
      </c>
      <c r="R49" s="78" t="s">
        <v>269</v>
      </c>
      <c r="S49" s="78" t="s">
        <v>269</v>
      </c>
      <c r="T49" s="78" t="s">
        <v>269</v>
      </c>
      <c r="U49" s="78" t="s">
        <v>269</v>
      </c>
      <c r="V49" s="78" t="s">
        <v>269</v>
      </c>
      <c r="W49" s="78" t="s">
        <v>269</v>
      </c>
      <c r="X49" s="78" t="s">
        <v>269</v>
      </c>
      <c r="Y49" s="78" t="s">
        <v>269</v>
      </c>
      <c r="Z49" s="78" t="s">
        <v>269</v>
      </c>
      <c r="AA49" s="78" t="s">
        <v>269</v>
      </c>
      <c r="AB49" s="78" t="s">
        <v>269</v>
      </c>
      <c r="AC49" s="78" t="s">
        <v>269</v>
      </c>
      <c r="AD49" s="78" t="s">
        <v>269</v>
      </c>
      <c r="AE49" s="78" t="s">
        <v>269</v>
      </c>
      <c r="AF49" s="78" t="s">
        <v>269</v>
      </c>
      <c r="AG49" s="78" t="s">
        <v>269</v>
      </c>
      <c r="AH49" s="78" t="s">
        <v>269</v>
      </c>
      <c r="AI49" s="78" t="s">
        <v>269</v>
      </c>
      <c r="AJ49" s="78" t="s">
        <v>269</v>
      </c>
      <c r="AK49" s="78" t="s">
        <v>269</v>
      </c>
      <c r="AL49" s="78" t="s">
        <v>269</v>
      </c>
      <c r="AM49" s="78" t="s">
        <v>269</v>
      </c>
      <c r="AN49" s="78" t="s">
        <v>269</v>
      </c>
      <c r="AO49" s="78" t="s">
        <v>269</v>
      </c>
      <c r="AP49" s="78" t="s">
        <v>269</v>
      </c>
      <c r="AQ49" s="78" t="s">
        <v>269</v>
      </c>
      <c r="AR49" s="78" t="s">
        <v>269</v>
      </c>
      <c r="AS49" s="78" t="s">
        <v>269</v>
      </c>
      <c r="AT49" s="78" t="s">
        <v>269</v>
      </c>
      <c r="AU49" s="78" t="s">
        <v>269</v>
      </c>
      <c r="AV49" s="78" t="s">
        <v>269</v>
      </c>
      <c r="AW49" s="78"/>
      <c r="AX49" s="78"/>
      <c r="AY49" s="78"/>
      <c r="AZ49" s="78"/>
      <c r="BA49" s="78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0"/>
      <c r="EO49" s="120"/>
      <c r="EP49" s="120"/>
      <c r="EQ49" s="120"/>
      <c r="ER49" s="120"/>
      <c r="ES49" s="120"/>
      <c r="ET49" s="120"/>
      <c r="EU49" s="120"/>
      <c r="EV49" s="120"/>
      <c r="EW49" s="120"/>
      <c r="EX49" s="120"/>
      <c r="EY49" s="120"/>
      <c r="EZ49" s="120"/>
      <c r="FA49" s="120"/>
      <c r="FB49" s="120"/>
      <c r="FC49" s="120"/>
      <c r="FD49" s="120"/>
      <c r="FE49" s="120"/>
      <c r="FF49" s="120"/>
      <c r="FG49" s="120"/>
      <c r="FH49" s="120"/>
      <c r="FI49" s="120"/>
      <c r="FJ49" s="120"/>
      <c r="FK49" s="120"/>
      <c r="FL49" s="120"/>
      <c r="FM49" s="120"/>
      <c r="FN49" s="120"/>
      <c r="FO49" s="120"/>
      <c r="FP49" s="120"/>
      <c r="FQ49" s="120"/>
      <c r="FR49" s="120"/>
      <c r="FS49" s="120"/>
      <c r="FT49" s="120"/>
      <c r="FU49" s="120"/>
      <c r="FV49" s="120"/>
      <c r="FW49" s="120"/>
      <c r="FX49" s="120"/>
      <c r="FY49" s="120"/>
      <c r="FZ49" s="120"/>
      <c r="GA49" s="120"/>
      <c r="GB49" s="120"/>
      <c r="GC49" s="120"/>
      <c r="GD49" s="120"/>
      <c r="GE49" s="120"/>
      <c r="GF49" s="120"/>
      <c r="GG49" s="115"/>
      <c r="GH49" s="115"/>
      <c r="GI49" s="115"/>
      <c r="GJ49" s="115"/>
      <c r="GK49" s="115"/>
      <c r="GL49" s="115"/>
      <c r="GM49" s="115"/>
      <c r="GN49" s="115"/>
      <c r="GO49" s="115"/>
      <c r="GP49" s="115"/>
      <c r="GQ49" s="115"/>
      <c r="GR49" s="115"/>
      <c r="GS49" s="115"/>
      <c r="GT49" s="115"/>
      <c r="GU49" s="115"/>
      <c r="GV49" s="115"/>
      <c r="GW49" s="115"/>
      <c r="GX49" s="115"/>
      <c r="GY49" s="115"/>
      <c r="GZ49" s="115"/>
      <c r="HA49" s="115"/>
      <c r="HB49" s="115"/>
      <c r="HC49" s="115"/>
      <c r="HD49" s="115"/>
      <c r="HE49" s="115"/>
      <c r="HF49" s="115"/>
      <c r="HG49" s="115"/>
      <c r="HH49" s="115"/>
      <c r="HI49" s="115"/>
      <c r="HJ49" s="115"/>
      <c r="HK49" s="115"/>
      <c r="HL49" s="115"/>
      <c r="HM49" s="115"/>
      <c r="HN49" s="115"/>
      <c r="HO49" s="115"/>
      <c r="HP49" s="115"/>
      <c r="HQ49" s="115"/>
      <c r="HR49" s="115"/>
      <c r="HS49" s="115"/>
      <c r="HT49" s="115"/>
      <c r="HU49" s="115"/>
      <c r="HV49" s="115"/>
      <c r="HW49" s="115"/>
      <c r="HX49" s="115"/>
      <c r="HY49" s="115"/>
      <c r="HZ49" s="117"/>
      <c r="IA49" s="117"/>
      <c r="IB49" s="117"/>
      <c r="IC49" s="117"/>
      <c r="ID49" s="117"/>
      <c r="IE49" s="117"/>
      <c r="IF49" s="117"/>
      <c r="IG49" s="117"/>
      <c r="IH49" s="117"/>
      <c r="II49" s="117"/>
      <c r="IJ49" s="117"/>
      <c r="IK49" s="117"/>
      <c r="IL49" s="117"/>
      <c r="IM49" s="117"/>
      <c r="IN49" s="117"/>
      <c r="IO49" s="117"/>
      <c r="IP49" s="117"/>
      <c r="IQ49" s="117"/>
      <c r="IR49" s="117"/>
      <c r="IS49" s="117"/>
      <c r="IT49" s="117"/>
      <c r="IU49" s="117"/>
      <c r="IV49" s="117"/>
      <c r="IW49" s="117"/>
      <c r="IX49" s="117"/>
      <c r="IY49" s="117"/>
      <c r="IZ49" s="117"/>
      <c r="JA49" s="117"/>
      <c r="JB49" s="117"/>
      <c r="JC49" s="117"/>
      <c r="JD49" s="117"/>
      <c r="JE49" s="117"/>
      <c r="JF49" s="117"/>
      <c r="JG49" s="117"/>
      <c r="JH49" s="117"/>
      <c r="JI49" s="117"/>
      <c r="JJ49" s="117"/>
      <c r="JK49" s="117"/>
      <c r="JL49" s="117"/>
      <c r="JM49" s="117"/>
      <c r="JN49" s="117"/>
      <c r="JO49" s="117"/>
      <c r="JP49" s="117"/>
      <c r="JQ49" s="117"/>
      <c r="JR49" s="117"/>
      <c r="JS49" s="114"/>
      <c r="JT49" s="114"/>
      <c r="JU49" s="114"/>
      <c r="JV49" s="114"/>
      <c r="JW49" s="114"/>
      <c r="JX49" s="114"/>
      <c r="JY49" s="114"/>
      <c r="JZ49" s="114"/>
      <c r="KA49" s="114"/>
      <c r="KB49" s="114"/>
      <c r="KC49" s="114"/>
      <c r="KD49" s="114"/>
      <c r="KE49" s="114"/>
      <c r="KF49" s="114"/>
      <c r="KG49" s="114"/>
      <c r="KH49" s="114"/>
      <c r="KI49" s="114"/>
      <c r="KJ49" s="114"/>
      <c r="KK49" s="114"/>
      <c r="KL49" s="114"/>
      <c r="KM49" s="114"/>
      <c r="KN49" s="114"/>
      <c r="KO49" s="114"/>
      <c r="KP49" s="114"/>
      <c r="KQ49" s="114"/>
      <c r="KR49" s="114"/>
      <c r="KS49" s="114"/>
      <c r="KT49" s="114"/>
      <c r="KU49" s="114"/>
      <c r="KV49" s="114"/>
      <c r="KW49" s="114"/>
      <c r="KX49" s="114"/>
      <c r="KY49" s="114"/>
      <c r="KZ49" s="114"/>
      <c r="LA49" s="114"/>
      <c r="LB49" s="114"/>
      <c r="LC49" s="114"/>
      <c r="LD49" s="114"/>
      <c r="LE49" s="114"/>
      <c r="LF49" s="114"/>
      <c r="LG49" s="114"/>
      <c r="LH49" s="114"/>
      <c r="LI49" s="114"/>
      <c r="LJ49" s="114"/>
      <c r="LK49" s="114"/>
    </row>
    <row r="50" spans="1:323" ht="51" customHeight="1" x14ac:dyDescent="0.25">
      <c r="A50" s="127"/>
      <c r="B50" s="132"/>
      <c r="C50" s="132"/>
      <c r="D50" s="132"/>
      <c r="E50" s="127"/>
      <c r="F50" s="131"/>
      <c r="G50" s="20" t="s">
        <v>56</v>
      </c>
      <c r="H50" s="23" t="s">
        <v>60</v>
      </c>
      <c r="I50" s="78" t="s">
        <v>269</v>
      </c>
      <c r="J50" s="78" t="s">
        <v>269</v>
      </c>
      <c r="K50" s="78" t="s">
        <v>269</v>
      </c>
      <c r="L50" s="78" t="s">
        <v>269</v>
      </c>
      <c r="M50" s="78" t="s">
        <v>269</v>
      </c>
      <c r="N50" s="78" t="s">
        <v>269</v>
      </c>
      <c r="O50" s="78" t="s">
        <v>269</v>
      </c>
      <c r="P50" s="78" t="s">
        <v>269</v>
      </c>
      <c r="Q50" s="78" t="s">
        <v>269</v>
      </c>
      <c r="R50" s="78" t="s">
        <v>269</v>
      </c>
      <c r="S50" s="78" t="s">
        <v>269</v>
      </c>
      <c r="T50" s="78" t="s">
        <v>269</v>
      </c>
      <c r="U50" s="78" t="s">
        <v>269</v>
      </c>
      <c r="V50" s="78" t="s">
        <v>269</v>
      </c>
      <c r="W50" s="78" t="s">
        <v>269</v>
      </c>
      <c r="X50" s="78" t="s">
        <v>269</v>
      </c>
      <c r="Y50" s="78" t="s">
        <v>269</v>
      </c>
      <c r="Z50" s="78" t="s">
        <v>269</v>
      </c>
      <c r="AA50" s="78" t="s">
        <v>269</v>
      </c>
      <c r="AB50" s="78" t="s">
        <v>269</v>
      </c>
      <c r="AC50" s="78" t="s">
        <v>269</v>
      </c>
      <c r="AD50" s="78" t="s">
        <v>269</v>
      </c>
      <c r="AE50" s="78" t="s">
        <v>269</v>
      </c>
      <c r="AF50" s="78" t="s">
        <v>269</v>
      </c>
      <c r="AG50" s="78" t="s">
        <v>269</v>
      </c>
      <c r="AH50" s="78" t="s">
        <v>269</v>
      </c>
      <c r="AI50" s="78" t="s">
        <v>269</v>
      </c>
      <c r="AJ50" s="78" t="s">
        <v>269</v>
      </c>
      <c r="AK50" s="78" t="s">
        <v>269</v>
      </c>
      <c r="AL50" s="78" t="s">
        <v>269</v>
      </c>
      <c r="AM50" s="78" t="s">
        <v>269</v>
      </c>
      <c r="AN50" s="78" t="s">
        <v>269</v>
      </c>
      <c r="AO50" s="78" t="s">
        <v>269</v>
      </c>
      <c r="AP50" s="78" t="s">
        <v>269</v>
      </c>
      <c r="AQ50" s="78" t="s">
        <v>269</v>
      </c>
      <c r="AR50" s="78" t="s">
        <v>269</v>
      </c>
      <c r="AS50" s="78" t="s">
        <v>269</v>
      </c>
      <c r="AT50" s="78" t="s">
        <v>269</v>
      </c>
      <c r="AU50" s="78" t="s">
        <v>269</v>
      </c>
      <c r="AV50" s="78" t="s">
        <v>269</v>
      </c>
      <c r="AW50" s="78"/>
      <c r="AX50" s="78"/>
      <c r="AY50" s="78"/>
      <c r="AZ50" s="78"/>
      <c r="BA50" s="78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0"/>
      <c r="EO50" s="120"/>
      <c r="EP50" s="120"/>
      <c r="EQ50" s="120"/>
      <c r="ER50" s="120"/>
      <c r="ES50" s="120"/>
      <c r="ET50" s="120"/>
      <c r="EU50" s="120"/>
      <c r="EV50" s="120"/>
      <c r="EW50" s="120"/>
      <c r="EX50" s="120"/>
      <c r="EY50" s="120"/>
      <c r="EZ50" s="120"/>
      <c r="FA50" s="120"/>
      <c r="FB50" s="120"/>
      <c r="FC50" s="120"/>
      <c r="FD50" s="120"/>
      <c r="FE50" s="120"/>
      <c r="FF50" s="120"/>
      <c r="FG50" s="120"/>
      <c r="FH50" s="120"/>
      <c r="FI50" s="120"/>
      <c r="FJ50" s="120"/>
      <c r="FK50" s="120"/>
      <c r="FL50" s="120"/>
      <c r="FM50" s="120"/>
      <c r="FN50" s="120"/>
      <c r="FO50" s="120"/>
      <c r="FP50" s="120"/>
      <c r="FQ50" s="120"/>
      <c r="FR50" s="120"/>
      <c r="FS50" s="120"/>
      <c r="FT50" s="120"/>
      <c r="FU50" s="120"/>
      <c r="FV50" s="120"/>
      <c r="FW50" s="120"/>
      <c r="FX50" s="120"/>
      <c r="FY50" s="120"/>
      <c r="FZ50" s="120"/>
      <c r="GA50" s="120"/>
      <c r="GB50" s="120"/>
      <c r="GC50" s="120"/>
      <c r="GD50" s="120"/>
      <c r="GE50" s="120"/>
      <c r="GF50" s="120"/>
      <c r="GG50" s="115"/>
      <c r="GH50" s="115"/>
      <c r="GI50" s="115"/>
      <c r="GJ50" s="115"/>
      <c r="GK50" s="115"/>
      <c r="GL50" s="115"/>
      <c r="GM50" s="115"/>
      <c r="GN50" s="115"/>
      <c r="GO50" s="115"/>
      <c r="GP50" s="115"/>
      <c r="GQ50" s="115"/>
      <c r="GR50" s="115"/>
      <c r="GS50" s="115"/>
      <c r="GT50" s="115"/>
      <c r="GU50" s="115"/>
      <c r="GV50" s="115"/>
      <c r="GW50" s="115"/>
      <c r="GX50" s="115"/>
      <c r="GY50" s="115"/>
      <c r="GZ50" s="115"/>
      <c r="HA50" s="115"/>
      <c r="HB50" s="115"/>
      <c r="HC50" s="115"/>
      <c r="HD50" s="115"/>
      <c r="HE50" s="115"/>
      <c r="HF50" s="115"/>
      <c r="HG50" s="115"/>
      <c r="HH50" s="115"/>
      <c r="HI50" s="115"/>
      <c r="HJ50" s="115"/>
      <c r="HK50" s="115"/>
      <c r="HL50" s="115"/>
      <c r="HM50" s="115"/>
      <c r="HN50" s="115"/>
      <c r="HO50" s="115"/>
      <c r="HP50" s="115"/>
      <c r="HQ50" s="115"/>
      <c r="HR50" s="115"/>
      <c r="HS50" s="115"/>
      <c r="HT50" s="115"/>
      <c r="HU50" s="115"/>
      <c r="HV50" s="115"/>
      <c r="HW50" s="115"/>
      <c r="HX50" s="115"/>
      <c r="HY50" s="115"/>
      <c r="HZ50" s="117"/>
      <c r="IA50" s="117"/>
      <c r="IB50" s="117"/>
      <c r="IC50" s="117"/>
      <c r="ID50" s="117"/>
      <c r="IE50" s="117"/>
      <c r="IF50" s="117"/>
      <c r="IG50" s="117"/>
      <c r="IH50" s="117"/>
      <c r="II50" s="117"/>
      <c r="IJ50" s="117"/>
      <c r="IK50" s="117"/>
      <c r="IL50" s="117"/>
      <c r="IM50" s="117"/>
      <c r="IN50" s="117"/>
      <c r="IO50" s="117"/>
      <c r="IP50" s="117"/>
      <c r="IQ50" s="117"/>
      <c r="IR50" s="117"/>
      <c r="IS50" s="117"/>
      <c r="IT50" s="117"/>
      <c r="IU50" s="117"/>
      <c r="IV50" s="117"/>
      <c r="IW50" s="117"/>
      <c r="IX50" s="117"/>
      <c r="IY50" s="117"/>
      <c r="IZ50" s="117"/>
      <c r="JA50" s="117"/>
      <c r="JB50" s="117"/>
      <c r="JC50" s="117"/>
      <c r="JD50" s="117"/>
      <c r="JE50" s="117"/>
      <c r="JF50" s="117"/>
      <c r="JG50" s="117"/>
      <c r="JH50" s="117"/>
      <c r="JI50" s="117"/>
      <c r="JJ50" s="117"/>
      <c r="JK50" s="117"/>
      <c r="JL50" s="117"/>
      <c r="JM50" s="117"/>
      <c r="JN50" s="117"/>
      <c r="JO50" s="117"/>
      <c r="JP50" s="117"/>
      <c r="JQ50" s="117"/>
      <c r="JR50" s="117"/>
      <c r="JS50" s="114"/>
      <c r="JT50" s="114"/>
      <c r="JU50" s="114"/>
      <c r="JV50" s="114"/>
      <c r="JW50" s="114"/>
      <c r="JX50" s="114"/>
      <c r="JY50" s="114"/>
      <c r="JZ50" s="114"/>
      <c r="KA50" s="114"/>
      <c r="KB50" s="114"/>
      <c r="KC50" s="114"/>
      <c r="KD50" s="114"/>
      <c r="KE50" s="114"/>
      <c r="KF50" s="114"/>
      <c r="KG50" s="114"/>
      <c r="KH50" s="114"/>
      <c r="KI50" s="114"/>
      <c r="KJ50" s="114"/>
      <c r="KK50" s="114"/>
      <c r="KL50" s="114"/>
      <c r="KM50" s="114"/>
      <c r="KN50" s="114"/>
      <c r="KO50" s="114"/>
      <c r="KP50" s="114"/>
      <c r="KQ50" s="114"/>
      <c r="KR50" s="114"/>
      <c r="KS50" s="114"/>
      <c r="KT50" s="114"/>
      <c r="KU50" s="114"/>
      <c r="KV50" s="114"/>
      <c r="KW50" s="114"/>
      <c r="KX50" s="114"/>
      <c r="KY50" s="114"/>
      <c r="KZ50" s="114"/>
      <c r="LA50" s="114"/>
      <c r="LB50" s="114"/>
      <c r="LC50" s="114"/>
      <c r="LD50" s="114"/>
      <c r="LE50" s="114"/>
      <c r="LF50" s="114"/>
      <c r="LG50" s="114"/>
      <c r="LH50" s="114"/>
      <c r="LI50" s="114"/>
      <c r="LJ50" s="114"/>
      <c r="LK50" s="114"/>
    </row>
    <row r="51" spans="1:323" ht="49.9" customHeight="1" x14ac:dyDescent="0.25">
      <c r="A51" s="127"/>
      <c r="B51" s="132"/>
      <c r="C51" s="132"/>
      <c r="D51" s="132"/>
      <c r="E51" s="127"/>
      <c r="F51" s="131"/>
      <c r="G51" s="20" t="s">
        <v>56</v>
      </c>
      <c r="H51" s="23" t="s">
        <v>61</v>
      </c>
      <c r="I51" s="78" t="s">
        <v>269</v>
      </c>
      <c r="J51" s="78" t="s">
        <v>269</v>
      </c>
      <c r="K51" s="78" t="s">
        <v>269</v>
      </c>
      <c r="L51" s="78" t="s">
        <v>269</v>
      </c>
      <c r="M51" s="78" t="s">
        <v>269</v>
      </c>
      <c r="N51" s="78" t="s">
        <v>269</v>
      </c>
      <c r="O51" s="78" t="s">
        <v>269</v>
      </c>
      <c r="P51" s="78" t="s">
        <v>269</v>
      </c>
      <c r="Q51" s="78" t="s">
        <v>269</v>
      </c>
      <c r="R51" s="78" t="s">
        <v>269</v>
      </c>
      <c r="S51" s="78" t="s">
        <v>269</v>
      </c>
      <c r="T51" s="78" t="s">
        <v>269</v>
      </c>
      <c r="U51" s="78" t="s">
        <v>269</v>
      </c>
      <c r="V51" s="78" t="s">
        <v>269</v>
      </c>
      <c r="W51" s="78" t="s">
        <v>269</v>
      </c>
      <c r="X51" s="78" t="s">
        <v>269</v>
      </c>
      <c r="Y51" s="78" t="s">
        <v>269</v>
      </c>
      <c r="Z51" s="78" t="s">
        <v>269</v>
      </c>
      <c r="AA51" s="78" t="s">
        <v>269</v>
      </c>
      <c r="AB51" s="78" t="s">
        <v>269</v>
      </c>
      <c r="AC51" s="78" t="s">
        <v>269</v>
      </c>
      <c r="AD51" s="78" t="s">
        <v>269</v>
      </c>
      <c r="AE51" s="78" t="s">
        <v>269</v>
      </c>
      <c r="AF51" s="78" t="s">
        <v>269</v>
      </c>
      <c r="AG51" s="78" t="s">
        <v>269</v>
      </c>
      <c r="AH51" s="78" t="s">
        <v>269</v>
      </c>
      <c r="AI51" s="78" t="s">
        <v>269</v>
      </c>
      <c r="AJ51" s="78" t="s">
        <v>269</v>
      </c>
      <c r="AK51" s="78" t="s">
        <v>269</v>
      </c>
      <c r="AL51" s="78" t="s">
        <v>269</v>
      </c>
      <c r="AM51" s="78" t="s">
        <v>269</v>
      </c>
      <c r="AN51" s="78" t="s">
        <v>269</v>
      </c>
      <c r="AO51" s="78" t="s">
        <v>269</v>
      </c>
      <c r="AP51" s="78" t="s">
        <v>269</v>
      </c>
      <c r="AQ51" s="78" t="s">
        <v>269</v>
      </c>
      <c r="AR51" s="78" t="s">
        <v>269</v>
      </c>
      <c r="AS51" s="78" t="s">
        <v>269</v>
      </c>
      <c r="AT51" s="78" t="s">
        <v>269</v>
      </c>
      <c r="AU51" s="78" t="s">
        <v>269</v>
      </c>
      <c r="AV51" s="78" t="s">
        <v>269</v>
      </c>
      <c r="AW51" s="78"/>
      <c r="AX51" s="78"/>
      <c r="AY51" s="78"/>
      <c r="AZ51" s="78"/>
      <c r="BA51" s="78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0"/>
      <c r="EO51" s="120"/>
      <c r="EP51" s="120"/>
      <c r="EQ51" s="120"/>
      <c r="ER51" s="120"/>
      <c r="ES51" s="120"/>
      <c r="ET51" s="120"/>
      <c r="EU51" s="120"/>
      <c r="EV51" s="120"/>
      <c r="EW51" s="120"/>
      <c r="EX51" s="120"/>
      <c r="EY51" s="120"/>
      <c r="EZ51" s="120"/>
      <c r="FA51" s="120"/>
      <c r="FB51" s="120"/>
      <c r="FC51" s="120"/>
      <c r="FD51" s="120"/>
      <c r="FE51" s="120"/>
      <c r="FF51" s="120"/>
      <c r="FG51" s="120"/>
      <c r="FH51" s="120"/>
      <c r="FI51" s="120"/>
      <c r="FJ51" s="120"/>
      <c r="FK51" s="120"/>
      <c r="FL51" s="120"/>
      <c r="FM51" s="120"/>
      <c r="FN51" s="120"/>
      <c r="FO51" s="120"/>
      <c r="FP51" s="120"/>
      <c r="FQ51" s="120"/>
      <c r="FR51" s="120"/>
      <c r="FS51" s="120"/>
      <c r="FT51" s="120"/>
      <c r="FU51" s="120"/>
      <c r="FV51" s="120"/>
      <c r="FW51" s="120"/>
      <c r="FX51" s="120"/>
      <c r="FY51" s="120"/>
      <c r="FZ51" s="120"/>
      <c r="GA51" s="120"/>
      <c r="GB51" s="120"/>
      <c r="GC51" s="120"/>
      <c r="GD51" s="120"/>
      <c r="GE51" s="120"/>
      <c r="GF51" s="120"/>
      <c r="GG51" s="115"/>
      <c r="GH51" s="115"/>
      <c r="GI51" s="115"/>
      <c r="GJ51" s="115"/>
      <c r="GK51" s="115"/>
      <c r="GL51" s="115"/>
      <c r="GM51" s="115"/>
      <c r="GN51" s="115"/>
      <c r="GO51" s="115"/>
      <c r="GP51" s="115"/>
      <c r="GQ51" s="115"/>
      <c r="GR51" s="115"/>
      <c r="GS51" s="115"/>
      <c r="GT51" s="115"/>
      <c r="GU51" s="115"/>
      <c r="GV51" s="115"/>
      <c r="GW51" s="115"/>
      <c r="GX51" s="115"/>
      <c r="GY51" s="115"/>
      <c r="GZ51" s="115"/>
      <c r="HA51" s="115"/>
      <c r="HB51" s="115"/>
      <c r="HC51" s="115"/>
      <c r="HD51" s="115"/>
      <c r="HE51" s="115"/>
      <c r="HF51" s="115"/>
      <c r="HG51" s="115"/>
      <c r="HH51" s="115"/>
      <c r="HI51" s="115"/>
      <c r="HJ51" s="115"/>
      <c r="HK51" s="115"/>
      <c r="HL51" s="115"/>
      <c r="HM51" s="115"/>
      <c r="HN51" s="115"/>
      <c r="HO51" s="115"/>
      <c r="HP51" s="115"/>
      <c r="HQ51" s="115"/>
      <c r="HR51" s="115"/>
      <c r="HS51" s="115"/>
      <c r="HT51" s="115"/>
      <c r="HU51" s="115"/>
      <c r="HV51" s="115"/>
      <c r="HW51" s="115"/>
      <c r="HX51" s="115"/>
      <c r="HY51" s="115"/>
      <c r="HZ51" s="117"/>
      <c r="IA51" s="117"/>
      <c r="IB51" s="117"/>
      <c r="IC51" s="117"/>
      <c r="ID51" s="117"/>
      <c r="IE51" s="117"/>
      <c r="IF51" s="117"/>
      <c r="IG51" s="117"/>
      <c r="IH51" s="117"/>
      <c r="II51" s="117"/>
      <c r="IJ51" s="117"/>
      <c r="IK51" s="117"/>
      <c r="IL51" s="117"/>
      <c r="IM51" s="117"/>
      <c r="IN51" s="117"/>
      <c r="IO51" s="117"/>
      <c r="IP51" s="117"/>
      <c r="IQ51" s="117"/>
      <c r="IR51" s="117"/>
      <c r="IS51" s="117"/>
      <c r="IT51" s="117"/>
      <c r="IU51" s="117"/>
      <c r="IV51" s="117"/>
      <c r="IW51" s="117"/>
      <c r="IX51" s="117"/>
      <c r="IY51" s="117"/>
      <c r="IZ51" s="117"/>
      <c r="JA51" s="117"/>
      <c r="JB51" s="117"/>
      <c r="JC51" s="117"/>
      <c r="JD51" s="117"/>
      <c r="JE51" s="117"/>
      <c r="JF51" s="117"/>
      <c r="JG51" s="117"/>
      <c r="JH51" s="117"/>
      <c r="JI51" s="117"/>
      <c r="JJ51" s="117"/>
      <c r="JK51" s="117"/>
      <c r="JL51" s="117"/>
      <c r="JM51" s="117"/>
      <c r="JN51" s="117"/>
      <c r="JO51" s="117"/>
      <c r="JP51" s="117"/>
      <c r="JQ51" s="117"/>
      <c r="JR51" s="117"/>
      <c r="JS51" s="114"/>
      <c r="JT51" s="114"/>
      <c r="JU51" s="114"/>
      <c r="JV51" s="114"/>
      <c r="JW51" s="114"/>
      <c r="JX51" s="114"/>
      <c r="JY51" s="114"/>
      <c r="JZ51" s="114"/>
      <c r="KA51" s="114"/>
      <c r="KB51" s="114"/>
      <c r="KC51" s="114"/>
      <c r="KD51" s="114"/>
      <c r="KE51" s="114"/>
      <c r="KF51" s="114"/>
      <c r="KG51" s="114"/>
      <c r="KH51" s="114"/>
      <c r="KI51" s="114"/>
      <c r="KJ51" s="114"/>
      <c r="KK51" s="114"/>
      <c r="KL51" s="114"/>
      <c r="KM51" s="114"/>
      <c r="KN51" s="114"/>
      <c r="KO51" s="114"/>
      <c r="KP51" s="114"/>
      <c r="KQ51" s="114"/>
      <c r="KR51" s="114"/>
      <c r="KS51" s="114"/>
      <c r="KT51" s="114"/>
      <c r="KU51" s="114"/>
      <c r="KV51" s="114"/>
      <c r="KW51" s="114"/>
      <c r="KX51" s="114"/>
      <c r="KY51" s="114"/>
      <c r="KZ51" s="114"/>
      <c r="LA51" s="114"/>
      <c r="LB51" s="114"/>
      <c r="LC51" s="114"/>
      <c r="LD51" s="114"/>
      <c r="LE51" s="114"/>
      <c r="LF51" s="114"/>
      <c r="LG51" s="114"/>
      <c r="LH51" s="114"/>
      <c r="LI51" s="114"/>
      <c r="LJ51" s="114"/>
      <c r="LK51" s="114"/>
    </row>
    <row r="52" spans="1:323" ht="35.450000000000003" customHeight="1" x14ac:dyDescent="0.25">
      <c r="A52" s="127"/>
      <c r="B52" s="132"/>
      <c r="C52" s="132"/>
      <c r="D52" s="132"/>
      <c r="E52" s="127">
        <v>2</v>
      </c>
      <c r="F52" s="131" t="s">
        <v>55</v>
      </c>
      <c r="G52" s="20" t="s">
        <v>56</v>
      </c>
      <c r="H52" s="23" t="s">
        <v>62</v>
      </c>
      <c r="I52" s="78" t="s">
        <v>269</v>
      </c>
      <c r="J52" s="78" t="s">
        <v>269</v>
      </c>
      <c r="K52" s="78" t="s">
        <v>269</v>
      </c>
      <c r="L52" s="78" t="s">
        <v>269</v>
      </c>
      <c r="M52" s="78" t="s">
        <v>269</v>
      </c>
      <c r="N52" s="78" t="s">
        <v>269</v>
      </c>
      <c r="O52" s="78" t="s">
        <v>269</v>
      </c>
      <c r="P52" s="78" t="s">
        <v>269</v>
      </c>
      <c r="Q52" s="78" t="s">
        <v>269</v>
      </c>
      <c r="R52" s="78" t="s">
        <v>269</v>
      </c>
      <c r="S52" s="78" t="s">
        <v>269</v>
      </c>
      <c r="T52" s="78" t="s">
        <v>269</v>
      </c>
      <c r="U52" s="78" t="s">
        <v>269</v>
      </c>
      <c r="V52" s="78" t="s">
        <v>269</v>
      </c>
      <c r="W52" s="78" t="s">
        <v>269</v>
      </c>
      <c r="X52" s="78" t="s">
        <v>269</v>
      </c>
      <c r="Y52" s="78" t="s">
        <v>269</v>
      </c>
      <c r="Z52" s="78" t="s">
        <v>269</v>
      </c>
      <c r="AA52" s="78" t="s">
        <v>269</v>
      </c>
      <c r="AB52" s="78" t="s">
        <v>269</v>
      </c>
      <c r="AC52" s="78" t="s">
        <v>269</v>
      </c>
      <c r="AD52" s="78" t="s">
        <v>269</v>
      </c>
      <c r="AE52" s="78" t="s">
        <v>269</v>
      </c>
      <c r="AF52" s="78" t="s">
        <v>269</v>
      </c>
      <c r="AG52" s="78" t="s">
        <v>269</v>
      </c>
      <c r="AH52" s="78" t="s">
        <v>269</v>
      </c>
      <c r="AI52" s="78" t="s">
        <v>269</v>
      </c>
      <c r="AJ52" s="78" t="s">
        <v>269</v>
      </c>
      <c r="AK52" s="78" t="s">
        <v>269</v>
      </c>
      <c r="AL52" s="78" t="s">
        <v>269</v>
      </c>
      <c r="AM52" s="78" t="s">
        <v>269</v>
      </c>
      <c r="AN52" s="78" t="s">
        <v>269</v>
      </c>
      <c r="AO52" s="78" t="s">
        <v>269</v>
      </c>
      <c r="AP52" s="78" t="s">
        <v>269</v>
      </c>
      <c r="AQ52" s="78" t="s">
        <v>269</v>
      </c>
      <c r="AR52" s="78" t="s">
        <v>269</v>
      </c>
      <c r="AS52" s="78" t="s">
        <v>269</v>
      </c>
      <c r="AT52" s="78" t="s">
        <v>269</v>
      </c>
      <c r="AU52" s="78" t="s">
        <v>269</v>
      </c>
      <c r="AV52" s="78" t="s">
        <v>269</v>
      </c>
      <c r="AW52" s="78"/>
      <c r="AX52" s="78"/>
      <c r="AY52" s="78"/>
      <c r="AZ52" s="78"/>
      <c r="BA52" s="78"/>
      <c r="BB52" s="122">
        <f t="shared" ref="BB52:CO52" si="131">IF(AND(I52="",I53="",I54="",I55="",I56="",I56=""),"",IF(COUNTIF(I52:I56,"v")=0,0,IF(AND(COUNTIF(I52:I56,"v")&gt;=1,COUNTIF(I52:I56,"v")&lt;4),1,2)))</f>
        <v>2</v>
      </c>
      <c r="BC52" s="122">
        <f t="shared" si="131"/>
        <v>2</v>
      </c>
      <c r="BD52" s="122">
        <f t="shared" si="131"/>
        <v>2</v>
      </c>
      <c r="BE52" s="122">
        <f t="shared" si="131"/>
        <v>2</v>
      </c>
      <c r="BF52" s="122">
        <f t="shared" si="131"/>
        <v>2</v>
      </c>
      <c r="BG52" s="122">
        <f t="shared" si="131"/>
        <v>2</v>
      </c>
      <c r="BH52" s="122">
        <f t="shared" si="131"/>
        <v>2</v>
      </c>
      <c r="BI52" s="122">
        <f t="shared" si="131"/>
        <v>2</v>
      </c>
      <c r="BJ52" s="122">
        <f t="shared" si="131"/>
        <v>2</v>
      </c>
      <c r="BK52" s="122">
        <f t="shared" si="131"/>
        <v>2</v>
      </c>
      <c r="BL52" s="122">
        <f t="shared" si="131"/>
        <v>2</v>
      </c>
      <c r="BM52" s="122">
        <f t="shared" si="131"/>
        <v>2</v>
      </c>
      <c r="BN52" s="122">
        <f t="shared" si="131"/>
        <v>2</v>
      </c>
      <c r="BO52" s="122">
        <f t="shared" si="131"/>
        <v>2</v>
      </c>
      <c r="BP52" s="122">
        <f t="shared" si="131"/>
        <v>2</v>
      </c>
      <c r="BQ52" s="122">
        <f t="shared" si="131"/>
        <v>2</v>
      </c>
      <c r="BR52" s="122">
        <f t="shared" si="131"/>
        <v>2</v>
      </c>
      <c r="BS52" s="122">
        <f t="shared" si="131"/>
        <v>2</v>
      </c>
      <c r="BT52" s="122">
        <f t="shared" si="131"/>
        <v>2</v>
      </c>
      <c r="BU52" s="122">
        <f t="shared" si="131"/>
        <v>2</v>
      </c>
      <c r="BV52" s="122">
        <f t="shared" si="131"/>
        <v>2</v>
      </c>
      <c r="BW52" s="122">
        <f t="shared" si="131"/>
        <v>2</v>
      </c>
      <c r="BX52" s="122">
        <f t="shared" si="131"/>
        <v>2</v>
      </c>
      <c r="BY52" s="122">
        <f t="shared" si="131"/>
        <v>2</v>
      </c>
      <c r="BZ52" s="122">
        <f t="shared" si="131"/>
        <v>2</v>
      </c>
      <c r="CA52" s="122">
        <f t="shared" si="131"/>
        <v>2</v>
      </c>
      <c r="CB52" s="122">
        <f t="shared" si="131"/>
        <v>2</v>
      </c>
      <c r="CC52" s="122">
        <f t="shared" si="131"/>
        <v>2</v>
      </c>
      <c r="CD52" s="122">
        <f t="shared" si="131"/>
        <v>2</v>
      </c>
      <c r="CE52" s="122">
        <f t="shared" si="131"/>
        <v>2</v>
      </c>
      <c r="CF52" s="122">
        <f t="shared" si="131"/>
        <v>2</v>
      </c>
      <c r="CG52" s="122">
        <f t="shared" si="131"/>
        <v>2</v>
      </c>
      <c r="CH52" s="122">
        <f t="shared" si="131"/>
        <v>2</v>
      </c>
      <c r="CI52" s="122">
        <f t="shared" si="131"/>
        <v>2</v>
      </c>
      <c r="CJ52" s="122">
        <f t="shared" si="131"/>
        <v>2</v>
      </c>
      <c r="CK52" s="122">
        <f t="shared" si="131"/>
        <v>2</v>
      </c>
      <c r="CL52" s="122">
        <f t="shared" si="131"/>
        <v>2</v>
      </c>
      <c r="CM52" s="122">
        <f t="shared" si="131"/>
        <v>2</v>
      </c>
      <c r="CN52" s="122">
        <f t="shared" si="131"/>
        <v>2</v>
      </c>
      <c r="CO52" s="122">
        <f t="shared" si="131"/>
        <v>2</v>
      </c>
      <c r="CP52" s="122" t="str">
        <f t="shared" ref="CP52:CT52" si="132">IF(AND(AW52="",AW53="",AW54="",AW55="",AW56="",AW56=""),"",IF(COUNTIF(AW52:AW56,"v")=0,0,IF(AND(COUNTIF(AW52:AW56,"v")&gt;=1,COUNTIF(AW52:AW56,"v")&lt;4),1,2)))</f>
        <v/>
      </c>
      <c r="CQ52" s="122" t="str">
        <f t="shared" si="132"/>
        <v/>
      </c>
      <c r="CR52" s="122" t="str">
        <f t="shared" si="132"/>
        <v/>
      </c>
      <c r="CS52" s="122" t="str">
        <f t="shared" si="132"/>
        <v/>
      </c>
      <c r="CT52" s="122" t="str">
        <f t="shared" si="132"/>
        <v/>
      </c>
      <c r="CU52" s="121" t="str">
        <f t="shared" ref="CU52:EH52" si="133">IF(BB52="","",IF(BB52=0,"Ditolak",IF(AND(BB52&gt;=1,BB52&lt;4),"Diperbaiki","Digunakan")))</f>
        <v>Diperbaiki</v>
      </c>
      <c r="CV52" s="121" t="str">
        <f t="shared" si="133"/>
        <v>Diperbaiki</v>
      </c>
      <c r="CW52" s="121" t="str">
        <f t="shared" si="133"/>
        <v>Diperbaiki</v>
      </c>
      <c r="CX52" s="121" t="str">
        <f t="shared" si="133"/>
        <v>Diperbaiki</v>
      </c>
      <c r="CY52" s="121" t="str">
        <f t="shared" si="133"/>
        <v>Diperbaiki</v>
      </c>
      <c r="CZ52" s="121" t="str">
        <f t="shared" si="133"/>
        <v>Diperbaiki</v>
      </c>
      <c r="DA52" s="121" t="str">
        <f t="shared" si="133"/>
        <v>Diperbaiki</v>
      </c>
      <c r="DB52" s="121" t="str">
        <f t="shared" si="133"/>
        <v>Diperbaiki</v>
      </c>
      <c r="DC52" s="121" t="str">
        <f t="shared" si="133"/>
        <v>Diperbaiki</v>
      </c>
      <c r="DD52" s="121" t="str">
        <f t="shared" si="133"/>
        <v>Diperbaiki</v>
      </c>
      <c r="DE52" s="121" t="str">
        <f t="shared" si="133"/>
        <v>Diperbaiki</v>
      </c>
      <c r="DF52" s="121" t="str">
        <f t="shared" si="133"/>
        <v>Diperbaiki</v>
      </c>
      <c r="DG52" s="121" t="str">
        <f t="shared" si="133"/>
        <v>Diperbaiki</v>
      </c>
      <c r="DH52" s="121" t="str">
        <f t="shared" si="133"/>
        <v>Diperbaiki</v>
      </c>
      <c r="DI52" s="121" t="str">
        <f t="shared" si="133"/>
        <v>Diperbaiki</v>
      </c>
      <c r="DJ52" s="121" t="str">
        <f t="shared" si="133"/>
        <v>Diperbaiki</v>
      </c>
      <c r="DK52" s="121" t="str">
        <f t="shared" si="133"/>
        <v>Diperbaiki</v>
      </c>
      <c r="DL52" s="121" t="str">
        <f t="shared" si="133"/>
        <v>Diperbaiki</v>
      </c>
      <c r="DM52" s="121" t="str">
        <f t="shared" si="133"/>
        <v>Diperbaiki</v>
      </c>
      <c r="DN52" s="121" t="str">
        <f t="shared" si="133"/>
        <v>Diperbaiki</v>
      </c>
      <c r="DO52" s="121" t="str">
        <f t="shared" si="133"/>
        <v>Diperbaiki</v>
      </c>
      <c r="DP52" s="121" t="str">
        <f t="shared" si="133"/>
        <v>Diperbaiki</v>
      </c>
      <c r="DQ52" s="121" t="str">
        <f t="shared" si="133"/>
        <v>Diperbaiki</v>
      </c>
      <c r="DR52" s="121" t="str">
        <f t="shared" si="133"/>
        <v>Diperbaiki</v>
      </c>
      <c r="DS52" s="121" t="str">
        <f t="shared" si="133"/>
        <v>Diperbaiki</v>
      </c>
      <c r="DT52" s="121" t="str">
        <f t="shared" si="133"/>
        <v>Diperbaiki</v>
      </c>
      <c r="DU52" s="121" t="str">
        <f t="shared" si="133"/>
        <v>Diperbaiki</v>
      </c>
      <c r="DV52" s="121" t="str">
        <f t="shared" si="133"/>
        <v>Diperbaiki</v>
      </c>
      <c r="DW52" s="121" t="str">
        <f t="shared" si="133"/>
        <v>Diperbaiki</v>
      </c>
      <c r="DX52" s="121" t="str">
        <f t="shared" si="133"/>
        <v>Diperbaiki</v>
      </c>
      <c r="DY52" s="121" t="str">
        <f t="shared" si="133"/>
        <v>Diperbaiki</v>
      </c>
      <c r="DZ52" s="121" t="str">
        <f t="shared" si="133"/>
        <v>Diperbaiki</v>
      </c>
      <c r="EA52" s="121" t="str">
        <f t="shared" si="133"/>
        <v>Diperbaiki</v>
      </c>
      <c r="EB52" s="121" t="str">
        <f t="shared" si="133"/>
        <v>Diperbaiki</v>
      </c>
      <c r="EC52" s="121" t="str">
        <f t="shared" si="133"/>
        <v>Diperbaiki</v>
      </c>
      <c r="ED52" s="121" t="str">
        <f t="shared" si="133"/>
        <v>Diperbaiki</v>
      </c>
      <c r="EE52" s="121" t="str">
        <f t="shared" si="133"/>
        <v>Diperbaiki</v>
      </c>
      <c r="EF52" s="121" t="str">
        <f t="shared" si="133"/>
        <v>Diperbaiki</v>
      </c>
      <c r="EG52" s="121" t="str">
        <f t="shared" si="133"/>
        <v>Diperbaiki</v>
      </c>
      <c r="EH52" s="121" t="str">
        <f t="shared" si="133"/>
        <v>Diperbaiki</v>
      </c>
      <c r="EI52" s="121" t="str">
        <f t="shared" ref="EI52:EM52" si="134">IF(CP52="","",IF(CP52=0,"Ditolak",IF(AND(CP52&gt;=1,CP52&lt;4),"Diperbaiki","Digunakan")))</f>
        <v/>
      </c>
      <c r="EJ52" s="121" t="str">
        <f t="shared" si="134"/>
        <v/>
      </c>
      <c r="EK52" s="121" t="str">
        <f t="shared" si="134"/>
        <v/>
      </c>
      <c r="EL52" s="121" t="str">
        <f t="shared" si="134"/>
        <v/>
      </c>
      <c r="EM52" s="121" t="str">
        <f t="shared" si="134"/>
        <v/>
      </c>
      <c r="EN52" s="120"/>
      <c r="EO52" s="120"/>
      <c r="EP52" s="120"/>
      <c r="EQ52" s="120"/>
      <c r="ER52" s="120"/>
      <c r="ES52" s="120"/>
      <c r="ET52" s="120"/>
      <c r="EU52" s="120"/>
      <c r="EV52" s="120"/>
      <c r="EW52" s="120"/>
      <c r="EX52" s="120"/>
      <c r="EY52" s="120"/>
      <c r="EZ52" s="120"/>
      <c r="FA52" s="120"/>
      <c r="FB52" s="120"/>
      <c r="FC52" s="120"/>
      <c r="FD52" s="120"/>
      <c r="FE52" s="120"/>
      <c r="FF52" s="120"/>
      <c r="FG52" s="120"/>
      <c r="FH52" s="120"/>
      <c r="FI52" s="120"/>
      <c r="FJ52" s="120"/>
      <c r="FK52" s="120"/>
      <c r="FL52" s="120"/>
      <c r="FM52" s="120"/>
      <c r="FN52" s="120"/>
      <c r="FO52" s="120"/>
      <c r="FP52" s="120"/>
      <c r="FQ52" s="120"/>
      <c r="FR52" s="120"/>
      <c r="FS52" s="120"/>
      <c r="FT52" s="120"/>
      <c r="FU52" s="120"/>
      <c r="FV52" s="120"/>
      <c r="FW52" s="120"/>
      <c r="FX52" s="120"/>
      <c r="FY52" s="120"/>
      <c r="FZ52" s="120"/>
      <c r="GA52" s="120"/>
      <c r="GB52" s="120"/>
      <c r="GC52" s="120"/>
      <c r="GD52" s="120"/>
      <c r="GE52" s="120"/>
      <c r="GF52" s="120"/>
      <c r="GG52" s="115"/>
      <c r="GH52" s="115"/>
      <c r="GI52" s="115"/>
      <c r="GJ52" s="115"/>
      <c r="GK52" s="115"/>
      <c r="GL52" s="115"/>
      <c r="GM52" s="115"/>
      <c r="GN52" s="115"/>
      <c r="GO52" s="115"/>
      <c r="GP52" s="115"/>
      <c r="GQ52" s="115"/>
      <c r="GR52" s="115"/>
      <c r="GS52" s="115"/>
      <c r="GT52" s="115"/>
      <c r="GU52" s="115"/>
      <c r="GV52" s="115"/>
      <c r="GW52" s="115"/>
      <c r="GX52" s="115"/>
      <c r="GY52" s="115"/>
      <c r="GZ52" s="115"/>
      <c r="HA52" s="115"/>
      <c r="HB52" s="115"/>
      <c r="HC52" s="115"/>
      <c r="HD52" s="115"/>
      <c r="HE52" s="115"/>
      <c r="HF52" s="115"/>
      <c r="HG52" s="115"/>
      <c r="HH52" s="115"/>
      <c r="HI52" s="115"/>
      <c r="HJ52" s="115"/>
      <c r="HK52" s="115"/>
      <c r="HL52" s="115"/>
      <c r="HM52" s="115"/>
      <c r="HN52" s="115"/>
      <c r="HO52" s="115"/>
      <c r="HP52" s="115"/>
      <c r="HQ52" s="115"/>
      <c r="HR52" s="115"/>
      <c r="HS52" s="115"/>
      <c r="HT52" s="115"/>
      <c r="HU52" s="115"/>
      <c r="HV52" s="115"/>
      <c r="HW52" s="115"/>
      <c r="HX52" s="115"/>
      <c r="HY52" s="115"/>
      <c r="HZ52" s="117"/>
      <c r="IA52" s="117"/>
      <c r="IB52" s="117"/>
      <c r="IC52" s="117"/>
      <c r="ID52" s="117"/>
      <c r="IE52" s="117"/>
      <c r="IF52" s="117"/>
      <c r="IG52" s="117"/>
      <c r="IH52" s="117"/>
      <c r="II52" s="117"/>
      <c r="IJ52" s="117"/>
      <c r="IK52" s="117"/>
      <c r="IL52" s="117"/>
      <c r="IM52" s="117"/>
      <c r="IN52" s="117"/>
      <c r="IO52" s="117"/>
      <c r="IP52" s="117"/>
      <c r="IQ52" s="117"/>
      <c r="IR52" s="117"/>
      <c r="IS52" s="117"/>
      <c r="IT52" s="117"/>
      <c r="IU52" s="117"/>
      <c r="IV52" s="117"/>
      <c r="IW52" s="117"/>
      <c r="IX52" s="117"/>
      <c r="IY52" s="117"/>
      <c r="IZ52" s="117"/>
      <c r="JA52" s="117"/>
      <c r="JB52" s="117"/>
      <c r="JC52" s="117"/>
      <c r="JD52" s="117"/>
      <c r="JE52" s="117"/>
      <c r="JF52" s="117"/>
      <c r="JG52" s="117"/>
      <c r="JH52" s="117"/>
      <c r="JI52" s="117"/>
      <c r="JJ52" s="117"/>
      <c r="JK52" s="117"/>
      <c r="JL52" s="117"/>
      <c r="JM52" s="117"/>
      <c r="JN52" s="117"/>
      <c r="JO52" s="117"/>
      <c r="JP52" s="117"/>
      <c r="JQ52" s="117"/>
      <c r="JR52" s="117"/>
      <c r="JS52" s="114"/>
      <c r="JT52" s="114"/>
      <c r="JU52" s="114"/>
      <c r="JV52" s="114"/>
      <c r="JW52" s="114"/>
      <c r="JX52" s="114"/>
      <c r="JY52" s="114"/>
      <c r="JZ52" s="114"/>
      <c r="KA52" s="114"/>
      <c r="KB52" s="114"/>
      <c r="KC52" s="114"/>
      <c r="KD52" s="114"/>
      <c r="KE52" s="114"/>
      <c r="KF52" s="114"/>
      <c r="KG52" s="114"/>
      <c r="KH52" s="114"/>
      <c r="KI52" s="114"/>
      <c r="KJ52" s="114"/>
      <c r="KK52" s="114"/>
      <c r="KL52" s="114"/>
      <c r="KM52" s="114"/>
      <c r="KN52" s="114"/>
      <c r="KO52" s="114"/>
      <c r="KP52" s="114"/>
      <c r="KQ52" s="114"/>
      <c r="KR52" s="114"/>
      <c r="KS52" s="114"/>
      <c r="KT52" s="114"/>
      <c r="KU52" s="114"/>
      <c r="KV52" s="114"/>
      <c r="KW52" s="114"/>
      <c r="KX52" s="114"/>
      <c r="KY52" s="114"/>
      <c r="KZ52" s="114"/>
      <c r="LA52" s="114"/>
      <c r="LB52" s="114"/>
      <c r="LC52" s="114"/>
      <c r="LD52" s="114"/>
      <c r="LE52" s="114"/>
      <c r="LF52" s="114"/>
      <c r="LG52" s="114"/>
      <c r="LH52" s="114"/>
      <c r="LI52" s="114"/>
      <c r="LJ52" s="114"/>
      <c r="LK52" s="114"/>
    </row>
    <row r="53" spans="1:323" ht="31.5" x14ac:dyDescent="0.25">
      <c r="A53" s="127"/>
      <c r="B53" s="132"/>
      <c r="C53" s="132"/>
      <c r="D53" s="132"/>
      <c r="E53" s="127"/>
      <c r="F53" s="131"/>
      <c r="G53" s="20" t="s">
        <v>56</v>
      </c>
      <c r="H53" s="23" t="s">
        <v>63</v>
      </c>
      <c r="I53" s="78" t="s">
        <v>269</v>
      </c>
      <c r="J53" s="78" t="s">
        <v>269</v>
      </c>
      <c r="K53" s="78" t="s">
        <v>269</v>
      </c>
      <c r="L53" s="78" t="s">
        <v>269</v>
      </c>
      <c r="M53" s="78" t="s">
        <v>269</v>
      </c>
      <c r="N53" s="78" t="s">
        <v>269</v>
      </c>
      <c r="O53" s="78" t="s">
        <v>269</v>
      </c>
      <c r="P53" s="78" t="s">
        <v>269</v>
      </c>
      <c r="Q53" s="78" t="s">
        <v>269</v>
      </c>
      <c r="R53" s="78" t="s">
        <v>269</v>
      </c>
      <c r="S53" s="78" t="s">
        <v>269</v>
      </c>
      <c r="T53" s="78" t="s">
        <v>269</v>
      </c>
      <c r="U53" s="78" t="s">
        <v>269</v>
      </c>
      <c r="V53" s="78" t="s">
        <v>269</v>
      </c>
      <c r="W53" s="78" t="s">
        <v>269</v>
      </c>
      <c r="X53" s="78" t="s">
        <v>269</v>
      </c>
      <c r="Y53" s="78" t="s">
        <v>269</v>
      </c>
      <c r="Z53" s="78" t="s">
        <v>269</v>
      </c>
      <c r="AA53" s="78" t="s">
        <v>269</v>
      </c>
      <c r="AB53" s="78" t="s">
        <v>269</v>
      </c>
      <c r="AC53" s="78" t="s">
        <v>269</v>
      </c>
      <c r="AD53" s="78" t="s">
        <v>269</v>
      </c>
      <c r="AE53" s="78" t="s">
        <v>269</v>
      </c>
      <c r="AF53" s="78" t="s">
        <v>269</v>
      </c>
      <c r="AG53" s="78" t="s">
        <v>269</v>
      </c>
      <c r="AH53" s="78" t="s">
        <v>269</v>
      </c>
      <c r="AI53" s="78" t="s">
        <v>269</v>
      </c>
      <c r="AJ53" s="78" t="s">
        <v>269</v>
      </c>
      <c r="AK53" s="78" t="s">
        <v>269</v>
      </c>
      <c r="AL53" s="78" t="s">
        <v>269</v>
      </c>
      <c r="AM53" s="78" t="s">
        <v>269</v>
      </c>
      <c r="AN53" s="78" t="s">
        <v>269</v>
      </c>
      <c r="AO53" s="78" t="s">
        <v>269</v>
      </c>
      <c r="AP53" s="78" t="s">
        <v>269</v>
      </c>
      <c r="AQ53" s="78" t="s">
        <v>269</v>
      </c>
      <c r="AR53" s="78" t="s">
        <v>269</v>
      </c>
      <c r="AS53" s="78" t="s">
        <v>269</v>
      </c>
      <c r="AT53" s="78" t="s">
        <v>269</v>
      </c>
      <c r="AU53" s="78" t="s">
        <v>269</v>
      </c>
      <c r="AV53" s="78" t="s">
        <v>269</v>
      </c>
      <c r="AW53" s="78"/>
      <c r="AX53" s="78"/>
      <c r="AY53" s="78"/>
      <c r="AZ53" s="78"/>
      <c r="BA53" s="78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  <c r="BP53" s="122"/>
      <c r="BQ53" s="122"/>
      <c r="BR53" s="122"/>
      <c r="BS53" s="122"/>
      <c r="BT53" s="122"/>
      <c r="BU53" s="122"/>
      <c r="BV53" s="122"/>
      <c r="BW53" s="122"/>
      <c r="BX53" s="122"/>
      <c r="BY53" s="122"/>
      <c r="BZ53" s="122"/>
      <c r="CA53" s="122"/>
      <c r="CB53" s="122"/>
      <c r="CC53" s="122"/>
      <c r="CD53" s="122"/>
      <c r="CE53" s="122"/>
      <c r="CF53" s="122"/>
      <c r="CG53" s="122"/>
      <c r="CH53" s="122"/>
      <c r="CI53" s="122"/>
      <c r="CJ53" s="122"/>
      <c r="CK53" s="122"/>
      <c r="CL53" s="122"/>
      <c r="CM53" s="122"/>
      <c r="CN53" s="122"/>
      <c r="CO53" s="122"/>
      <c r="CP53" s="122"/>
      <c r="CQ53" s="122"/>
      <c r="CR53" s="122"/>
      <c r="CS53" s="122"/>
      <c r="CT53" s="122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0"/>
      <c r="EO53" s="120"/>
      <c r="EP53" s="120"/>
      <c r="EQ53" s="120"/>
      <c r="ER53" s="120"/>
      <c r="ES53" s="120"/>
      <c r="ET53" s="120"/>
      <c r="EU53" s="120"/>
      <c r="EV53" s="120"/>
      <c r="EW53" s="120"/>
      <c r="EX53" s="120"/>
      <c r="EY53" s="120"/>
      <c r="EZ53" s="120"/>
      <c r="FA53" s="120"/>
      <c r="FB53" s="120"/>
      <c r="FC53" s="120"/>
      <c r="FD53" s="120"/>
      <c r="FE53" s="120"/>
      <c r="FF53" s="120"/>
      <c r="FG53" s="120"/>
      <c r="FH53" s="120"/>
      <c r="FI53" s="120"/>
      <c r="FJ53" s="120"/>
      <c r="FK53" s="120"/>
      <c r="FL53" s="120"/>
      <c r="FM53" s="120"/>
      <c r="FN53" s="120"/>
      <c r="FO53" s="120"/>
      <c r="FP53" s="120"/>
      <c r="FQ53" s="120"/>
      <c r="FR53" s="120"/>
      <c r="FS53" s="120"/>
      <c r="FT53" s="120"/>
      <c r="FU53" s="120"/>
      <c r="FV53" s="120"/>
      <c r="FW53" s="120"/>
      <c r="FX53" s="120"/>
      <c r="FY53" s="120"/>
      <c r="FZ53" s="120"/>
      <c r="GA53" s="120"/>
      <c r="GB53" s="120"/>
      <c r="GC53" s="120"/>
      <c r="GD53" s="120"/>
      <c r="GE53" s="120"/>
      <c r="GF53" s="120"/>
      <c r="GG53" s="115"/>
      <c r="GH53" s="115"/>
      <c r="GI53" s="115"/>
      <c r="GJ53" s="115"/>
      <c r="GK53" s="115"/>
      <c r="GL53" s="115"/>
      <c r="GM53" s="115"/>
      <c r="GN53" s="115"/>
      <c r="GO53" s="115"/>
      <c r="GP53" s="115"/>
      <c r="GQ53" s="115"/>
      <c r="GR53" s="115"/>
      <c r="GS53" s="115"/>
      <c r="GT53" s="115"/>
      <c r="GU53" s="115"/>
      <c r="GV53" s="115"/>
      <c r="GW53" s="115"/>
      <c r="GX53" s="115"/>
      <c r="GY53" s="115"/>
      <c r="GZ53" s="115"/>
      <c r="HA53" s="115"/>
      <c r="HB53" s="115"/>
      <c r="HC53" s="115"/>
      <c r="HD53" s="115"/>
      <c r="HE53" s="115"/>
      <c r="HF53" s="115"/>
      <c r="HG53" s="115"/>
      <c r="HH53" s="115"/>
      <c r="HI53" s="115"/>
      <c r="HJ53" s="115"/>
      <c r="HK53" s="115"/>
      <c r="HL53" s="115"/>
      <c r="HM53" s="115"/>
      <c r="HN53" s="115"/>
      <c r="HO53" s="115"/>
      <c r="HP53" s="115"/>
      <c r="HQ53" s="115"/>
      <c r="HR53" s="115"/>
      <c r="HS53" s="115"/>
      <c r="HT53" s="115"/>
      <c r="HU53" s="115"/>
      <c r="HV53" s="115"/>
      <c r="HW53" s="115"/>
      <c r="HX53" s="115"/>
      <c r="HY53" s="115"/>
      <c r="HZ53" s="117"/>
      <c r="IA53" s="117"/>
      <c r="IB53" s="117"/>
      <c r="IC53" s="117"/>
      <c r="ID53" s="117"/>
      <c r="IE53" s="117"/>
      <c r="IF53" s="117"/>
      <c r="IG53" s="117"/>
      <c r="IH53" s="117"/>
      <c r="II53" s="117"/>
      <c r="IJ53" s="117"/>
      <c r="IK53" s="117"/>
      <c r="IL53" s="117"/>
      <c r="IM53" s="117"/>
      <c r="IN53" s="117"/>
      <c r="IO53" s="117"/>
      <c r="IP53" s="117"/>
      <c r="IQ53" s="117"/>
      <c r="IR53" s="117"/>
      <c r="IS53" s="117"/>
      <c r="IT53" s="117"/>
      <c r="IU53" s="117"/>
      <c r="IV53" s="117"/>
      <c r="IW53" s="117"/>
      <c r="IX53" s="117"/>
      <c r="IY53" s="117"/>
      <c r="IZ53" s="117"/>
      <c r="JA53" s="117"/>
      <c r="JB53" s="117"/>
      <c r="JC53" s="117"/>
      <c r="JD53" s="117"/>
      <c r="JE53" s="117"/>
      <c r="JF53" s="117"/>
      <c r="JG53" s="117"/>
      <c r="JH53" s="117"/>
      <c r="JI53" s="117"/>
      <c r="JJ53" s="117"/>
      <c r="JK53" s="117"/>
      <c r="JL53" s="117"/>
      <c r="JM53" s="117"/>
      <c r="JN53" s="117"/>
      <c r="JO53" s="117"/>
      <c r="JP53" s="117"/>
      <c r="JQ53" s="117"/>
      <c r="JR53" s="117"/>
      <c r="JS53" s="114"/>
      <c r="JT53" s="114"/>
      <c r="JU53" s="114"/>
      <c r="JV53" s="114"/>
      <c r="JW53" s="114"/>
      <c r="JX53" s="114"/>
      <c r="JY53" s="114"/>
      <c r="JZ53" s="114"/>
      <c r="KA53" s="114"/>
      <c r="KB53" s="114"/>
      <c r="KC53" s="114"/>
      <c r="KD53" s="114"/>
      <c r="KE53" s="114"/>
      <c r="KF53" s="114"/>
      <c r="KG53" s="114"/>
      <c r="KH53" s="114"/>
      <c r="KI53" s="114"/>
      <c r="KJ53" s="114"/>
      <c r="KK53" s="114"/>
      <c r="KL53" s="114"/>
      <c r="KM53" s="114"/>
      <c r="KN53" s="114"/>
      <c r="KO53" s="114"/>
      <c r="KP53" s="114"/>
      <c r="KQ53" s="114"/>
      <c r="KR53" s="114"/>
      <c r="KS53" s="114"/>
      <c r="KT53" s="114"/>
      <c r="KU53" s="114"/>
      <c r="KV53" s="114"/>
      <c r="KW53" s="114"/>
      <c r="KX53" s="114"/>
      <c r="KY53" s="114"/>
      <c r="KZ53" s="114"/>
      <c r="LA53" s="114"/>
      <c r="LB53" s="114"/>
      <c r="LC53" s="114"/>
      <c r="LD53" s="114"/>
      <c r="LE53" s="114"/>
      <c r="LF53" s="114"/>
      <c r="LG53" s="114"/>
      <c r="LH53" s="114"/>
      <c r="LI53" s="114"/>
      <c r="LJ53" s="114"/>
      <c r="LK53" s="114"/>
    </row>
    <row r="54" spans="1:323" ht="63" x14ac:dyDescent="0.25">
      <c r="A54" s="127"/>
      <c r="B54" s="132"/>
      <c r="C54" s="132"/>
      <c r="D54" s="132"/>
      <c r="E54" s="127"/>
      <c r="F54" s="131"/>
      <c r="G54" s="20" t="s">
        <v>56</v>
      </c>
      <c r="H54" s="23" t="s">
        <v>64</v>
      </c>
      <c r="I54" s="78" t="s">
        <v>269</v>
      </c>
      <c r="J54" s="78" t="s">
        <v>269</v>
      </c>
      <c r="K54" s="78" t="s">
        <v>269</v>
      </c>
      <c r="L54" s="78" t="s">
        <v>269</v>
      </c>
      <c r="M54" s="78" t="s">
        <v>269</v>
      </c>
      <c r="N54" s="78" t="s">
        <v>269</v>
      </c>
      <c r="O54" s="78" t="s">
        <v>269</v>
      </c>
      <c r="P54" s="78" t="s">
        <v>269</v>
      </c>
      <c r="Q54" s="78" t="s">
        <v>269</v>
      </c>
      <c r="R54" s="78" t="s">
        <v>269</v>
      </c>
      <c r="S54" s="78" t="s">
        <v>269</v>
      </c>
      <c r="T54" s="78" t="s">
        <v>269</v>
      </c>
      <c r="U54" s="78" t="s">
        <v>269</v>
      </c>
      <c r="V54" s="78" t="s">
        <v>269</v>
      </c>
      <c r="W54" s="78" t="s">
        <v>269</v>
      </c>
      <c r="X54" s="78" t="s">
        <v>269</v>
      </c>
      <c r="Y54" s="78" t="s">
        <v>269</v>
      </c>
      <c r="Z54" s="78" t="s">
        <v>269</v>
      </c>
      <c r="AA54" s="78" t="s">
        <v>269</v>
      </c>
      <c r="AB54" s="78" t="s">
        <v>269</v>
      </c>
      <c r="AC54" s="78" t="s">
        <v>269</v>
      </c>
      <c r="AD54" s="78" t="s">
        <v>269</v>
      </c>
      <c r="AE54" s="78" t="s">
        <v>269</v>
      </c>
      <c r="AF54" s="78" t="s">
        <v>269</v>
      </c>
      <c r="AG54" s="78" t="s">
        <v>269</v>
      </c>
      <c r="AH54" s="78" t="s">
        <v>269</v>
      </c>
      <c r="AI54" s="78" t="s">
        <v>269</v>
      </c>
      <c r="AJ54" s="78" t="s">
        <v>269</v>
      </c>
      <c r="AK54" s="78" t="s">
        <v>269</v>
      </c>
      <c r="AL54" s="78" t="s">
        <v>269</v>
      </c>
      <c r="AM54" s="78" t="s">
        <v>269</v>
      </c>
      <c r="AN54" s="78" t="s">
        <v>269</v>
      </c>
      <c r="AO54" s="78" t="s">
        <v>269</v>
      </c>
      <c r="AP54" s="78" t="s">
        <v>269</v>
      </c>
      <c r="AQ54" s="78" t="s">
        <v>269</v>
      </c>
      <c r="AR54" s="78" t="s">
        <v>269</v>
      </c>
      <c r="AS54" s="78" t="s">
        <v>269</v>
      </c>
      <c r="AT54" s="78" t="s">
        <v>269</v>
      </c>
      <c r="AU54" s="78" t="s">
        <v>269</v>
      </c>
      <c r="AV54" s="78" t="s">
        <v>269</v>
      </c>
      <c r="AW54" s="78"/>
      <c r="AX54" s="78"/>
      <c r="AY54" s="78"/>
      <c r="AZ54" s="78"/>
      <c r="BA54" s="78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  <c r="BQ54" s="122"/>
      <c r="BR54" s="122"/>
      <c r="BS54" s="122"/>
      <c r="BT54" s="122"/>
      <c r="BU54" s="122"/>
      <c r="BV54" s="122"/>
      <c r="BW54" s="122"/>
      <c r="BX54" s="122"/>
      <c r="BY54" s="122"/>
      <c r="BZ54" s="122"/>
      <c r="CA54" s="122"/>
      <c r="CB54" s="122"/>
      <c r="CC54" s="122"/>
      <c r="CD54" s="122"/>
      <c r="CE54" s="122"/>
      <c r="CF54" s="122"/>
      <c r="CG54" s="122"/>
      <c r="CH54" s="122"/>
      <c r="CI54" s="122"/>
      <c r="CJ54" s="122"/>
      <c r="CK54" s="122"/>
      <c r="CL54" s="122"/>
      <c r="CM54" s="122"/>
      <c r="CN54" s="122"/>
      <c r="CO54" s="122"/>
      <c r="CP54" s="122"/>
      <c r="CQ54" s="122"/>
      <c r="CR54" s="122"/>
      <c r="CS54" s="122"/>
      <c r="CT54" s="122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0"/>
      <c r="EO54" s="120"/>
      <c r="EP54" s="120"/>
      <c r="EQ54" s="120"/>
      <c r="ER54" s="120"/>
      <c r="ES54" s="120"/>
      <c r="ET54" s="120"/>
      <c r="EU54" s="120"/>
      <c r="EV54" s="120"/>
      <c r="EW54" s="120"/>
      <c r="EX54" s="120"/>
      <c r="EY54" s="120"/>
      <c r="EZ54" s="120"/>
      <c r="FA54" s="120"/>
      <c r="FB54" s="120"/>
      <c r="FC54" s="120"/>
      <c r="FD54" s="120"/>
      <c r="FE54" s="120"/>
      <c r="FF54" s="120"/>
      <c r="FG54" s="120"/>
      <c r="FH54" s="120"/>
      <c r="FI54" s="120"/>
      <c r="FJ54" s="120"/>
      <c r="FK54" s="120"/>
      <c r="FL54" s="120"/>
      <c r="FM54" s="120"/>
      <c r="FN54" s="120"/>
      <c r="FO54" s="120"/>
      <c r="FP54" s="120"/>
      <c r="FQ54" s="120"/>
      <c r="FR54" s="120"/>
      <c r="FS54" s="120"/>
      <c r="FT54" s="120"/>
      <c r="FU54" s="120"/>
      <c r="FV54" s="120"/>
      <c r="FW54" s="120"/>
      <c r="FX54" s="120"/>
      <c r="FY54" s="120"/>
      <c r="FZ54" s="120"/>
      <c r="GA54" s="120"/>
      <c r="GB54" s="120"/>
      <c r="GC54" s="120"/>
      <c r="GD54" s="120"/>
      <c r="GE54" s="120"/>
      <c r="GF54" s="120"/>
      <c r="GG54" s="115"/>
      <c r="GH54" s="115"/>
      <c r="GI54" s="115"/>
      <c r="GJ54" s="115"/>
      <c r="GK54" s="115"/>
      <c r="GL54" s="115"/>
      <c r="GM54" s="115"/>
      <c r="GN54" s="115"/>
      <c r="GO54" s="115"/>
      <c r="GP54" s="115"/>
      <c r="GQ54" s="115"/>
      <c r="GR54" s="115"/>
      <c r="GS54" s="115"/>
      <c r="GT54" s="115"/>
      <c r="GU54" s="115"/>
      <c r="GV54" s="115"/>
      <c r="GW54" s="115"/>
      <c r="GX54" s="115"/>
      <c r="GY54" s="115"/>
      <c r="GZ54" s="115"/>
      <c r="HA54" s="115"/>
      <c r="HB54" s="115"/>
      <c r="HC54" s="115"/>
      <c r="HD54" s="115"/>
      <c r="HE54" s="115"/>
      <c r="HF54" s="115"/>
      <c r="HG54" s="115"/>
      <c r="HH54" s="115"/>
      <c r="HI54" s="115"/>
      <c r="HJ54" s="115"/>
      <c r="HK54" s="115"/>
      <c r="HL54" s="115"/>
      <c r="HM54" s="115"/>
      <c r="HN54" s="115"/>
      <c r="HO54" s="115"/>
      <c r="HP54" s="115"/>
      <c r="HQ54" s="115"/>
      <c r="HR54" s="115"/>
      <c r="HS54" s="115"/>
      <c r="HT54" s="115"/>
      <c r="HU54" s="115"/>
      <c r="HV54" s="115"/>
      <c r="HW54" s="115"/>
      <c r="HX54" s="115"/>
      <c r="HY54" s="115"/>
      <c r="HZ54" s="117"/>
      <c r="IA54" s="117"/>
      <c r="IB54" s="117"/>
      <c r="IC54" s="117"/>
      <c r="ID54" s="117"/>
      <c r="IE54" s="117"/>
      <c r="IF54" s="117"/>
      <c r="IG54" s="117"/>
      <c r="IH54" s="117"/>
      <c r="II54" s="117"/>
      <c r="IJ54" s="117"/>
      <c r="IK54" s="117"/>
      <c r="IL54" s="117"/>
      <c r="IM54" s="117"/>
      <c r="IN54" s="117"/>
      <c r="IO54" s="117"/>
      <c r="IP54" s="117"/>
      <c r="IQ54" s="117"/>
      <c r="IR54" s="117"/>
      <c r="IS54" s="117"/>
      <c r="IT54" s="117"/>
      <c r="IU54" s="117"/>
      <c r="IV54" s="117"/>
      <c r="IW54" s="117"/>
      <c r="IX54" s="117"/>
      <c r="IY54" s="117"/>
      <c r="IZ54" s="117"/>
      <c r="JA54" s="117"/>
      <c r="JB54" s="117"/>
      <c r="JC54" s="117"/>
      <c r="JD54" s="117"/>
      <c r="JE54" s="117"/>
      <c r="JF54" s="117"/>
      <c r="JG54" s="117"/>
      <c r="JH54" s="117"/>
      <c r="JI54" s="117"/>
      <c r="JJ54" s="117"/>
      <c r="JK54" s="117"/>
      <c r="JL54" s="117"/>
      <c r="JM54" s="117"/>
      <c r="JN54" s="117"/>
      <c r="JO54" s="117"/>
      <c r="JP54" s="117"/>
      <c r="JQ54" s="117"/>
      <c r="JR54" s="117"/>
      <c r="JS54" s="114"/>
      <c r="JT54" s="114"/>
      <c r="JU54" s="114"/>
      <c r="JV54" s="114"/>
      <c r="JW54" s="114"/>
      <c r="JX54" s="114"/>
      <c r="JY54" s="114"/>
      <c r="JZ54" s="114"/>
      <c r="KA54" s="114"/>
      <c r="KB54" s="114"/>
      <c r="KC54" s="114"/>
      <c r="KD54" s="114"/>
      <c r="KE54" s="114"/>
      <c r="KF54" s="114"/>
      <c r="KG54" s="114"/>
      <c r="KH54" s="114"/>
      <c r="KI54" s="114"/>
      <c r="KJ54" s="114"/>
      <c r="KK54" s="114"/>
      <c r="KL54" s="114"/>
      <c r="KM54" s="114"/>
      <c r="KN54" s="114"/>
      <c r="KO54" s="114"/>
      <c r="KP54" s="114"/>
      <c r="KQ54" s="114"/>
      <c r="KR54" s="114"/>
      <c r="KS54" s="114"/>
      <c r="KT54" s="114"/>
      <c r="KU54" s="114"/>
      <c r="KV54" s="114"/>
      <c r="KW54" s="114"/>
      <c r="KX54" s="114"/>
      <c r="KY54" s="114"/>
      <c r="KZ54" s="114"/>
      <c r="LA54" s="114"/>
      <c r="LB54" s="114"/>
      <c r="LC54" s="114"/>
      <c r="LD54" s="114"/>
      <c r="LE54" s="114"/>
      <c r="LF54" s="114"/>
      <c r="LG54" s="114"/>
      <c r="LH54" s="114"/>
      <c r="LI54" s="114"/>
      <c r="LJ54" s="114"/>
      <c r="LK54" s="114"/>
    </row>
    <row r="55" spans="1:323" ht="47.25" x14ac:dyDescent="0.25">
      <c r="A55" s="127"/>
      <c r="B55" s="132"/>
      <c r="C55" s="132"/>
      <c r="D55" s="132"/>
      <c r="E55" s="127"/>
      <c r="F55" s="131"/>
      <c r="G55" s="20" t="s">
        <v>56</v>
      </c>
      <c r="H55" s="23" t="s">
        <v>65</v>
      </c>
      <c r="I55" s="78" t="s">
        <v>269</v>
      </c>
      <c r="J55" s="78" t="s">
        <v>269</v>
      </c>
      <c r="K55" s="78" t="s">
        <v>269</v>
      </c>
      <c r="L55" s="78" t="s">
        <v>269</v>
      </c>
      <c r="M55" s="78" t="s">
        <v>269</v>
      </c>
      <c r="N55" s="78" t="s">
        <v>269</v>
      </c>
      <c r="O55" s="78" t="s">
        <v>269</v>
      </c>
      <c r="P55" s="78" t="s">
        <v>269</v>
      </c>
      <c r="Q55" s="78" t="s">
        <v>269</v>
      </c>
      <c r="R55" s="78" t="s">
        <v>269</v>
      </c>
      <c r="S55" s="78" t="s">
        <v>269</v>
      </c>
      <c r="T55" s="78" t="s">
        <v>269</v>
      </c>
      <c r="U55" s="78" t="s">
        <v>269</v>
      </c>
      <c r="V55" s="78" t="s">
        <v>269</v>
      </c>
      <c r="W55" s="78" t="s">
        <v>269</v>
      </c>
      <c r="X55" s="78" t="s">
        <v>269</v>
      </c>
      <c r="Y55" s="78" t="s">
        <v>269</v>
      </c>
      <c r="Z55" s="78" t="s">
        <v>269</v>
      </c>
      <c r="AA55" s="78" t="s">
        <v>269</v>
      </c>
      <c r="AB55" s="78" t="s">
        <v>269</v>
      </c>
      <c r="AC55" s="78" t="s">
        <v>269</v>
      </c>
      <c r="AD55" s="78" t="s">
        <v>269</v>
      </c>
      <c r="AE55" s="78" t="s">
        <v>269</v>
      </c>
      <c r="AF55" s="78" t="s">
        <v>269</v>
      </c>
      <c r="AG55" s="78" t="s">
        <v>269</v>
      </c>
      <c r="AH55" s="78" t="s">
        <v>269</v>
      </c>
      <c r="AI55" s="78" t="s">
        <v>269</v>
      </c>
      <c r="AJ55" s="78" t="s">
        <v>269</v>
      </c>
      <c r="AK55" s="78" t="s">
        <v>269</v>
      </c>
      <c r="AL55" s="78" t="s">
        <v>269</v>
      </c>
      <c r="AM55" s="78" t="s">
        <v>269</v>
      </c>
      <c r="AN55" s="78" t="s">
        <v>269</v>
      </c>
      <c r="AO55" s="78" t="s">
        <v>269</v>
      </c>
      <c r="AP55" s="78" t="s">
        <v>269</v>
      </c>
      <c r="AQ55" s="78" t="s">
        <v>269</v>
      </c>
      <c r="AR55" s="78" t="s">
        <v>269</v>
      </c>
      <c r="AS55" s="78" t="s">
        <v>269</v>
      </c>
      <c r="AT55" s="78" t="s">
        <v>269</v>
      </c>
      <c r="AU55" s="78" t="s">
        <v>269</v>
      </c>
      <c r="AV55" s="78" t="s">
        <v>269</v>
      </c>
      <c r="AW55" s="78"/>
      <c r="AX55" s="78"/>
      <c r="AY55" s="78"/>
      <c r="AZ55" s="78"/>
      <c r="BA55" s="78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122"/>
      <c r="BS55" s="122"/>
      <c r="BT55" s="122"/>
      <c r="BU55" s="122"/>
      <c r="BV55" s="122"/>
      <c r="BW55" s="122"/>
      <c r="BX55" s="122"/>
      <c r="BY55" s="122"/>
      <c r="BZ55" s="122"/>
      <c r="CA55" s="122"/>
      <c r="CB55" s="122"/>
      <c r="CC55" s="122"/>
      <c r="CD55" s="122"/>
      <c r="CE55" s="122"/>
      <c r="CF55" s="122"/>
      <c r="CG55" s="122"/>
      <c r="CH55" s="122"/>
      <c r="CI55" s="122"/>
      <c r="CJ55" s="122"/>
      <c r="CK55" s="122"/>
      <c r="CL55" s="122"/>
      <c r="CM55" s="122"/>
      <c r="CN55" s="122"/>
      <c r="CO55" s="122"/>
      <c r="CP55" s="122"/>
      <c r="CQ55" s="122"/>
      <c r="CR55" s="122"/>
      <c r="CS55" s="122"/>
      <c r="CT55" s="122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0"/>
      <c r="EO55" s="120"/>
      <c r="EP55" s="120"/>
      <c r="EQ55" s="120"/>
      <c r="ER55" s="120"/>
      <c r="ES55" s="120"/>
      <c r="ET55" s="120"/>
      <c r="EU55" s="120"/>
      <c r="EV55" s="120"/>
      <c r="EW55" s="120"/>
      <c r="EX55" s="120"/>
      <c r="EY55" s="120"/>
      <c r="EZ55" s="120"/>
      <c r="FA55" s="120"/>
      <c r="FB55" s="120"/>
      <c r="FC55" s="120"/>
      <c r="FD55" s="120"/>
      <c r="FE55" s="120"/>
      <c r="FF55" s="120"/>
      <c r="FG55" s="120"/>
      <c r="FH55" s="120"/>
      <c r="FI55" s="120"/>
      <c r="FJ55" s="120"/>
      <c r="FK55" s="120"/>
      <c r="FL55" s="120"/>
      <c r="FM55" s="120"/>
      <c r="FN55" s="120"/>
      <c r="FO55" s="120"/>
      <c r="FP55" s="120"/>
      <c r="FQ55" s="120"/>
      <c r="FR55" s="120"/>
      <c r="FS55" s="120"/>
      <c r="FT55" s="120"/>
      <c r="FU55" s="120"/>
      <c r="FV55" s="120"/>
      <c r="FW55" s="120"/>
      <c r="FX55" s="120"/>
      <c r="FY55" s="120"/>
      <c r="FZ55" s="120"/>
      <c r="GA55" s="120"/>
      <c r="GB55" s="120"/>
      <c r="GC55" s="120"/>
      <c r="GD55" s="120"/>
      <c r="GE55" s="120"/>
      <c r="GF55" s="120"/>
      <c r="GG55" s="115"/>
      <c r="GH55" s="115"/>
      <c r="GI55" s="115"/>
      <c r="GJ55" s="115"/>
      <c r="GK55" s="115"/>
      <c r="GL55" s="115"/>
      <c r="GM55" s="115"/>
      <c r="GN55" s="115"/>
      <c r="GO55" s="115"/>
      <c r="GP55" s="115"/>
      <c r="GQ55" s="115"/>
      <c r="GR55" s="115"/>
      <c r="GS55" s="115"/>
      <c r="GT55" s="115"/>
      <c r="GU55" s="115"/>
      <c r="GV55" s="115"/>
      <c r="GW55" s="115"/>
      <c r="GX55" s="115"/>
      <c r="GY55" s="115"/>
      <c r="GZ55" s="115"/>
      <c r="HA55" s="115"/>
      <c r="HB55" s="115"/>
      <c r="HC55" s="115"/>
      <c r="HD55" s="115"/>
      <c r="HE55" s="115"/>
      <c r="HF55" s="115"/>
      <c r="HG55" s="115"/>
      <c r="HH55" s="115"/>
      <c r="HI55" s="115"/>
      <c r="HJ55" s="115"/>
      <c r="HK55" s="115"/>
      <c r="HL55" s="115"/>
      <c r="HM55" s="115"/>
      <c r="HN55" s="115"/>
      <c r="HO55" s="115"/>
      <c r="HP55" s="115"/>
      <c r="HQ55" s="115"/>
      <c r="HR55" s="115"/>
      <c r="HS55" s="115"/>
      <c r="HT55" s="115"/>
      <c r="HU55" s="115"/>
      <c r="HV55" s="115"/>
      <c r="HW55" s="115"/>
      <c r="HX55" s="115"/>
      <c r="HY55" s="115"/>
      <c r="HZ55" s="117"/>
      <c r="IA55" s="117"/>
      <c r="IB55" s="117"/>
      <c r="IC55" s="117"/>
      <c r="ID55" s="117"/>
      <c r="IE55" s="117"/>
      <c r="IF55" s="117"/>
      <c r="IG55" s="117"/>
      <c r="IH55" s="117"/>
      <c r="II55" s="117"/>
      <c r="IJ55" s="117"/>
      <c r="IK55" s="117"/>
      <c r="IL55" s="117"/>
      <c r="IM55" s="117"/>
      <c r="IN55" s="117"/>
      <c r="IO55" s="117"/>
      <c r="IP55" s="117"/>
      <c r="IQ55" s="117"/>
      <c r="IR55" s="117"/>
      <c r="IS55" s="117"/>
      <c r="IT55" s="117"/>
      <c r="IU55" s="117"/>
      <c r="IV55" s="117"/>
      <c r="IW55" s="117"/>
      <c r="IX55" s="117"/>
      <c r="IY55" s="117"/>
      <c r="IZ55" s="117"/>
      <c r="JA55" s="117"/>
      <c r="JB55" s="117"/>
      <c r="JC55" s="117"/>
      <c r="JD55" s="117"/>
      <c r="JE55" s="117"/>
      <c r="JF55" s="117"/>
      <c r="JG55" s="117"/>
      <c r="JH55" s="117"/>
      <c r="JI55" s="117"/>
      <c r="JJ55" s="117"/>
      <c r="JK55" s="117"/>
      <c r="JL55" s="117"/>
      <c r="JM55" s="117"/>
      <c r="JN55" s="117"/>
      <c r="JO55" s="117"/>
      <c r="JP55" s="117"/>
      <c r="JQ55" s="117"/>
      <c r="JR55" s="117"/>
      <c r="JS55" s="114"/>
      <c r="JT55" s="114"/>
      <c r="JU55" s="114"/>
      <c r="JV55" s="114"/>
      <c r="JW55" s="114"/>
      <c r="JX55" s="114"/>
      <c r="JY55" s="114"/>
      <c r="JZ55" s="114"/>
      <c r="KA55" s="114"/>
      <c r="KB55" s="114"/>
      <c r="KC55" s="114"/>
      <c r="KD55" s="114"/>
      <c r="KE55" s="114"/>
      <c r="KF55" s="114"/>
      <c r="KG55" s="114"/>
      <c r="KH55" s="114"/>
      <c r="KI55" s="114"/>
      <c r="KJ55" s="114"/>
      <c r="KK55" s="114"/>
      <c r="KL55" s="114"/>
      <c r="KM55" s="114"/>
      <c r="KN55" s="114"/>
      <c r="KO55" s="114"/>
      <c r="KP55" s="114"/>
      <c r="KQ55" s="114"/>
      <c r="KR55" s="114"/>
      <c r="KS55" s="114"/>
      <c r="KT55" s="114"/>
      <c r="KU55" s="114"/>
      <c r="KV55" s="114"/>
      <c r="KW55" s="114"/>
      <c r="KX55" s="114"/>
      <c r="KY55" s="114"/>
      <c r="KZ55" s="114"/>
      <c r="LA55" s="114"/>
      <c r="LB55" s="114"/>
      <c r="LC55" s="114"/>
      <c r="LD55" s="114"/>
      <c r="LE55" s="114"/>
      <c r="LF55" s="114"/>
      <c r="LG55" s="114"/>
      <c r="LH55" s="114"/>
      <c r="LI55" s="114"/>
      <c r="LJ55" s="114"/>
      <c r="LK55" s="114"/>
    </row>
    <row r="56" spans="1:323" ht="48" customHeight="1" x14ac:dyDescent="0.25">
      <c r="A56" s="127"/>
      <c r="B56" s="132"/>
      <c r="C56" s="132"/>
      <c r="D56" s="132"/>
      <c r="E56" s="127"/>
      <c r="F56" s="131"/>
      <c r="G56" s="20" t="s">
        <v>56</v>
      </c>
      <c r="H56" s="23" t="s">
        <v>66</v>
      </c>
      <c r="I56" s="78" t="s">
        <v>269</v>
      </c>
      <c r="J56" s="78" t="s">
        <v>269</v>
      </c>
      <c r="K56" s="78" t="s">
        <v>269</v>
      </c>
      <c r="L56" s="78" t="s">
        <v>269</v>
      </c>
      <c r="M56" s="78" t="s">
        <v>269</v>
      </c>
      <c r="N56" s="78" t="s">
        <v>269</v>
      </c>
      <c r="O56" s="78" t="s">
        <v>269</v>
      </c>
      <c r="P56" s="78" t="s">
        <v>269</v>
      </c>
      <c r="Q56" s="78" t="s">
        <v>269</v>
      </c>
      <c r="R56" s="78" t="s">
        <v>269</v>
      </c>
      <c r="S56" s="78" t="s">
        <v>269</v>
      </c>
      <c r="T56" s="78" t="s">
        <v>269</v>
      </c>
      <c r="U56" s="78" t="s">
        <v>269</v>
      </c>
      <c r="V56" s="78" t="s">
        <v>269</v>
      </c>
      <c r="W56" s="78" t="s">
        <v>269</v>
      </c>
      <c r="X56" s="78" t="s">
        <v>269</v>
      </c>
      <c r="Y56" s="78" t="s">
        <v>269</v>
      </c>
      <c r="Z56" s="78" t="s">
        <v>269</v>
      </c>
      <c r="AA56" s="78" t="s">
        <v>269</v>
      </c>
      <c r="AB56" s="78" t="s">
        <v>269</v>
      </c>
      <c r="AC56" s="78" t="s">
        <v>269</v>
      </c>
      <c r="AD56" s="78" t="s">
        <v>269</v>
      </c>
      <c r="AE56" s="78" t="s">
        <v>269</v>
      </c>
      <c r="AF56" s="78" t="s">
        <v>269</v>
      </c>
      <c r="AG56" s="78" t="s">
        <v>269</v>
      </c>
      <c r="AH56" s="78" t="s">
        <v>269</v>
      </c>
      <c r="AI56" s="78" t="s">
        <v>269</v>
      </c>
      <c r="AJ56" s="78" t="s">
        <v>269</v>
      </c>
      <c r="AK56" s="78" t="s">
        <v>269</v>
      </c>
      <c r="AL56" s="78" t="s">
        <v>269</v>
      </c>
      <c r="AM56" s="78" t="s">
        <v>269</v>
      </c>
      <c r="AN56" s="78" t="s">
        <v>269</v>
      </c>
      <c r="AO56" s="78" t="s">
        <v>269</v>
      </c>
      <c r="AP56" s="78" t="s">
        <v>269</v>
      </c>
      <c r="AQ56" s="78" t="s">
        <v>269</v>
      </c>
      <c r="AR56" s="78" t="s">
        <v>269</v>
      </c>
      <c r="AS56" s="78" t="s">
        <v>269</v>
      </c>
      <c r="AT56" s="78" t="s">
        <v>269</v>
      </c>
      <c r="AU56" s="78" t="s">
        <v>269</v>
      </c>
      <c r="AV56" s="78" t="s">
        <v>269</v>
      </c>
      <c r="AW56" s="78"/>
      <c r="AX56" s="78"/>
      <c r="AY56" s="78"/>
      <c r="AZ56" s="78"/>
      <c r="BA56" s="78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/>
      <c r="CM56" s="122"/>
      <c r="CN56" s="122"/>
      <c r="CO56" s="122"/>
      <c r="CP56" s="122"/>
      <c r="CQ56" s="122"/>
      <c r="CR56" s="122"/>
      <c r="CS56" s="122"/>
      <c r="CT56" s="122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0"/>
      <c r="EO56" s="120"/>
      <c r="EP56" s="120"/>
      <c r="EQ56" s="120"/>
      <c r="ER56" s="120"/>
      <c r="ES56" s="120"/>
      <c r="ET56" s="120"/>
      <c r="EU56" s="120"/>
      <c r="EV56" s="120"/>
      <c r="EW56" s="120"/>
      <c r="EX56" s="120"/>
      <c r="EY56" s="120"/>
      <c r="EZ56" s="120"/>
      <c r="FA56" s="120"/>
      <c r="FB56" s="120"/>
      <c r="FC56" s="120"/>
      <c r="FD56" s="120"/>
      <c r="FE56" s="120"/>
      <c r="FF56" s="120"/>
      <c r="FG56" s="120"/>
      <c r="FH56" s="120"/>
      <c r="FI56" s="120"/>
      <c r="FJ56" s="120"/>
      <c r="FK56" s="120"/>
      <c r="FL56" s="120"/>
      <c r="FM56" s="120"/>
      <c r="FN56" s="120"/>
      <c r="FO56" s="120"/>
      <c r="FP56" s="120"/>
      <c r="FQ56" s="120"/>
      <c r="FR56" s="120"/>
      <c r="FS56" s="120"/>
      <c r="FT56" s="120"/>
      <c r="FU56" s="120"/>
      <c r="FV56" s="120"/>
      <c r="FW56" s="120"/>
      <c r="FX56" s="120"/>
      <c r="FY56" s="120"/>
      <c r="FZ56" s="120"/>
      <c r="GA56" s="120"/>
      <c r="GB56" s="120"/>
      <c r="GC56" s="120"/>
      <c r="GD56" s="120"/>
      <c r="GE56" s="120"/>
      <c r="GF56" s="120"/>
      <c r="GG56" s="115"/>
      <c r="GH56" s="115"/>
      <c r="GI56" s="115"/>
      <c r="GJ56" s="115"/>
      <c r="GK56" s="115"/>
      <c r="GL56" s="115"/>
      <c r="GM56" s="115"/>
      <c r="GN56" s="115"/>
      <c r="GO56" s="115"/>
      <c r="GP56" s="115"/>
      <c r="GQ56" s="115"/>
      <c r="GR56" s="115"/>
      <c r="GS56" s="115"/>
      <c r="GT56" s="115"/>
      <c r="GU56" s="115"/>
      <c r="GV56" s="115"/>
      <c r="GW56" s="115"/>
      <c r="GX56" s="115"/>
      <c r="GY56" s="115"/>
      <c r="GZ56" s="115"/>
      <c r="HA56" s="115"/>
      <c r="HB56" s="115"/>
      <c r="HC56" s="115"/>
      <c r="HD56" s="115"/>
      <c r="HE56" s="115"/>
      <c r="HF56" s="115"/>
      <c r="HG56" s="115"/>
      <c r="HH56" s="115"/>
      <c r="HI56" s="115"/>
      <c r="HJ56" s="115"/>
      <c r="HK56" s="115"/>
      <c r="HL56" s="115"/>
      <c r="HM56" s="115"/>
      <c r="HN56" s="115"/>
      <c r="HO56" s="115"/>
      <c r="HP56" s="115"/>
      <c r="HQ56" s="115"/>
      <c r="HR56" s="115"/>
      <c r="HS56" s="115"/>
      <c r="HT56" s="115"/>
      <c r="HU56" s="115"/>
      <c r="HV56" s="115"/>
      <c r="HW56" s="115"/>
      <c r="HX56" s="115"/>
      <c r="HY56" s="115"/>
      <c r="HZ56" s="117"/>
      <c r="IA56" s="117"/>
      <c r="IB56" s="117"/>
      <c r="IC56" s="117"/>
      <c r="ID56" s="117"/>
      <c r="IE56" s="117"/>
      <c r="IF56" s="117"/>
      <c r="IG56" s="117"/>
      <c r="IH56" s="117"/>
      <c r="II56" s="117"/>
      <c r="IJ56" s="117"/>
      <c r="IK56" s="117"/>
      <c r="IL56" s="117"/>
      <c r="IM56" s="117"/>
      <c r="IN56" s="117"/>
      <c r="IO56" s="117"/>
      <c r="IP56" s="117"/>
      <c r="IQ56" s="117"/>
      <c r="IR56" s="117"/>
      <c r="IS56" s="117"/>
      <c r="IT56" s="117"/>
      <c r="IU56" s="117"/>
      <c r="IV56" s="117"/>
      <c r="IW56" s="117"/>
      <c r="IX56" s="117"/>
      <c r="IY56" s="117"/>
      <c r="IZ56" s="117"/>
      <c r="JA56" s="117"/>
      <c r="JB56" s="117"/>
      <c r="JC56" s="117"/>
      <c r="JD56" s="117"/>
      <c r="JE56" s="117"/>
      <c r="JF56" s="117"/>
      <c r="JG56" s="117"/>
      <c r="JH56" s="117"/>
      <c r="JI56" s="117"/>
      <c r="JJ56" s="117"/>
      <c r="JK56" s="117"/>
      <c r="JL56" s="117"/>
      <c r="JM56" s="117"/>
      <c r="JN56" s="117"/>
      <c r="JO56" s="117"/>
      <c r="JP56" s="117"/>
      <c r="JQ56" s="117"/>
      <c r="JR56" s="117"/>
      <c r="JS56" s="114"/>
      <c r="JT56" s="114"/>
      <c r="JU56" s="114"/>
      <c r="JV56" s="114"/>
      <c r="JW56" s="114"/>
      <c r="JX56" s="114"/>
      <c r="JY56" s="114"/>
      <c r="JZ56" s="114"/>
      <c r="KA56" s="114"/>
      <c r="KB56" s="114"/>
      <c r="KC56" s="114"/>
      <c r="KD56" s="114"/>
      <c r="KE56" s="114"/>
      <c r="KF56" s="114"/>
      <c r="KG56" s="114"/>
      <c r="KH56" s="114"/>
      <c r="KI56" s="114"/>
      <c r="KJ56" s="114"/>
      <c r="KK56" s="114"/>
      <c r="KL56" s="114"/>
      <c r="KM56" s="114"/>
      <c r="KN56" s="114"/>
      <c r="KO56" s="114"/>
      <c r="KP56" s="114"/>
      <c r="KQ56" s="114"/>
      <c r="KR56" s="114"/>
      <c r="KS56" s="114"/>
      <c r="KT56" s="114"/>
      <c r="KU56" s="114"/>
      <c r="KV56" s="114"/>
      <c r="KW56" s="114"/>
      <c r="KX56" s="114"/>
      <c r="KY56" s="114"/>
      <c r="KZ56" s="114"/>
      <c r="LA56" s="114"/>
      <c r="LB56" s="114"/>
      <c r="LC56" s="114"/>
      <c r="LD56" s="114"/>
      <c r="LE56" s="114"/>
      <c r="LF56" s="114"/>
      <c r="LG56" s="114"/>
      <c r="LH56" s="114"/>
      <c r="LI56" s="114"/>
      <c r="LJ56" s="114"/>
      <c r="LK56" s="114"/>
    </row>
    <row r="57" spans="1:323" ht="18" x14ac:dyDescent="0.25">
      <c r="A57" s="127" t="s">
        <v>104</v>
      </c>
      <c r="B57" s="126" t="s">
        <v>110</v>
      </c>
      <c r="C57" s="127">
        <v>1</v>
      </c>
      <c r="D57" s="126" t="s">
        <v>111</v>
      </c>
      <c r="E57" s="129" t="s">
        <v>112</v>
      </c>
      <c r="F57" s="128" t="s">
        <v>137</v>
      </c>
      <c r="G57" s="20" t="s">
        <v>56</v>
      </c>
      <c r="H57" s="23" t="s">
        <v>118</v>
      </c>
      <c r="I57" s="78" t="s">
        <v>269</v>
      </c>
      <c r="J57" s="78" t="s">
        <v>269</v>
      </c>
      <c r="K57" s="78" t="s">
        <v>269</v>
      </c>
      <c r="L57" s="78" t="s">
        <v>269</v>
      </c>
      <c r="M57" s="78" t="s">
        <v>269</v>
      </c>
      <c r="N57" s="78" t="s">
        <v>269</v>
      </c>
      <c r="O57" s="78" t="s">
        <v>269</v>
      </c>
      <c r="P57" s="78" t="s">
        <v>269</v>
      </c>
      <c r="Q57" s="78" t="s">
        <v>269</v>
      </c>
      <c r="R57" s="78" t="s">
        <v>269</v>
      </c>
      <c r="S57" s="78" t="s">
        <v>269</v>
      </c>
      <c r="T57" s="78" t="s">
        <v>269</v>
      </c>
      <c r="U57" s="78" t="s">
        <v>269</v>
      </c>
      <c r="V57" s="78" t="s">
        <v>269</v>
      </c>
      <c r="W57" s="78" t="s">
        <v>269</v>
      </c>
      <c r="X57" s="78" t="s">
        <v>269</v>
      </c>
      <c r="Y57" s="78" t="s">
        <v>269</v>
      </c>
      <c r="Z57" s="78" t="s">
        <v>269</v>
      </c>
      <c r="AA57" s="78" t="s">
        <v>269</v>
      </c>
      <c r="AB57" s="78" t="s">
        <v>269</v>
      </c>
      <c r="AC57" s="78" t="s">
        <v>269</v>
      </c>
      <c r="AD57" s="78" t="s">
        <v>269</v>
      </c>
      <c r="AE57" s="78" t="s">
        <v>269</v>
      </c>
      <c r="AF57" s="78" t="s">
        <v>269</v>
      </c>
      <c r="AG57" s="78" t="s">
        <v>269</v>
      </c>
      <c r="AH57" s="78" t="s">
        <v>269</v>
      </c>
      <c r="AI57" s="78" t="s">
        <v>269</v>
      </c>
      <c r="AJ57" s="78" t="s">
        <v>269</v>
      </c>
      <c r="AK57" s="78" t="s">
        <v>269</v>
      </c>
      <c r="AL57" s="78" t="s">
        <v>269</v>
      </c>
      <c r="AM57" s="78" t="s">
        <v>269</v>
      </c>
      <c r="AN57" s="78" t="s">
        <v>269</v>
      </c>
      <c r="AO57" s="78" t="s">
        <v>269</v>
      </c>
      <c r="AP57" s="78" t="s">
        <v>269</v>
      </c>
      <c r="AQ57" s="78" t="s">
        <v>269</v>
      </c>
      <c r="AR57" s="78" t="s">
        <v>269</v>
      </c>
      <c r="AS57" s="78" t="s">
        <v>269</v>
      </c>
      <c r="AT57" s="78" t="s">
        <v>269</v>
      </c>
      <c r="AU57" s="78" t="s">
        <v>269</v>
      </c>
      <c r="AV57" s="78" t="s">
        <v>269</v>
      </c>
      <c r="AW57" s="78"/>
      <c r="AX57" s="78"/>
      <c r="AY57" s="78"/>
      <c r="AZ57" s="78"/>
      <c r="BA57" s="78"/>
      <c r="BB57" s="122">
        <f t="shared" ref="BB57:CO57" si="135">IF(AND(I57="",I58=""),"",COUNTIF(I57:I58,"v"))</f>
        <v>2</v>
      </c>
      <c r="BC57" s="122">
        <f t="shared" si="135"/>
        <v>2</v>
      </c>
      <c r="BD57" s="122">
        <f t="shared" si="135"/>
        <v>2</v>
      </c>
      <c r="BE57" s="122">
        <f t="shared" si="135"/>
        <v>2</v>
      </c>
      <c r="BF57" s="122">
        <f t="shared" si="135"/>
        <v>2</v>
      </c>
      <c r="BG57" s="122">
        <f t="shared" si="135"/>
        <v>2</v>
      </c>
      <c r="BH57" s="122">
        <f t="shared" si="135"/>
        <v>2</v>
      </c>
      <c r="BI57" s="122">
        <f t="shared" si="135"/>
        <v>2</v>
      </c>
      <c r="BJ57" s="122">
        <f t="shared" si="135"/>
        <v>2</v>
      </c>
      <c r="BK57" s="122">
        <f t="shared" si="135"/>
        <v>2</v>
      </c>
      <c r="BL57" s="122">
        <f t="shared" si="135"/>
        <v>2</v>
      </c>
      <c r="BM57" s="122">
        <f t="shared" si="135"/>
        <v>2</v>
      </c>
      <c r="BN57" s="122">
        <f t="shared" si="135"/>
        <v>2</v>
      </c>
      <c r="BO57" s="122">
        <f t="shared" si="135"/>
        <v>2</v>
      </c>
      <c r="BP57" s="122">
        <f t="shared" si="135"/>
        <v>2</v>
      </c>
      <c r="BQ57" s="122">
        <f t="shared" si="135"/>
        <v>2</v>
      </c>
      <c r="BR57" s="122">
        <f t="shared" si="135"/>
        <v>2</v>
      </c>
      <c r="BS57" s="122">
        <f t="shared" si="135"/>
        <v>2</v>
      </c>
      <c r="BT57" s="122">
        <f t="shared" si="135"/>
        <v>2</v>
      </c>
      <c r="BU57" s="122">
        <f t="shared" si="135"/>
        <v>2</v>
      </c>
      <c r="BV57" s="122">
        <f t="shared" si="135"/>
        <v>2</v>
      </c>
      <c r="BW57" s="122">
        <f t="shared" si="135"/>
        <v>2</v>
      </c>
      <c r="BX57" s="122">
        <f t="shared" si="135"/>
        <v>2</v>
      </c>
      <c r="BY57" s="122">
        <f t="shared" si="135"/>
        <v>2</v>
      </c>
      <c r="BZ57" s="122">
        <f t="shared" si="135"/>
        <v>2</v>
      </c>
      <c r="CA57" s="122">
        <f t="shared" si="135"/>
        <v>2</v>
      </c>
      <c r="CB57" s="122">
        <f t="shared" si="135"/>
        <v>2</v>
      </c>
      <c r="CC57" s="122">
        <f t="shared" si="135"/>
        <v>2</v>
      </c>
      <c r="CD57" s="122">
        <f t="shared" si="135"/>
        <v>2</v>
      </c>
      <c r="CE57" s="122">
        <f t="shared" si="135"/>
        <v>2</v>
      </c>
      <c r="CF57" s="122">
        <f t="shared" si="135"/>
        <v>2</v>
      </c>
      <c r="CG57" s="122">
        <f t="shared" si="135"/>
        <v>2</v>
      </c>
      <c r="CH57" s="122">
        <f t="shared" si="135"/>
        <v>2</v>
      </c>
      <c r="CI57" s="122">
        <f t="shared" si="135"/>
        <v>2</v>
      </c>
      <c r="CJ57" s="122">
        <f t="shared" si="135"/>
        <v>2</v>
      </c>
      <c r="CK57" s="122">
        <f t="shared" si="135"/>
        <v>2</v>
      </c>
      <c r="CL57" s="122">
        <f t="shared" si="135"/>
        <v>2</v>
      </c>
      <c r="CM57" s="122">
        <f t="shared" si="135"/>
        <v>2</v>
      </c>
      <c r="CN57" s="122">
        <f t="shared" si="135"/>
        <v>2</v>
      </c>
      <c r="CO57" s="122">
        <f t="shared" si="135"/>
        <v>2</v>
      </c>
      <c r="CP57" s="122"/>
      <c r="CQ57" s="122" t="str">
        <f t="shared" ref="CQ57:CT57" si="136">IF(AND(AX57="",AX58=""),"",COUNTIF(AX57:AX58,"v"))</f>
        <v/>
      </c>
      <c r="CR57" s="122" t="str">
        <f t="shared" si="136"/>
        <v/>
      </c>
      <c r="CS57" s="122" t="str">
        <f t="shared" si="136"/>
        <v/>
      </c>
      <c r="CT57" s="122" t="str">
        <f t="shared" si="136"/>
        <v/>
      </c>
      <c r="CU57" s="124">
        <f t="shared" ref="CU57:EH57" si="137">IF(BB57="","",IF(BB57&gt;=1,1,0))</f>
        <v>1</v>
      </c>
      <c r="CV57" s="124">
        <f t="shared" si="137"/>
        <v>1</v>
      </c>
      <c r="CW57" s="124">
        <f t="shared" si="137"/>
        <v>1</v>
      </c>
      <c r="CX57" s="124">
        <f t="shared" si="137"/>
        <v>1</v>
      </c>
      <c r="CY57" s="124">
        <f t="shared" si="137"/>
        <v>1</v>
      </c>
      <c r="CZ57" s="124">
        <f t="shared" si="137"/>
        <v>1</v>
      </c>
      <c r="DA57" s="124">
        <f t="shared" si="137"/>
        <v>1</v>
      </c>
      <c r="DB57" s="124">
        <f t="shared" si="137"/>
        <v>1</v>
      </c>
      <c r="DC57" s="124">
        <f t="shared" si="137"/>
        <v>1</v>
      </c>
      <c r="DD57" s="124">
        <f t="shared" si="137"/>
        <v>1</v>
      </c>
      <c r="DE57" s="124">
        <f t="shared" si="137"/>
        <v>1</v>
      </c>
      <c r="DF57" s="124">
        <f t="shared" si="137"/>
        <v>1</v>
      </c>
      <c r="DG57" s="124">
        <f t="shared" si="137"/>
        <v>1</v>
      </c>
      <c r="DH57" s="124">
        <f t="shared" si="137"/>
        <v>1</v>
      </c>
      <c r="DI57" s="124">
        <f t="shared" si="137"/>
        <v>1</v>
      </c>
      <c r="DJ57" s="124">
        <f t="shared" si="137"/>
        <v>1</v>
      </c>
      <c r="DK57" s="124">
        <f t="shared" si="137"/>
        <v>1</v>
      </c>
      <c r="DL57" s="124">
        <f t="shared" si="137"/>
        <v>1</v>
      </c>
      <c r="DM57" s="124">
        <f t="shared" si="137"/>
        <v>1</v>
      </c>
      <c r="DN57" s="124">
        <f t="shared" si="137"/>
        <v>1</v>
      </c>
      <c r="DO57" s="124">
        <f t="shared" si="137"/>
        <v>1</v>
      </c>
      <c r="DP57" s="124">
        <f t="shared" si="137"/>
        <v>1</v>
      </c>
      <c r="DQ57" s="124">
        <f t="shared" si="137"/>
        <v>1</v>
      </c>
      <c r="DR57" s="124">
        <f t="shared" si="137"/>
        <v>1</v>
      </c>
      <c r="DS57" s="124">
        <f t="shared" si="137"/>
        <v>1</v>
      </c>
      <c r="DT57" s="124">
        <f t="shared" si="137"/>
        <v>1</v>
      </c>
      <c r="DU57" s="124">
        <f t="shared" si="137"/>
        <v>1</v>
      </c>
      <c r="DV57" s="124">
        <f t="shared" si="137"/>
        <v>1</v>
      </c>
      <c r="DW57" s="124">
        <f t="shared" si="137"/>
        <v>1</v>
      </c>
      <c r="DX57" s="124">
        <f t="shared" si="137"/>
        <v>1</v>
      </c>
      <c r="DY57" s="124">
        <f t="shared" si="137"/>
        <v>1</v>
      </c>
      <c r="DZ57" s="124">
        <f t="shared" si="137"/>
        <v>1</v>
      </c>
      <c r="EA57" s="124">
        <f t="shared" si="137"/>
        <v>1</v>
      </c>
      <c r="EB57" s="124">
        <f t="shared" si="137"/>
        <v>1</v>
      </c>
      <c r="EC57" s="124">
        <f t="shared" si="137"/>
        <v>1</v>
      </c>
      <c r="ED57" s="124">
        <f t="shared" si="137"/>
        <v>1</v>
      </c>
      <c r="EE57" s="124">
        <f t="shared" si="137"/>
        <v>1</v>
      </c>
      <c r="EF57" s="124">
        <f t="shared" si="137"/>
        <v>1</v>
      </c>
      <c r="EG57" s="124">
        <f t="shared" si="137"/>
        <v>1</v>
      </c>
      <c r="EH57" s="124">
        <f t="shared" si="137"/>
        <v>1</v>
      </c>
      <c r="EI57" s="124" t="str">
        <f t="shared" ref="EI57:EM57" si="138">IF(CP57="","",IF(CP57&gt;=1,1,0))</f>
        <v/>
      </c>
      <c r="EJ57" s="124" t="str">
        <f t="shared" si="138"/>
        <v/>
      </c>
      <c r="EK57" s="124" t="str">
        <f t="shared" si="138"/>
        <v/>
      </c>
      <c r="EL57" s="124" t="str">
        <f t="shared" si="138"/>
        <v/>
      </c>
      <c r="EM57" s="124" t="str">
        <f t="shared" si="138"/>
        <v/>
      </c>
      <c r="EN57" s="118">
        <f t="shared" ref="EN57:FL57" si="139">IF(CU57="","",IF(CU57&gt;=1,1,0))</f>
        <v>1</v>
      </c>
      <c r="EO57" s="118">
        <f t="shared" si="139"/>
        <v>1</v>
      </c>
      <c r="EP57" s="118">
        <f t="shared" si="139"/>
        <v>1</v>
      </c>
      <c r="EQ57" s="118">
        <f t="shared" si="139"/>
        <v>1</v>
      </c>
      <c r="ER57" s="118">
        <f t="shared" si="139"/>
        <v>1</v>
      </c>
      <c r="ES57" s="118">
        <f t="shared" si="139"/>
        <v>1</v>
      </c>
      <c r="ET57" s="118">
        <f t="shared" si="139"/>
        <v>1</v>
      </c>
      <c r="EU57" s="118">
        <f t="shared" si="139"/>
        <v>1</v>
      </c>
      <c r="EV57" s="118">
        <f t="shared" si="139"/>
        <v>1</v>
      </c>
      <c r="EW57" s="118">
        <f t="shared" si="139"/>
        <v>1</v>
      </c>
      <c r="EX57" s="118">
        <f t="shared" si="139"/>
        <v>1</v>
      </c>
      <c r="EY57" s="118">
        <f t="shared" si="139"/>
        <v>1</v>
      </c>
      <c r="EZ57" s="118">
        <f t="shared" si="139"/>
        <v>1</v>
      </c>
      <c r="FA57" s="118">
        <f t="shared" si="139"/>
        <v>1</v>
      </c>
      <c r="FB57" s="118">
        <f t="shared" si="139"/>
        <v>1</v>
      </c>
      <c r="FC57" s="118">
        <f t="shared" si="139"/>
        <v>1</v>
      </c>
      <c r="FD57" s="118">
        <f t="shared" si="139"/>
        <v>1</v>
      </c>
      <c r="FE57" s="118">
        <f t="shared" si="139"/>
        <v>1</v>
      </c>
      <c r="FF57" s="118">
        <f t="shared" si="139"/>
        <v>1</v>
      </c>
      <c r="FG57" s="118">
        <f t="shared" si="139"/>
        <v>1</v>
      </c>
      <c r="FH57" s="118">
        <f t="shared" si="139"/>
        <v>1</v>
      </c>
      <c r="FI57" s="118">
        <f t="shared" si="139"/>
        <v>1</v>
      </c>
      <c r="FJ57" s="118">
        <f t="shared" si="139"/>
        <v>1</v>
      </c>
      <c r="FK57" s="118">
        <f t="shared" si="139"/>
        <v>1</v>
      </c>
      <c r="FL57" s="118">
        <f t="shared" si="139"/>
        <v>1</v>
      </c>
      <c r="FM57" s="118">
        <f t="shared" ref="FM57:GA57" si="140">IF(DT57="","",IF(DT57&gt;=1,1,0))</f>
        <v>1</v>
      </c>
      <c r="FN57" s="118">
        <f t="shared" si="140"/>
        <v>1</v>
      </c>
      <c r="FO57" s="118">
        <f t="shared" si="140"/>
        <v>1</v>
      </c>
      <c r="FP57" s="118">
        <f t="shared" si="140"/>
        <v>1</v>
      </c>
      <c r="FQ57" s="118">
        <f t="shared" si="140"/>
        <v>1</v>
      </c>
      <c r="FR57" s="118">
        <f t="shared" si="140"/>
        <v>1</v>
      </c>
      <c r="FS57" s="118">
        <f t="shared" si="140"/>
        <v>1</v>
      </c>
      <c r="FT57" s="118">
        <f t="shared" si="140"/>
        <v>1</v>
      </c>
      <c r="FU57" s="118">
        <f t="shared" si="140"/>
        <v>1</v>
      </c>
      <c r="FV57" s="118">
        <f t="shared" si="140"/>
        <v>1</v>
      </c>
      <c r="FW57" s="118">
        <f t="shared" si="140"/>
        <v>1</v>
      </c>
      <c r="FX57" s="118">
        <f t="shared" si="140"/>
        <v>1</v>
      </c>
      <c r="FY57" s="118">
        <f t="shared" si="140"/>
        <v>1</v>
      </c>
      <c r="FZ57" s="118">
        <f t="shared" si="140"/>
        <v>1</v>
      </c>
      <c r="GA57" s="118">
        <f t="shared" si="140"/>
        <v>1</v>
      </c>
      <c r="GB57" s="118">
        <v>6</v>
      </c>
      <c r="GC57" s="118">
        <v>1</v>
      </c>
      <c r="GD57" s="118">
        <v>1</v>
      </c>
      <c r="GE57" s="118">
        <v>1</v>
      </c>
      <c r="GF57" s="118">
        <v>2</v>
      </c>
      <c r="GG57" s="116" t="s">
        <v>114</v>
      </c>
      <c r="GH57" s="116" t="s">
        <v>113</v>
      </c>
      <c r="GI57" s="116" t="s">
        <v>113</v>
      </c>
      <c r="GJ57" s="116" t="s">
        <v>113</v>
      </c>
      <c r="GK57" s="116" t="s">
        <v>113</v>
      </c>
      <c r="GL57" s="116" t="s">
        <v>115</v>
      </c>
      <c r="GM57" s="116" t="s">
        <v>115</v>
      </c>
      <c r="GN57" s="116" t="s">
        <v>114</v>
      </c>
      <c r="GO57" s="116" t="s">
        <v>114</v>
      </c>
      <c r="GP57" s="116" t="s">
        <v>114</v>
      </c>
      <c r="GQ57" s="116" t="s">
        <v>114</v>
      </c>
      <c r="GR57" s="116" t="s">
        <v>114</v>
      </c>
      <c r="GS57" s="116" t="s">
        <v>114</v>
      </c>
      <c r="GT57" s="116" t="s">
        <v>114</v>
      </c>
      <c r="GU57" s="116" t="s">
        <v>114</v>
      </c>
      <c r="GV57" s="116" t="s">
        <v>114</v>
      </c>
      <c r="GW57" s="116" t="s">
        <v>114</v>
      </c>
      <c r="GX57" s="116" t="s">
        <v>114</v>
      </c>
      <c r="GY57" s="116" t="s">
        <v>114</v>
      </c>
      <c r="GZ57" s="116" t="s">
        <v>114</v>
      </c>
      <c r="HA57" s="116" t="s">
        <v>114</v>
      </c>
      <c r="HB57" s="116" t="s">
        <v>114</v>
      </c>
      <c r="HC57" s="116" t="s">
        <v>114</v>
      </c>
      <c r="HD57" s="116" t="s">
        <v>114</v>
      </c>
      <c r="HE57" s="116" t="s">
        <v>115</v>
      </c>
      <c r="HF57" s="116" t="s">
        <v>114</v>
      </c>
      <c r="HG57" s="116" t="s">
        <v>113</v>
      </c>
      <c r="HH57" s="116" t="s">
        <v>114</v>
      </c>
      <c r="HI57" s="116" t="s">
        <v>114</v>
      </c>
      <c r="HJ57" s="116" t="s">
        <v>114</v>
      </c>
      <c r="HK57" s="116" t="s">
        <v>115</v>
      </c>
      <c r="HL57" s="116" t="s">
        <v>115</v>
      </c>
      <c r="HM57" s="116" t="s">
        <v>115</v>
      </c>
      <c r="HN57" s="116" t="s">
        <v>115</v>
      </c>
      <c r="HO57" s="116" t="s">
        <v>115</v>
      </c>
      <c r="HP57" s="116" t="s">
        <v>113</v>
      </c>
      <c r="HQ57" s="116" t="s">
        <v>112</v>
      </c>
      <c r="HR57" s="116" t="s">
        <v>112</v>
      </c>
      <c r="HS57" s="116" t="s">
        <v>114</v>
      </c>
      <c r="HT57" s="116" t="s">
        <v>114</v>
      </c>
      <c r="HU57" s="116" t="str">
        <f t="shared" ref="HU57" si="141">IF(MAX(EI57:EI75)=1,"C1",IF(MAX(EI57:EI75)=2,"C2",IF(MAX(EI57:EI75)=3,"C3",IF(MAX(EI57:EI75)=4,"C4",IF(MAX(EI57:EI75)=5,"C5",IF(MAX(EI57:EI75)=6,"C6",""))))))</f>
        <v/>
      </c>
      <c r="HV57" s="116" t="str">
        <f>IF(MAX(EJ57:EJ75)=1,"C1",IF(MAX(EJ57:EJ75)=2,"C2",IF(MAX(EJ57:EJ75)=3,"C3",IF(MAX(EJ57:EJ75)=4,"C4",IF(MAX(EJ57:EJ75)=5,"C5",IF(MAX(EJ57:EJ75)=6,"C6",""))))))</f>
        <v/>
      </c>
      <c r="HW57" s="116" t="str">
        <f t="shared" ref="HW57" si="142">IF(MAX(EK57:EK75)=1,"C1",IF(MAX(EK57:EK75)=2,"C2",IF(MAX(EK57:EK75)=3,"C3",IF(MAX(EK57:EK75)=4,"C4",IF(MAX(EK57:EK75)=5,"C5",IF(MAX(EK57:EK75)=6,"C6",""))))))</f>
        <v/>
      </c>
      <c r="HX57" s="116" t="str">
        <f t="shared" ref="HX57" si="143">IF(MAX(EL57:EL75)=1,"C1",IF(MAX(EL57:EL75)=2,"C2",IF(MAX(EL57:EL75)=3,"C3",IF(MAX(EL57:EL75)=4,"C4",IF(MAX(EL57:EL75)=5,"C5",IF(MAX(EL57:EL75)=6,"C6",""))))))</f>
        <v/>
      </c>
      <c r="HY57" s="116" t="str">
        <f t="shared" ref="HY57" si="144">IF(MAX(EM57:EM75)=1,"C1",IF(MAX(EM57:EM75)=2,"C2",IF(MAX(EM57:EM75)=3,"C3",IF(MAX(EM57:EM75)=4,"C4",IF(MAX(EM57:EM75)=5,"C5",IF(MAX(EM57:EM75)=6,"C6",""))))))</f>
        <v/>
      </c>
      <c r="HZ57" s="49"/>
      <c r="IA57" s="49"/>
      <c r="IB57" s="49"/>
      <c r="IC57" s="49"/>
      <c r="ID57" s="49"/>
      <c r="IE57" s="49"/>
      <c r="IF57" s="49"/>
      <c r="IG57" s="49"/>
      <c r="IH57" s="49"/>
      <c r="II57" s="49"/>
      <c r="IJ57" s="49"/>
      <c r="IK57" s="49"/>
      <c r="IL57" s="49"/>
      <c r="IM57" s="49"/>
      <c r="IN57" s="49"/>
      <c r="IO57" s="49"/>
      <c r="IP57" s="49"/>
      <c r="IQ57" s="49"/>
      <c r="IR57" s="49"/>
      <c r="IS57" s="49"/>
      <c r="IT57" s="49"/>
      <c r="IU57" s="49"/>
      <c r="IV57" s="49"/>
      <c r="IW57" s="49"/>
      <c r="IX57" s="49"/>
      <c r="IY57" s="49"/>
      <c r="IZ57" s="49"/>
      <c r="JA57" s="49"/>
      <c r="JB57" s="49"/>
      <c r="JC57" s="49"/>
      <c r="JD57" s="49"/>
      <c r="JE57" s="49"/>
      <c r="JF57" s="49"/>
      <c r="JG57" s="49"/>
      <c r="JH57" s="49"/>
      <c r="JI57" s="49"/>
      <c r="JJ57" s="49"/>
      <c r="JK57" s="49"/>
      <c r="JL57" s="49"/>
      <c r="JM57" s="49"/>
      <c r="JN57" s="49"/>
      <c r="JO57" s="49"/>
      <c r="JP57" s="49"/>
      <c r="JQ57" s="49"/>
      <c r="JR57" s="49"/>
      <c r="JS57" s="49"/>
      <c r="JT57" s="49"/>
      <c r="JU57" s="49"/>
      <c r="JV57" s="49"/>
      <c r="JW57" s="49"/>
      <c r="JX57" s="49"/>
      <c r="JY57" s="49"/>
      <c r="JZ57" s="49"/>
      <c r="KA57" s="49"/>
      <c r="KB57" s="49"/>
      <c r="KC57" s="49"/>
      <c r="KD57" s="49"/>
      <c r="KE57" s="49"/>
      <c r="KF57" s="49"/>
      <c r="KG57" s="49"/>
      <c r="KH57" s="49"/>
      <c r="KI57" s="49"/>
      <c r="KJ57" s="49"/>
      <c r="KK57" s="49"/>
      <c r="KL57" s="49"/>
      <c r="KM57" s="49"/>
      <c r="KN57" s="49"/>
      <c r="KO57" s="49"/>
      <c r="KP57" s="49"/>
      <c r="KQ57" s="49"/>
      <c r="KR57" s="49"/>
      <c r="KS57" s="49"/>
      <c r="KT57" s="49"/>
      <c r="KU57" s="49"/>
      <c r="KV57" s="49"/>
      <c r="KW57" s="49"/>
      <c r="KX57" s="49"/>
      <c r="KY57" s="49"/>
      <c r="KZ57" s="49"/>
      <c r="LA57" s="49"/>
      <c r="LB57" s="49"/>
      <c r="LC57" s="49"/>
      <c r="LD57" s="49"/>
      <c r="LE57" s="49"/>
      <c r="LF57" s="49"/>
    </row>
    <row r="58" spans="1:323" ht="63.6" customHeight="1" x14ac:dyDescent="0.25">
      <c r="A58" s="127"/>
      <c r="B58" s="126"/>
      <c r="C58" s="127"/>
      <c r="D58" s="126"/>
      <c r="E58" s="129"/>
      <c r="F58" s="128"/>
      <c r="G58" s="20" t="s">
        <v>56</v>
      </c>
      <c r="H58" s="23" t="s">
        <v>119</v>
      </c>
      <c r="I58" s="78" t="s">
        <v>269</v>
      </c>
      <c r="J58" s="78" t="s">
        <v>269</v>
      </c>
      <c r="K58" s="78" t="s">
        <v>269</v>
      </c>
      <c r="L58" s="78" t="s">
        <v>269</v>
      </c>
      <c r="M58" s="78" t="s">
        <v>269</v>
      </c>
      <c r="N58" s="78" t="s">
        <v>269</v>
      </c>
      <c r="O58" s="78" t="s">
        <v>269</v>
      </c>
      <c r="P58" s="78" t="s">
        <v>269</v>
      </c>
      <c r="Q58" s="78" t="s">
        <v>269</v>
      </c>
      <c r="R58" s="78" t="s">
        <v>269</v>
      </c>
      <c r="S58" s="78" t="s">
        <v>269</v>
      </c>
      <c r="T58" s="78" t="s">
        <v>269</v>
      </c>
      <c r="U58" s="78" t="s">
        <v>269</v>
      </c>
      <c r="V58" s="78" t="s">
        <v>269</v>
      </c>
      <c r="W58" s="78" t="s">
        <v>269</v>
      </c>
      <c r="X58" s="78" t="s">
        <v>269</v>
      </c>
      <c r="Y58" s="78" t="s">
        <v>269</v>
      </c>
      <c r="Z58" s="78" t="s">
        <v>269</v>
      </c>
      <c r="AA58" s="78" t="s">
        <v>269</v>
      </c>
      <c r="AB58" s="78" t="s">
        <v>269</v>
      </c>
      <c r="AC58" s="78" t="s">
        <v>269</v>
      </c>
      <c r="AD58" s="78" t="s">
        <v>269</v>
      </c>
      <c r="AE58" s="78" t="s">
        <v>269</v>
      </c>
      <c r="AF58" s="78" t="s">
        <v>269</v>
      </c>
      <c r="AG58" s="78" t="s">
        <v>269</v>
      </c>
      <c r="AH58" s="78" t="s">
        <v>269</v>
      </c>
      <c r="AI58" s="78" t="s">
        <v>269</v>
      </c>
      <c r="AJ58" s="78" t="s">
        <v>269</v>
      </c>
      <c r="AK58" s="78" t="s">
        <v>269</v>
      </c>
      <c r="AL58" s="78" t="s">
        <v>269</v>
      </c>
      <c r="AM58" s="78" t="s">
        <v>269</v>
      </c>
      <c r="AN58" s="78" t="s">
        <v>269</v>
      </c>
      <c r="AO58" s="78" t="s">
        <v>269</v>
      </c>
      <c r="AP58" s="78" t="s">
        <v>269</v>
      </c>
      <c r="AQ58" s="78" t="s">
        <v>269</v>
      </c>
      <c r="AR58" s="78" t="s">
        <v>269</v>
      </c>
      <c r="AS58" s="78" t="s">
        <v>269</v>
      </c>
      <c r="AT58" s="78" t="s">
        <v>269</v>
      </c>
      <c r="AU58" s="78" t="s">
        <v>269</v>
      </c>
      <c r="AV58" s="78" t="s">
        <v>269</v>
      </c>
      <c r="AW58" s="78"/>
      <c r="AX58" s="78"/>
      <c r="AY58" s="78"/>
      <c r="AZ58" s="78"/>
      <c r="BA58" s="78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  <c r="BP58" s="122"/>
      <c r="BQ58" s="122"/>
      <c r="BR58" s="122"/>
      <c r="BS58" s="122"/>
      <c r="BT58" s="122"/>
      <c r="BU58" s="122"/>
      <c r="BV58" s="122"/>
      <c r="BW58" s="122"/>
      <c r="BX58" s="122"/>
      <c r="BY58" s="122"/>
      <c r="BZ58" s="122"/>
      <c r="CA58" s="122"/>
      <c r="CB58" s="122"/>
      <c r="CC58" s="122"/>
      <c r="CD58" s="122"/>
      <c r="CE58" s="122"/>
      <c r="CF58" s="122"/>
      <c r="CG58" s="122"/>
      <c r="CH58" s="122"/>
      <c r="CI58" s="122"/>
      <c r="CJ58" s="122"/>
      <c r="CK58" s="122"/>
      <c r="CL58" s="122"/>
      <c r="CM58" s="122"/>
      <c r="CN58" s="122"/>
      <c r="CO58" s="122"/>
      <c r="CP58" s="122"/>
      <c r="CQ58" s="122"/>
      <c r="CR58" s="122"/>
      <c r="CS58" s="122"/>
      <c r="CT58" s="122"/>
      <c r="CU58" s="124"/>
      <c r="CV58" s="124"/>
      <c r="CW58" s="124"/>
      <c r="CX58" s="124"/>
      <c r="CY58" s="124"/>
      <c r="CZ58" s="124"/>
      <c r="DA58" s="124"/>
      <c r="DB58" s="124"/>
      <c r="DC58" s="124"/>
      <c r="DD58" s="124"/>
      <c r="DE58" s="124"/>
      <c r="DF58" s="124"/>
      <c r="DG58" s="124"/>
      <c r="DH58" s="124"/>
      <c r="DI58" s="124"/>
      <c r="DJ58" s="124"/>
      <c r="DK58" s="124"/>
      <c r="DL58" s="124"/>
      <c r="DM58" s="124"/>
      <c r="DN58" s="124"/>
      <c r="DO58" s="124"/>
      <c r="DP58" s="124"/>
      <c r="DQ58" s="124"/>
      <c r="DR58" s="124"/>
      <c r="DS58" s="124"/>
      <c r="DT58" s="124"/>
      <c r="DU58" s="124"/>
      <c r="DV58" s="124"/>
      <c r="DW58" s="124"/>
      <c r="DX58" s="124"/>
      <c r="DY58" s="124"/>
      <c r="DZ58" s="124"/>
      <c r="EA58" s="124"/>
      <c r="EB58" s="124"/>
      <c r="EC58" s="124"/>
      <c r="ED58" s="124"/>
      <c r="EE58" s="124"/>
      <c r="EF58" s="124"/>
      <c r="EG58" s="124"/>
      <c r="EH58" s="124"/>
      <c r="EI58" s="124"/>
      <c r="EJ58" s="124"/>
      <c r="EK58" s="124"/>
      <c r="EL58" s="124"/>
      <c r="EM58" s="124"/>
      <c r="EN58" s="118"/>
      <c r="EO58" s="118"/>
      <c r="EP58" s="118"/>
      <c r="EQ58" s="118"/>
      <c r="ER58" s="118"/>
      <c r="ES58" s="118"/>
      <c r="ET58" s="118"/>
      <c r="EU58" s="118"/>
      <c r="EV58" s="118"/>
      <c r="EW58" s="118"/>
      <c r="EX58" s="118"/>
      <c r="EY58" s="118"/>
      <c r="EZ58" s="118"/>
      <c r="FA58" s="118"/>
      <c r="FB58" s="118"/>
      <c r="FC58" s="118"/>
      <c r="FD58" s="118"/>
      <c r="FE58" s="118"/>
      <c r="FF58" s="118"/>
      <c r="FG58" s="118"/>
      <c r="FH58" s="118"/>
      <c r="FI58" s="118"/>
      <c r="FJ58" s="118"/>
      <c r="FK58" s="118"/>
      <c r="FL58" s="118"/>
      <c r="FM58" s="118"/>
      <c r="FN58" s="118"/>
      <c r="FO58" s="118"/>
      <c r="FP58" s="118"/>
      <c r="FQ58" s="118"/>
      <c r="FR58" s="118"/>
      <c r="FS58" s="118"/>
      <c r="FT58" s="118"/>
      <c r="FU58" s="118"/>
      <c r="FV58" s="118"/>
      <c r="FW58" s="118"/>
      <c r="FX58" s="118"/>
      <c r="FY58" s="118"/>
      <c r="FZ58" s="118"/>
      <c r="GA58" s="118"/>
      <c r="GB58" s="118"/>
      <c r="GC58" s="118"/>
      <c r="GD58" s="118"/>
      <c r="GE58" s="118"/>
      <c r="GF58" s="118"/>
      <c r="GG58" s="116"/>
      <c r="GH58" s="116"/>
      <c r="GI58" s="116"/>
      <c r="GJ58" s="116"/>
      <c r="GK58" s="116"/>
      <c r="GL58" s="116"/>
      <c r="GM58" s="116"/>
      <c r="GN58" s="116"/>
      <c r="GO58" s="116"/>
      <c r="GP58" s="116"/>
      <c r="GQ58" s="116"/>
      <c r="GR58" s="116"/>
      <c r="GS58" s="116"/>
      <c r="GT58" s="116"/>
      <c r="GU58" s="116"/>
      <c r="GV58" s="116"/>
      <c r="GW58" s="116"/>
      <c r="GX58" s="116"/>
      <c r="GY58" s="116"/>
      <c r="GZ58" s="116"/>
      <c r="HA58" s="116"/>
      <c r="HB58" s="116"/>
      <c r="HC58" s="116"/>
      <c r="HD58" s="116"/>
      <c r="HE58" s="116"/>
      <c r="HF58" s="116"/>
      <c r="HG58" s="116"/>
      <c r="HH58" s="116"/>
      <c r="HI58" s="116"/>
      <c r="HJ58" s="116"/>
      <c r="HK58" s="116"/>
      <c r="HL58" s="116"/>
      <c r="HM58" s="116"/>
      <c r="HN58" s="116"/>
      <c r="HO58" s="116"/>
      <c r="HP58" s="116"/>
      <c r="HQ58" s="116"/>
      <c r="HR58" s="116"/>
      <c r="HS58" s="116"/>
      <c r="HT58" s="116"/>
      <c r="HU58" s="116"/>
      <c r="HV58" s="116"/>
      <c r="HW58" s="116"/>
      <c r="HX58" s="116"/>
      <c r="HY58" s="116"/>
      <c r="HZ58" s="49"/>
      <c r="IA58" s="49"/>
      <c r="IB58" s="49"/>
      <c r="IC58" s="49"/>
      <c r="ID58" s="49"/>
      <c r="IE58" s="49"/>
      <c r="IF58" s="49"/>
      <c r="IG58" s="49"/>
      <c r="IH58" s="49"/>
      <c r="II58" s="49"/>
      <c r="IJ58" s="49"/>
      <c r="IK58" s="49"/>
      <c r="IL58" s="49"/>
      <c r="IM58" s="49"/>
      <c r="IN58" s="49"/>
      <c r="IO58" s="49"/>
      <c r="IP58" s="49"/>
      <c r="IQ58" s="49"/>
      <c r="IR58" s="49"/>
      <c r="IS58" s="49"/>
      <c r="IT58" s="49"/>
      <c r="IU58" s="49"/>
      <c r="IV58" s="49"/>
      <c r="IW58" s="49"/>
      <c r="IX58" s="49"/>
      <c r="IY58" s="49"/>
      <c r="IZ58" s="49"/>
      <c r="JA58" s="49"/>
      <c r="JB58" s="49"/>
      <c r="JC58" s="49"/>
      <c r="JD58" s="49"/>
      <c r="JE58" s="49"/>
      <c r="JF58" s="49"/>
      <c r="JG58" s="49"/>
      <c r="JH58" s="49"/>
      <c r="JI58" s="49"/>
      <c r="JJ58" s="49"/>
      <c r="JK58" s="49"/>
      <c r="JL58" s="49"/>
      <c r="JM58" s="49"/>
      <c r="JN58" s="49"/>
      <c r="JO58" s="49"/>
      <c r="JP58" s="49"/>
      <c r="JQ58" s="49"/>
      <c r="JR58" s="49"/>
      <c r="JS58" s="49"/>
      <c r="JT58" s="49"/>
      <c r="JU58" s="49"/>
      <c r="JV58" s="49"/>
      <c r="JW58" s="49"/>
      <c r="JX58" s="49"/>
      <c r="JY58" s="49"/>
      <c r="JZ58" s="49"/>
      <c r="KA58" s="49"/>
      <c r="KB58" s="49"/>
      <c r="KC58" s="49"/>
      <c r="KD58" s="49"/>
      <c r="KE58" s="49"/>
      <c r="KF58" s="49"/>
      <c r="KG58" s="49"/>
      <c r="KH58" s="49"/>
      <c r="KI58" s="49"/>
      <c r="KJ58" s="49"/>
      <c r="KK58" s="49"/>
      <c r="KL58" s="49"/>
      <c r="KM58" s="49"/>
      <c r="KN58" s="49"/>
      <c r="KO58" s="49"/>
      <c r="KP58" s="49"/>
      <c r="KQ58" s="49"/>
      <c r="KR58" s="49"/>
      <c r="KS58" s="49"/>
      <c r="KT58" s="49"/>
      <c r="KU58" s="49"/>
      <c r="KV58" s="49"/>
      <c r="KW58" s="49"/>
      <c r="KX58" s="49"/>
      <c r="KY58" s="49"/>
      <c r="KZ58" s="49"/>
      <c r="LA58" s="49"/>
      <c r="LB58" s="49"/>
      <c r="LC58" s="49"/>
      <c r="LD58" s="49"/>
      <c r="LE58" s="49"/>
      <c r="LF58" s="49"/>
    </row>
    <row r="59" spans="1:323" ht="18" customHeight="1" x14ac:dyDescent="0.25">
      <c r="A59" s="127"/>
      <c r="B59" s="126"/>
      <c r="C59" s="127">
        <v>2</v>
      </c>
      <c r="D59" s="126" t="s">
        <v>105</v>
      </c>
      <c r="E59" s="129" t="s">
        <v>113</v>
      </c>
      <c r="F59" s="130" t="s">
        <v>138</v>
      </c>
      <c r="G59" s="20" t="s">
        <v>56</v>
      </c>
      <c r="H59" s="23" t="s">
        <v>120</v>
      </c>
      <c r="I59" s="78" t="s">
        <v>269</v>
      </c>
      <c r="J59" s="78" t="s">
        <v>269</v>
      </c>
      <c r="K59" s="78" t="s">
        <v>269</v>
      </c>
      <c r="L59" s="78" t="s">
        <v>269</v>
      </c>
      <c r="M59" s="78" t="s">
        <v>269</v>
      </c>
      <c r="N59" s="78" t="s">
        <v>269</v>
      </c>
      <c r="O59" s="78" t="s">
        <v>269</v>
      </c>
      <c r="P59" s="78" t="s">
        <v>269</v>
      </c>
      <c r="Q59" s="78" t="s">
        <v>269</v>
      </c>
      <c r="R59" s="78" t="s">
        <v>269</v>
      </c>
      <c r="S59" s="78" t="s">
        <v>269</v>
      </c>
      <c r="T59" s="78" t="s">
        <v>269</v>
      </c>
      <c r="U59" s="78" t="s">
        <v>269</v>
      </c>
      <c r="V59" s="78" t="s">
        <v>269</v>
      </c>
      <c r="W59" s="78" t="s">
        <v>269</v>
      </c>
      <c r="X59" s="78" t="s">
        <v>269</v>
      </c>
      <c r="Y59" s="78" t="s">
        <v>269</v>
      </c>
      <c r="Z59" s="78" t="s">
        <v>269</v>
      </c>
      <c r="AA59" s="78" t="s">
        <v>269</v>
      </c>
      <c r="AB59" s="78" t="s">
        <v>269</v>
      </c>
      <c r="AC59" s="78" t="s">
        <v>269</v>
      </c>
      <c r="AD59" s="78" t="s">
        <v>269</v>
      </c>
      <c r="AE59" s="78" t="s">
        <v>269</v>
      </c>
      <c r="AF59" s="78" t="s">
        <v>269</v>
      </c>
      <c r="AG59" s="78" t="s">
        <v>269</v>
      </c>
      <c r="AH59" s="78" t="s">
        <v>269</v>
      </c>
      <c r="AI59" s="78" t="s">
        <v>269</v>
      </c>
      <c r="AJ59" s="78" t="s">
        <v>269</v>
      </c>
      <c r="AK59" s="78" t="s">
        <v>269</v>
      </c>
      <c r="AL59" s="78" t="s">
        <v>269</v>
      </c>
      <c r="AM59" s="78" t="s">
        <v>269</v>
      </c>
      <c r="AN59" s="78" t="s">
        <v>269</v>
      </c>
      <c r="AO59" s="78" t="s">
        <v>269</v>
      </c>
      <c r="AP59" s="78" t="s">
        <v>269</v>
      </c>
      <c r="AQ59" s="78" t="s">
        <v>269</v>
      </c>
      <c r="AR59" s="78" t="s">
        <v>269</v>
      </c>
      <c r="AS59" s="78" t="s">
        <v>269</v>
      </c>
      <c r="AT59" s="78" t="s">
        <v>269</v>
      </c>
      <c r="AU59" s="78" t="s">
        <v>269</v>
      </c>
      <c r="AV59" s="78" t="s">
        <v>269</v>
      </c>
      <c r="AW59" s="78"/>
      <c r="AX59" s="78"/>
      <c r="AY59" s="78"/>
      <c r="AZ59" s="78"/>
      <c r="BA59" s="78"/>
      <c r="BB59" s="122">
        <f t="shared" ref="BB59:CO59" si="145">IF(AND(I59="",I60="",I61="",I62="",I63="",I64="",I65=""),"",COUNTIF(I59:I65,"v"))</f>
        <v>7</v>
      </c>
      <c r="BC59" s="122">
        <f t="shared" si="145"/>
        <v>7</v>
      </c>
      <c r="BD59" s="122">
        <f t="shared" si="145"/>
        <v>7</v>
      </c>
      <c r="BE59" s="122">
        <f t="shared" si="145"/>
        <v>7</v>
      </c>
      <c r="BF59" s="122">
        <f t="shared" si="145"/>
        <v>7</v>
      </c>
      <c r="BG59" s="122">
        <f t="shared" si="145"/>
        <v>7</v>
      </c>
      <c r="BH59" s="122">
        <f t="shared" si="145"/>
        <v>7</v>
      </c>
      <c r="BI59" s="122">
        <f t="shared" si="145"/>
        <v>7</v>
      </c>
      <c r="BJ59" s="122">
        <f t="shared" si="145"/>
        <v>7</v>
      </c>
      <c r="BK59" s="122">
        <f t="shared" si="145"/>
        <v>7</v>
      </c>
      <c r="BL59" s="122">
        <f t="shared" si="145"/>
        <v>7</v>
      </c>
      <c r="BM59" s="122">
        <f t="shared" si="145"/>
        <v>7</v>
      </c>
      <c r="BN59" s="122">
        <f t="shared" si="145"/>
        <v>7</v>
      </c>
      <c r="BO59" s="122">
        <f t="shared" si="145"/>
        <v>7</v>
      </c>
      <c r="BP59" s="122">
        <f t="shared" si="145"/>
        <v>7</v>
      </c>
      <c r="BQ59" s="122">
        <f t="shared" si="145"/>
        <v>7</v>
      </c>
      <c r="BR59" s="122">
        <f t="shared" si="145"/>
        <v>7</v>
      </c>
      <c r="BS59" s="122">
        <f t="shared" si="145"/>
        <v>7</v>
      </c>
      <c r="BT59" s="122">
        <f t="shared" si="145"/>
        <v>7</v>
      </c>
      <c r="BU59" s="122">
        <f t="shared" si="145"/>
        <v>7</v>
      </c>
      <c r="BV59" s="122">
        <f t="shared" si="145"/>
        <v>7</v>
      </c>
      <c r="BW59" s="122">
        <f t="shared" si="145"/>
        <v>7</v>
      </c>
      <c r="BX59" s="122">
        <f t="shared" si="145"/>
        <v>7</v>
      </c>
      <c r="BY59" s="122">
        <f t="shared" si="145"/>
        <v>7</v>
      </c>
      <c r="BZ59" s="122">
        <f t="shared" si="145"/>
        <v>7</v>
      </c>
      <c r="CA59" s="122">
        <f t="shared" si="145"/>
        <v>7</v>
      </c>
      <c r="CB59" s="122">
        <f t="shared" si="145"/>
        <v>7</v>
      </c>
      <c r="CC59" s="122">
        <f t="shared" si="145"/>
        <v>7</v>
      </c>
      <c r="CD59" s="122">
        <f t="shared" si="145"/>
        <v>7</v>
      </c>
      <c r="CE59" s="122">
        <f t="shared" si="145"/>
        <v>7</v>
      </c>
      <c r="CF59" s="122">
        <f t="shared" si="145"/>
        <v>7</v>
      </c>
      <c r="CG59" s="122">
        <f t="shared" si="145"/>
        <v>7</v>
      </c>
      <c r="CH59" s="122">
        <f t="shared" si="145"/>
        <v>7</v>
      </c>
      <c r="CI59" s="122">
        <f t="shared" si="145"/>
        <v>7</v>
      </c>
      <c r="CJ59" s="122">
        <f t="shared" si="145"/>
        <v>7</v>
      </c>
      <c r="CK59" s="122">
        <f t="shared" si="145"/>
        <v>7</v>
      </c>
      <c r="CL59" s="122">
        <f t="shared" si="145"/>
        <v>7</v>
      </c>
      <c r="CM59" s="122">
        <f t="shared" si="145"/>
        <v>7</v>
      </c>
      <c r="CN59" s="122">
        <f t="shared" si="145"/>
        <v>7</v>
      </c>
      <c r="CO59" s="122">
        <f t="shared" si="145"/>
        <v>7</v>
      </c>
      <c r="CP59" s="122" t="str">
        <f t="shared" ref="CP59:CT59" si="146">IF(AND(AW59="",AW60="",AW61="",AW62="",AW63="",AW64="",AW65=""),"",COUNTIF(AW59:AW65,"v"))</f>
        <v/>
      </c>
      <c r="CQ59" s="122" t="str">
        <f t="shared" si="146"/>
        <v/>
      </c>
      <c r="CR59" s="122" t="str">
        <f t="shared" si="146"/>
        <v/>
      </c>
      <c r="CS59" s="122" t="str">
        <f t="shared" si="146"/>
        <v/>
      </c>
      <c r="CT59" s="122" t="str">
        <f t="shared" si="146"/>
        <v/>
      </c>
      <c r="CU59" s="124">
        <f t="shared" ref="CU59:EH59" si="147">IF(BB59="","",IF(BB59&gt;=1,2,0))</f>
        <v>2</v>
      </c>
      <c r="CV59" s="124">
        <f t="shared" si="147"/>
        <v>2</v>
      </c>
      <c r="CW59" s="124">
        <f t="shared" si="147"/>
        <v>2</v>
      </c>
      <c r="CX59" s="124">
        <f t="shared" si="147"/>
        <v>2</v>
      </c>
      <c r="CY59" s="124">
        <f t="shared" si="147"/>
        <v>2</v>
      </c>
      <c r="CZ59" s="124">
        <f t="shared" si="147"/>
        <v>2</v>
      </c>
      <c r="DA59" s="124">
        <f t="shared" si="147"/>
        <v>2</v>
      </c>
      <c r="DB59" s="124">
        <f t="shared" si="147"/>
        <v>2</v>
      </c>
      <c r="DC59" s="124">
        <f t="shared" si="147"/>
        <v>2</v>
      </c>
      <c r="DD59" s="124">
        <f t="shared" si="147"/>
        <v>2</v>
      </c>
      <c r="DE59" s="124">
        <f t="shared" si="147"/>
        <v>2</v>
      </c>
      <c r="DF59" s="124">
        <f t="shared" si="147"/>
        <v>2</v>
      </c>
      <c r="DG59" s="124">
        <f t="shared" si="147"/>
        <v>2</v>
      </c>
      <c r="DH59" s="124">
        <f t="shared" si="147"/>
        <v>2</v>
      </c>
      <c r="DI59" s="124">
        <f t="shared" si="147"/>
        <v>2</v>
      </c>
      <c r="DJ59" s="124">
        <f t="shared" si="147"/>
        <v>2</v>
      </c>
      <c r="DK59" s="124">
        <f t="shared" si="147"/>
        <v>2</v>
      </c>
      <c r="DL59" s="124">
        <f t="shared" si="147"/>
        <v>2</v>
      </c>
      <c r="DM59" s="124">
        <f t="shared" si="147"/>
        <v>2</v>
      </c>
      <c r="DN59" s="124">
        <f t="shared" si="147"/>
        <v>2</v>
      </c>
      <c r="DO59" s="124">
        <f t="shared" si="147"/>
        <v>2</v>
      </c>
      <c r="DP59" s="124">
        <f t="shared" si="147"/>
        <v>2</v>
      </c>
      <c r="DQ59" s="124">
        <f t="shared" si="147"/>
        <v>2</v>
      </c>
      <c r="DR59" s="124">
        <f t="shared" si="147"/>
        <v>2</v>
      </c>
      <c r="DS59" s="124">
        <f t="shared" si="147"/>
        <v>2</v>
      </c>
      <c r="DT59" s="124">
        <f t="shared" si="147"/>
        <v>2</v>
      </c>
      <c r="DU59" s="124">
        <f t="shared" si="147"/>
        <v>2</v>
      </c>
      <c r="DV59" s="124">
        <f t="shared" si="147"/>
        <v>2</v>
      </c>
      <c r="DW59" s="124">
        <f t="shared" si="147"/>
        <v>2</v>
      </c>
      <c r="DX59" s="124">
        <f t="shared" si="147"/>
        <v>2</v>
      </c>
      <c r="DY59" s="124">
        <f t="shared" si="147"/>
        <v>2</v>
      </c>
      <c r="DZ59" s="124">
        <f t="shared" si="147"/>
        <v>2</v>
      </c>
      <c r="EA59" s="124">
        <f t="shared" si="147"/>
        <v>2</v>
      </c>
      <c r="EB59" s="124">
        <f t="shared" si="147"/>
        <v>2</v>
      </c>
      <c r="EC59" s="124">
        <f t="shared" si="147"/>
        <v>2</v>
      </c>
      <c r="ED59" s="124">
        <f t="shared" si="147"/>
        <v>2</v>
      </c>
      <c r="EE59" s="124">
        <f t="shared" si="147"/>
        <v>2</v>
      </c>
      <c r="EF59" s="124">
        <f t="shared" si="147"/>
        <v>2</v>
      </c>
      <c r="EG59" s="124">
        <f t="shared" si="147"/>
        <v>2</v>
      </c>
      <c r="EH59" s="124">
        <f t="shared" si="147"/>
        <v>2</v>
      </c>
      <c r="EI59" s="124" t="str">
        <f t="shared" ref="EI59:EM59" si="148">IF(CP59="","",IF(CP59&gt;=1,2,0))</f>
        <v/>
      </c>
      <c r="EJ59" s="124" t="str">
        <f t="shared" si="148"/>
        <v/>
      </c>
      <c r="EK59" s="124" t="str">
        <f t="shared" si="148"/>
        <v/>
      </c>
      <c r="EL59" s="124" t="str">
        <f t="shared" si="148"/>
        <v/>
      </c>
      <c r="EM59" s="124" t="str">
        <f t="shared" si="148"/>
        <v/>
      </c>
      <c r="EN59" s="118">
        <f t="shared" ref="EN59:FL59" si="149">IF(CU59="","",IF(CU59&gt;=1,2,0))</f>
        <v>2</v>
      </c>
      <c r="EO59" s="118">
        <f t="shared" si="149"/>
        <v>2</v>
      </c>
      <c r="EP59" s="118">
        <f t="shared" si="149"/>
        <v>2</v>
      </c>
      <c r="EQ59" s="118">
        <f t="shared" si="149"/>
        <v>2</v>
      </c>
      <c r="ER59" s="118">
        <f t="shared" si="149"/>
        <v>2</v>
      </c>
      <c r="ES59" s="118">
        <f t="shared" si="149"/>
        <v>2</v>
      </c>
      <c r="ET59" s="118">
        <f t="shared" si="149"/>
        <v>2</v>
      </c>
      <c r="EU59" s="118">
        <f t="shared" si="149"/>
        <v>2</v>
      </c>
      <c r="EV59" s="118">
        <f t="shared" si="149"/>
        <v>2</v>
      </c>
      <c r="EW59" s="118">
        <f t="shared" si="149"/>
        <v>2</v>
      </c>
      <c r="EX59" s="118">
        <f t="shared" si="149"/>
        <v>2</v>
      </c>
      <c r="EY59" s="118">
        <f t="shared" si="149"/>
        <v>2</v>
      </c>
      <c r="EZ59" s="118">
        <f t="shared" si="149"/>
        <v>2</v>
      </c>
      <c r="FA59" s="118">
        <f t="shared" si="149"/>
        <v>2</v>
      </c>
      <c r="FB59" s="118">
        <f t="shared" si="149"/>
        <v>2</v>
      </c>
      <c r="FC59" s="118">
        <f t="shared" si="149"/>
        <v>2</v>
      </c>
      <c r="FD59" s="118">
        <f t="shared" si="149"/>
        <v>2</v>
      </c>
      <c r="FE59" s="118">
        <f t="shared" si="149"/>
        <v>2</v>
      </c>
      <c r="FF59" s="118">
        <f t="shared" si="149"/>
        <v>2</v>
      </c>
      <c r="FG59" s="118">
        <f t="shared" si="149"/>
        <v>2</v>
      </c>
      <c r="FH59" s="118">
        <f t="shared" si="149"/>
        <v>2</v>
      </c>
      <c r="FI59" s="118">
        <f t="shared" si="149"/>
        <v>2</v>
      </c>
      <c r="FJ59" s="118">
        <f t="shared" si="149"/>
        <v>2</v>
      </c>
      <c r="FK59" s="118">
        <f t="shared" si="149"/>
        <v>2</v>
      </c>
      <c r="FL59" s="118">
        <f t="shared" si="149"/>
        <v>2</v>
      </c>
      <c r="FM59" s="118">
        <f t="shared" ref="FM59:GA59" si="150">IF(DT59="","",IF(DT59&gt;=1,2,0))</f>
        <v>2</v>
      </c>
      <c r="FN59" s="118">
        <f t="shared" si="150"/>
        <v>2</v>
      </c>
      <c r="FO59" s="118">
        <f t="shared" si="150"/>
        <v>2</v>
      </c>
      <c r="FP59" s="118">
        <f t="shared" si="150"/>
        <v>2</v>
      </c>
      <c r="FQ59" s="118">
        <f t="shared" si="150"/>
        <v>2</v>
      </c>
      <c r="FR59" s="118">
        <f t="shared" si="150"/>
        <v>2</v>
      </c>
      <c r="FS59" s="118">
        <f t="shared" si="150"/>
        <v>2</v>
      </c>
      <c r="FT59" s="118">
        <f t="shared" si="150"/>
        <v>2</v>
      </c>
      <c r="FU59" s="118">
        <f t="shared" si="150"/>
        <v>2</v>
      </c>
      <c r="FV59" s="118">
        <f t="shared" si="150"/>
        <v>2</v>
      </c>
      <c r="FW59" s="118">
        <f t="shared" si="150"/>
        <v>2</v>
      </c>
      <c r="FX59" s="118">
        <f t="shared" si="150"/>
        <v>2</v>
      </c>
      <c r="FY59" s="118">
        <f t="shared" si="150"/>
        <v>2</v>
      </c>
      <c r="FZ59" s="118">
        <f t="shared" si="150"/>
        <v>2</v>
      </c>
      <c r="GA59" s="118">
        <f t="shared" si="150"/>
        <v>2</v>
      </c>
      <c r="GB59" s="118" t="str">
        <f t="shared" ref="GB59" si="151">IF(EI59="","",IF(EI59&gt;=1,2,0))</f>
        <v/>
      </c>
      <c r="GC59" s="118" t="str">
        <f t="shared" ref="GC59" si="152">IF(EJ59="","",IF(EJ59&gt;=1,2,0))</f>
        <v/>
      </c>
      <c r="GD59" s="118" t="str">
        <f t="shared" ref="GD59" si="153">IF(EK59="","",IF(EK59&gt;=1,2,0))</f>
        <v/>
      </c>
      <c r="GE59" s="118" t="str">
        <f t="shared" ref="GE59" si="154">IF(EL59="","",IF(EL59&gt;=1,2,0))</f>
        <v/>
      </c>
      <c r="GF59" s="118" t="str">
        <f t="shared" ref="GF59" si="155">IF(EM59="","",IF(EM59&gt;=1,2,0))</f>
        <v/>
      </c>
      <c r="GG59" s="116"/>
      <c r="GH59" s="116"/>
      <c r="GI59" s="116"/>
      <c r="GJ59" s="116"/>
      <c r="GK59" s="116"/>
      <c r="GL59" s="116"/>
      <c r="GM59" s="116"/>
      <c r="GN59" s="116"/>
      <c r="GO59" s="116"/>
      <c r="GP59" s="116"/>
      <c r="GQ59" s="116"/>
      <c r="GR59" s="116"/>
      <c r="GS59" s="116"/>
      <c r="GT59" s="116"/>
      <c r="GU59" s="116"/>
      <c r="GV59" s="116"/>
      <c r="GW59" s="116"/>
      <c r="GX59" s="116"/>
      <c r="GY59" s="116"/>
      <c r="GZ59" s="116"/>
      <c r="HA59" s="116"/>
      <c r="HB59" s="116"/>
      <c r="HC59" s="116"/>
      <c r="HD59" s="116"/>
      <c r="HE59" s="116"/>
      <c r="HF59" s="116"/>
      <c r="HG59" s="116"/>
      <c r="HH59" s="116"/>
      <c r="HI59" s="116"/>
      <c r="HJ59" s="116"/>
      <c r="HK59" s="116"/>
      <c r="HL59" s="116"/>
      <c r="HM59" s="116"/>
      <c r="HN59" s="116"/>
      <c r="HO59" s="116"/>
      <c r="HP59" s="116"/>
      <c r="HQ59" s="116"/>
      <c r="HR59" s="116"/>
      <c r="HS59" s="116"/>
      <c r="HT59" s="116"/>
      <c r="HU59" s="116"/>
      <c r="HV59" s="116"/>
      <c r="HW59" s="116"/>
      <c r="HX59" s="116"/>
      <c r="HY59" s="116"/>
      <c r="HZ59" s="49"/>
      <c r="IA59" s="49"/>
      <c r="IB59" s="49"/>
      <c r="IC59" s="49"/>
      <c r="ID59" s="49"/>
      <c r="IE59" s="49"/>
      <c r="IF59" s="49"/>
      <c r="IG59" s="49"/>
      <c r="IH59" s="49"/>
      <c r="II59" s="49"/>
      <c r="IJ59" s="49"/>
      <c r="IK59" s="49"/>
      <c r="IL59" s="49"/>
      <c r="IM59" s="49"/>
      <c r="IN59" s="49"/>
      <c r="IO59" s="49"/>
      <c r="IP59" s="49"/>
      <c r="IQ59" s="49"/>
      <c r="IR59" s="49"/>
      <c r="IS59" s="49"/>
      <c r="IT59" s="49"/>
      <c r="IU59" s="49"/>
      <c r="IV59" s="49"/>
      <c r="IW59" s="49"/>
      <c r="IX59" s="49"/>
      <c r="IY59" s="49"/>
      <c r="IZ59" s="49"/>
      <c r="JA59" s="49"/>
      <c r="JB59" s="49"/>
      <c r="JC59" s="49"/>
      <c r="JD59" s="49"/>
      <c r="JE59" s="49"/>
      <c r="JF59" s="49"/>
      <c r="JG59" s="49"/>
      <c r="JH59" s="49"/>
      <c r="JI59" s="49"/>
      <c r="JJ59" s="49"/>
      <c r="JK59" s="49"/>
      <c r="JL59" s="49"/>
      <c r="JM59" s="49"/>
      <c r="JN59" s="49"/>
      <c r="JO59" s="49"/>
      <c r="JP59" s="49"/>
      <c r="JQ59" s="49"/>
      <c r="JR59" s="49"/>
      <c r="JS59" s="49"/>
      <c r="JT59" s="49"/>
      <c r="JU59" s="49"/>
      <c r="JV59" s="49"/>
      <c r="JW59" s="49"/>
      <c r="JX59" s="49"/>
      <c r="JY59" s="49"/>
      <c r="JZ59" s="49"/>
      <c r="KA59" s="49"/>
      <c r="KB59" s="49"/>
      <c r="KC59" s="49"/>
      <c r="KD59" s="49"/>
      <c r="KE59" s="49"/>
      <c r="KF59" s="49"/>
      <c r="KG59" s="49"/>
      <c r="KH59" s="49"/>
      <c r="KI59" s="49"/>
      <c r="KJ59" s="49"/>
      <c r="KK59" s="49"/>
      <c r="KL59" s="49"/>
      <c r="KM59" s="49"/>
      <c r="KN59" s="49"/>
      <c r="KO59" s="49"/>
      <c r="KP59" s="49"/>
      <c r="KQ59" s="49"/>
      <c r="KR59" s="49"/>
      <c r="KS59" s="49"/>
      <c r="KT59" s="49"/>
      <c r="KU59" s="49"/>
      <c r="KV59" s="49"/>
      <c r="KW59" s="49"/>
      <c r="KX59" s="49"/>
      <c r="KY59" s="49"/>
      <c r="KZ59" s="49"/>
      <c r="LA59" s="49"/>
      <c r="LB59" s="49"/>
      <c r="LC59" s="49"/>
      <c r="LD59" s="49"/>
      <c r="LE59" s="49"/>
      <c r="LF59" s="49"/>
    </row>
    <row r="60" spans="1:323" ht="18" x14ac:dyDescent="0.25">
      <c r="A60" s="127"/>
      <c r="B60" s="126"/>
      <c r="C60" s="127"/>
      <c r="D60" s="126"/>
      <c r="E60" s="129"/>
      <c r="F60" s="130"/>
      <c r="G60" s="20" t="s">
        <v>56</v>
      </c>
      <c r="H60" s="23" t="s">
        <v>121</v>
      </c>
      <c r="I60" s="78" t="s">
        <v>269</v>
      </c>
      <c r="J60" s="78" t="s">
        <v>269</v>
      </c>
      <c r="K60" s="78" t="s">
        <v>269</v>
      </c>
      <c r="L60" s="78" t="s">
        <v>269</v>
      </c>
      <c r="M60" s="78" t="s">
        <v>269</v>
      </c>
      <c r="N60" s="78" t="s">
        <v>269</v>
      </c>
      <c r="O60" s="78" t="s">
        <v>269</v>
      </c>
      <c r="P60" s="78" t="s">
        <v>269</v>
      </c>
      <c r="Q60" s="78" t="s">
        <v>269</v>
      </c>
      <c r="R60" s="78" t="s">
        <v>269</v>
      </c>
      <c r="S60" s="78" t="s">
        <v>269</v>
      </c>
      <c r="T60" s="78" t="s">
        <v>269</v>
      </c>
      <c r="U60" s="78" t="s">
        <v>269</v>
      </c>
      <c r="V60" s="78" t="s">
        <v>269</v>
      </c>
      <c r="W60" s="78" t="s">
        <v>269</v>
      </c>
      <c r="X60" s="78" t="s">
        <v>269</v>
      </c>
      <c r="Y60" s="78" t="s">
        <v>269</v>
      </c>
      <c r="Z60" s="78" t="s">
        <v>269</v>
      </c>
      <c r="AA60" s="78" t="s">
        <v>269</v>
      </c>
      <c r="AB60" s="78" t="s">
        <v>269</v>
      </c>
      <c r="AC60" s="78" t="s">
        <v>269</v>
      </c>
      <c r="AD60" s="78" t="s">
        <v>269</v>
      </c>
      <c r="AE60" s="78" t="s">
        <v>269</v>
      </c>
      <c r="AF60" s="78" t="s">
        <v>269</v>
      </c>
      <c r="AG60" s="78" t="s">
        <v>269</v>
      </c>
      <c r="AH60" s="78" t="s">
        <v>269</v>
      </c>
      <c r="AI60" s="78" t="s">
        <v>269</v>
      </c>
      <c r="AJ60" s="78" t="s">
        <v>269</v>
      </c>
      <c r="AK60" s="78" t="s">
        <v>269</v>
      </c>
      <c r="AL60" s="78" t="s">
        <v>269</v>
      </c>
      <c r="AM60" s="78" t="s">
        <v>269</v>
      </c>
      <c r="AN60" s="78" t="s">
        <v>269</v>
      </c>
      <c r="AO60" s="78" t="s">
        <v>269</v>
      </c>
      <c r="AP60" s="78" t="s">
        <v>269</v>
      </c>
      <c r="AQ60" s="78" t="s">
        <v>269</v>
      </c>
      <c r="AR60" s="78" t="s">
        <v>269</v>
      </c>
      <c r="AS60" s="78" t="s">
        <v>269</v>
      </c>
      <c r="AT60" s="78" t="s">
        <v>269</v>
      </c>
      <c r="AU60" s="78" t="s">
        <v>269</v>
      </c>
      <c r="AV60" s="78" t="s">
        <v>269</v>
      </c>
      <c r="AW60" s="78"/>
      <c r="AX60" s="78"/>
      <c r="AY60" s="78"/>
      <c r="AZ60" s="78"/>
      <c r="BA60" s="78"/>
      <c r="BB60" s="122"/>
      <c r="BC60" s="122"/>
      <c r="BD60" s="122"/>
      <c r="BE60" s="122"/>
      <c r="BF60" s="122"/>
      <c r="BG60" s="122"/>
      <c r="BH60" s="122"/>
      <c r="BI60" s="122"/>
      <c r="BJ60" s="122"/>
      <c r="BK60" s="122"/>
      <c r="BL60" s="122"/>
      <c r="BM60" s="122"/>
      <c r="BN60" s="122"/>
      <c r="BO60" s="122"/>
      <c r="BP60" s="122"/>
      <c r="BQ60" s="122"/>
      <c r="BR60" s="122"/>
      <c r="BS60" s="122"/>
      <c r="BT60" s="122"/>
      <c r="BU60" s="122"/>
      <c r="BV60" s="122"/>
      <c r="BW60" s="122"/>
      <c r="BX60" s="122"/>
      <c r="BY60" s="122"/>
      <c r="BZ60" s="122"/>
      <c r="CA60" s="122"/>
      <c r="CB60" s="122"/>
      <c r="CC60" s="122"/>
      <c r="CD60" s="122"/>
      <c r="CE60" s="122"/>
      <c r="CF60" s="122"/>
      <c r="CG60" s="122"/>
      <c r="CH60" s="122"/>
      <c r="CI60" s="122"/>
      <c r="CJ60" s="122"/>
      <c r="CK60" s="122"/>
      <c r="CL60" s="122"/>
      <c r="CM60" s="122"/>
      <c r="CN60" s="122"/>
      <c r="CO60" s="122"/>
      <c r="CP60" s="122"/>
      <c r="CQ60" s="122"/>
      <c r="CR60" s="122"/>
      <c r="CS60" s="122"/>
      <c r="CT60" s="122"/>
      <c r="CU60" s="124"/>
      <c r="CV60" s="124"/>
      <c r="CW60" s="124"/>
      <c r="CX60" s="124"/>
      <c r="CY60" s="124"/>
      <c r="CZ60" s="124"/>
      <c r="DA60" s="124"/>
      <c r="DB60" s="124"/>
      <c r="DC60" s="124"/>
      <c r="DD60" s="124"/>
      <c r="DE60" s="124"/>
      <c r="DF60" s="124"/>
      <c r="DG60" s="124"/>
      <c r="DH60" s="124"/>
      <c r="DI60" s="124"/>
      <c r="DJ60" s="124"/>
      <c r="DK60" s="124"/>
      <c r="DL60" s="124"/>
      <c r="DM60" s="124"/>
      <c r="DN60" s="124"/>
      <c r="DO60" s="124"/>
      <c r="DP60" s="124"/>
      <c r="DQ60" s="124"/>
      <c r="DR60" s="124"/>
      <c r="DS60" s="124"/>
      <c r="DT60" s="124"/>
      <c r="DU60" s="124"/>
      <c r="DV60" s="124"/>
      <c r="DW60" s="124"/>
      <c r="DX60" s="124"/>
      <c r="DY60" s="124"/>
      <c r="DZ60" s="124"/>
      <c r="EA60" s="124"/>
      <c r="EB60" s="124"/>
      <c r="EC60" s="124"/>
      <c r="ED60" s="124"/>
      <c r="EE60" s="124"/>
      <c r="EF60" s="124"/>
      <c r="EG60" s="124"/>
      <c r="EH60" s="124"/>
      <c r="EI60" s="124"/>
      <c r="EJ60" s="124"/>
      <c r="EK60" s="124"/>
      <c r="EL60" s="124"/>
      <c r="EM60" s="124"/>
      <c r="EN60" s="118"/>
      <c r="EO60" s="118"/>
      <c r="EP60" s="118"/>
      <c r="EQ60" s="118"/>
      <c r="ER60" s="118"/>
      <c r="ES60" s="118"/>
      <c r="ET60" s="118"/>
      <c r="EU60" s="118"/>
      <c r="EV60" s="118"/>
      <c r="EW60" s="118"/>
      <c r="EX60" s="118"/>
      <c r="EY60" s="118"/>
      <c r="EZ60" s="118"/>
      <c r="FA60" s="118"/>
      <c r="FB60" s="118"/>
      <c r="FC60" s="118"/>
      <c r="FD60" s="118"/>
      <c r="FE60" s="118"/>
      <c r="FF60" s="118"/>
      <c r="FG60" s="118"/>
      <c r="FH60" s="118"/>
      <c r="FI60" s="118"/>
      <c r="FJ60" s="118"/>
      <c r="FK60" s="118"/>
      <c r="FL60" s="118"/>
      <c r="FM60" s="118"/>
      <c r="FN60" s="118"/>
      <c r="FO60" s="118"/>
      <c r="FP60" s="118"/>
      <c r="FQ60" s="118"/>
      <c r="FR60" s="118"/>
      <c r="FS60" s="118"/>
      <c r="FT60" s="118"/>
      <c r="FU60" s="118"/>
      <c r="FV60" s="118"/>
      <c r="FW60" s="118"/>
      <c r="FX60" s="118"/>
      <c r="FY60" s="118"/>
      <c r="FZ60" s="118"/>
      <c r="GA60" s="118"/>
      <c r="GB60" s="118"/>
      <c r="GC60" s="118"/>
      <c r="GD60" s="118"/>
      <c r="GE60" s="118"/>
      <c r="GF60" s="118"/>
      <c r="GG60" s="116"/>
      <c r="GH60" s="116"/>
      <c r="GI60" s="116"/>
      <c r="GJ60" s="116"/>
      <c r="GK60" s="116"/>
      <c r="GL60" s="116"/>
      <c r="GM60" s="116"/>
      <c r="GN60" s="116"/>
      <c r="GO60" s="116"/>
      <c r="GP60" s="116"/>
      <c r="GQ60" s="116"/>
      <c r="GR60" s="116"/>
      <c r="GS60" s="116"/>
      <c r="GT60" s="116"/>
      <c r="GU60" s="116"/>
      <c r="GV60" s="116"/>
      <c r="GW60" s="116"/>
      <c r="GX60" s="116"/>
      <c r="GY60" s="116"/>
      <c r="GZ60" s="116"/>
      <c r="HA60" s="116"/>
      <c r="HB60" s="116"/>
      <c r="HC60" s="116"/>
      <c r="HD60" s="116"/>
      <c r="HE60" s="116"/>
      <c r="HF60" s="116"/>
      <c r="HG60" s="116"/>
      <c r="HH60" s="116"/>
      <c r="HI60" s="116"/>
      <c r="HJ60" s="116"/>
      <c r="HK60" s="116"/>
      <c r="HL60" s="116"/>
      <c r="HM60" s="116"/>
      <c r="HN60" s="116"/>
      <c r="HO60" s="116"/>
      <c r="HP60" s="116"/>
      <c r="HQ60" s="116"/>
      <c r="HR60" s="116"/>
      <c r="HS60" s="116"/>
      <c r="HT60" s="116"/>
      <c r="HU60" s="116"/>
      <c r="HV60" s="116"/>
      <c r="HW60" s="116"/>
      <c r="HX60" s="116"/>
      <c r="HY60" s="116"/>
      <c r="HZ60" s="49"/>
      <c r="IA60" s="49"/>
      <c r="IB60" s="49"/>
      <c r="IC60" s="49"/>
      <c r="ID60" s="49"/>
      <c r="IE60" s="49"/>
      <c r="IF60" s="49"/>
      <c r="IG60" s="49"/>
      <c r="IH60" s="49"/>
      <c r="II60" s="49"/>
      <c r="IJ60" s="49"/>
      <c r="IK60" s="49"/>
      <c r="IL60" s="49"/>
      <c r="IM60" s="49"/>
      <c r="IN60" s="49"/>
      <c r="IO60" s="49"/>
      <c r="IP60" s="49"/>
      <c r="IQ60" s="49"/>
      <c r="IR60" s="49"/>
      <c r="IS60" s="49"/>
      <c r="IT60" s="49"/>
      <c r="IU60" s="49"/>
      <c r="IV60" s="49"/>
      <c r="IW60" s="49"/>
      <c r="IX60" s="49"/>
      <c r="IY60" s="49"/>
      <c r="IZ60" s="49"/>
      <c r="JA60" s="49"/>
      <c r="JB60" s="49"/>
      <c r="JC60" s="49"/>
      <c r="JD60" s="49"/>
      <c r="JE60" s="49"/>
      <c r="JF60" s="49"/>
      <c r="JG60" s="49"/>
      <c r="JH60" s="49"/>
      <c r="JI60" s="49"/>
      <c r="JJ60" s="49"/>
      <c r="JK60" s="49"/>
      <c r="JL60" s="49"/>
      <c r="JM60" s="49"/>
      <c r="JN60" s="49"/>
      <c r="JO60" s="49"/>
      <c r="JP60" s="49"/>
      <c r="JQ60" s="49"/>
      <c r="JR60" s="49"/>
      <c r="JS60" s="49"/>
      <c r="JT60" s="49"/>
      <c r="JU60" s="49"/>
      <c r="JV60" s="49"/>
      <c r="JW60" s="49"/>
      <c r="JX60" s="49"/>
      <c r="JY60" s="49"/>
      <c r="JZ60" s="49"/>
      <c r="KA60" s="49"/>
      <c r="KB60" s="49"/>
      <c r="KC60" s="49"/>
      <c r="KD60" s="49"/>
      <c r="KE60" s="49"/>
      <c r="KF60" s="49"/>
      <c r="KG60" s="49"/>
      <c r="KH60" s="49"/>
      <c r="KI60" s="49"/>
      <c r="KJ60" s="49"/>
      <c r="KK60" s="49"/>
      <c r="KL60" s="49"/>
      <c r="KM60" s="49"/>
      <c r="KN60" s="49"/>
      <c r="KO60" s="49"/>
      <c r="KP60" s="49"/>
      <c r="KQ60" s="49"/>
      <c r="KR60" s="49"/>
      <c r="KS60" s="49"/>
      <c r="KT60" s="49"/>
      <c r="KU60" s="49"/>
      <c r="KV60" s="49"/>
      <c r="KW60" s="49"/>
      <c r="KX60" s="49"/>
      <c r="KY60" s="49"/>
      <c r="KZ60" s="49"/>
      <c r="LA60" s="49"/>
      <c r="LB60" s="49"/>
      <c r="LC60" s="49"/>
      <c r="LD60" s="49"/>
      <c r="LE60" s="49"/>
      <c r="LF60" s="49"/>
    </row>
    <row r="61" spans="1:323" ht="18" x14ac:dyDescent="0.25">
      <c r="A61" s="127"/>
      <c r="B61" s="126"/>
      <c r="C61" s="127"/>
      <c r="D61" s="126"/>
      <c r="E61" s="129"/>
      <c r="F61" s="130"/>
      <c r="G61" s="20" t="s">
        <v>56</v>
      </c>
      <c r="H61" s="23" t="s">
        <v>122</v>
      </c>
      <c r="I61" s="78" t="s">
        <v>269</v>
      </c>
      <c r="J61" s="78" t="s">
        <v>269</v>
      </c>
      <c r="K61" s="78" t="s">
        <v>269</v>
      </c>
      <c r="L61" s="78" t="s">
        <v>269</v>
      </c>
      <c r="M61" s="78" t="s">
        <v>269</v>
      </c>
      <c r="N61" s="78" t="s">
        <v>269</v>
      </c>
      <c r="O61" s="78" t="s">
        <v>269</v>
      </c>
      <c r="P61" s="78" t="s">
        <v>269</v>
      </c>
      <c r="Q61" s="78" t="s">
        <v>269</v>
      </c>
      <c r="R61" s="78" t="s">
        <v>269</v>
      </c>
      <c r="S61" s="78" t="s">
        <v>269</v>
      </c>
      <c r="T61" s="78" t="s">
        <v>269</v>
      </c>
      <c r="U61" s="78" t="s">
        <v>269</v>
      </c>
      <c r="V61" s="78" t="s">
        <v>269</v>
      </c>
      <c r="W61" s="78" t="s">
        <v>269</v>
      </c>
      <c r="X61" s="78" t="s">
        <v>269</v>
      </c>
      <c r="Y61" s="78" t="s">
        <v>269</v>
      </c>
      <c r="Z61" s="78" t="s">
        <v>269</v>
      </c>
      <c r="AA61" s="78" t="s">
        <v>269</v>
      </c>
      <c r="AB61" s="78" t="s">
        <v>269</v>
      </c>
      <c r="AC61" s="78" t="s">
        <v>269</v>
      </c>
      <c r="AD61" s="78" t="s">
        <v>269</v>
      </c>
      <c r="AE61" s="78" t="s">
        <v>269</v>
      </c>
      <c r="AF61" s="78" t="s">
        <v>269</v>
      </c>
      <c r="AG61" s="78" t="s">
        <v>269</v>
      </c>
      <c r="AH61" s="78" t="s">
        <v>269</v>
      </c>
      <c r="AI61" s="78" t="s">
        <v>269</v>
      </c>
      <c r="AJ61" s="78" t="s">
        <v>269</v>
      </c>
      <c r="AK61" s="78" t="s">
        <v>269</v>
      </c>
      <c r="AL61" s="78" t="s">
        <v>269</v>
      </c>
      <c r="AM61" s="78" t="s">
        <v>269</v>
      </c>
      <c r="AN61" s="78" t="s">
        <v>269</v>
      </c>
      <c r="AO61" s="78" t="s">
        <v>269</v>
      </c>
      <c r="AP61" s="78" t="s">
        <v>269</v>
      </c>
      <c r="AQ61" s="78" t="s">
        <v>269</v>
      </c>
      <c r="AR61" s="78" t="s">
        <v>269</v>
      </c>
      <c r="AS61" s="78" t="s">
        <v>269</v>
      </c>
      <c r="AT61" s="78" t="s">
        <v>269</v>
      </c>
      <c r="AU61" s="78" t="s">
        <v>269</v>
      </c>
      <c r="AV61" s="78" t="s">
        <v>269</v>
      </c>
      <c r="AW61" s="78"/>
      <c r="AX61" s="78"/>
      <c r="AY61" s="78"/>
      <c r="AZ61" s="78"/>
      <c r="BA61" s="78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  <c r="BQ61" s="122"/>
      <c r="BR61" s="122"/>
      <c r="BS61" s="122"/>
      <c r="BT61" s="122"/>
      <c r="BU61" s="122"/>
      <c r="BV61" s="122"/>
      <c r="BW61" s="122"/>
      <c r="BX61" s="122"/>
      <c r="BY61" s="122"/>
      <c r="BZ61" s="122"/>
      <c r="CA61" s="122"/>
      <c r="CB61" s="122"/>
      <c r="CC61" s="122"/>
      <c r="CD61" s="122"/>
      <c r="CE61" s="122"/>
      <c r="CF61" s="122"/>
      <c r="CG61" s="122"/>
      <c r="CH61" s="122"/>
      <c r="CI61" s="122"/>
      <c r="CJ61" s="122"/>
      <c r="CK61" s="122"/>
      <c r="CL61" s="122"/>
      <c r="CM61" s="122"/>
      <c r="CN61" s="122"/>
      <c r="CO61" s="122"/>
      <c r="CP61" s="122"/>
      <c r="CQ61" s="122"/>
      <c r="CR61" s="122"/>
      <c r="CS61" s="122"/>
      <c r="CT61" s="122"/>
      <c r="CU61" s="124"/>
      <c r="CV61" s="124"/>
      <c r="CW61" s="124"/>
      <c r="CX61" s="124"/>
      <c r="CY61" s="124"/>
      <c r="CZ61" s="124"/>
      <c r="DA61" s="124"/>
      <c r="DB61" s="124"/>
      <c r="DC61" s="124"/>
      <c r="DD61" s="124"/>
      <c r="DE61" s="124"/>
      <c r="DF61" s="124"/>
      <c r="DG61" s="124"/>
      <c r="DH61" s="124"/>
      <c r="DI61" s="124"/>
      <c r="DJ61" s="124"/>
      <c r="DK61" s="124"/>
      <c r="DL61" s="124"/>
      <c r="DM61" s="124"/>
      <c r="DN61" s="124"/>
      <c r="DO61" s="124"/>
      <c r="DP61" s="124"/>
      <c r="DQ61" s="124"/>
      <c r="DR61" s="124"/>
      <c r="DS61" s="124"/>
      <c r="DT61" s="124"/>
      <c r="DU61" s="124"/>
      <c r="DV61" s="124"/>
      <c r="DW61" s="124"/>
      <c r="DX61" s="124"/>
      <c r="DY61" s="124"/>
      <c r="DZ61" s="124"/>
      <c r="EA61" s="124"/>
      <c r="EB61" s="124"/>
      <c r="EC61" s="124"/>
      <c r="ED61" s="124"/>
      <c r="EE61" s="124"/>
      <c r="EF61" s="124"/>
      <c r="EG61" s="124"/>
      <c r="EH61" s="124"/>
      <c r="EI61" s="124"/>
      <c r="EJ61" s="124"/>
      <c r="EK61" s="124"/>
      <c r="EL61" s="124"/>
      <c r="EM61" s="124"/>
      <c r="EN61" s="118"/>
      <c r="EO61" s="118"/>
      <c r="EP61" s="118"/>
      <c r="EQ61" s="118"/>
      <c r="ER61" s="118"/>
      <c r="ES61" s="118"/>
      <c r="ET61" s="118"/>
      <c r="EU61" s="118"/>
      <c r="EV61" s="118"/>
      <c r="EW61" s="118"/>
      <c r="EX61" s="118"/>
      <c r="EY61" s="118"/>
      <c r="EZ61" s="118"/>
      <c r="FA61" s="118"/>
      <c r="FB61" s="118"/>
      <c r="FC61" s="118"/>
      <c r="FD61" s="118"/>
      <c r="FE61" s="118"/>
      <c r="FF61" s="118"/>
      <c r="FG61" s="118"/>
      <c r="FH61" s="118"/>
      <c r="FI61" s="118"/>
      <c r="FJ61" s="118"/>
      <c r="FK61" s="118"/>
      <c r="FL61" s="118"/>
      <c r="FM61" s="118"/>
      <c r="FN61" s="118"/>
      <c r="FO61" s="118"/>
      <c r="FP61" s="118"/>
      <c r="FQ61" s="118"/>
      <c r="FR61" s="118"/>
      <c r="FS61" s="118"/>
      <c r="FT61" s="118"/>
      <c r="FU61" s="118"/>
      <c r="FV61" s="118"/>
      <c r="FW61" s="118"/>
      <c r="FX61" s="118"/>
      <c r="FY61" s="118"/>
      <c r="FZ61" s="118"/>
      <c r="GA61" s="118"/>
      <c r="GB61" s="118"/>
      <c r="GC61" s="118"/>
      <c r="GD61" s="118"/>
      <c r="GE61" s="118"/>
      <c r="GF61" s="118"/>
      <c r="GG61" s="116"/>
      <c r="GH61" s="116"/>
      <c r="GI61" s="116"/>
      <c r="GJ61" s="116"/>
      <c r="GK61" s="116"/>
      <c r="GL61" s="116"/>
      <c r="GM61" s="116"/>
      <c r="GN61" s="116"/>
      <c r="GO61" s="116"/>
      <c r="GP61" s="116"/>
      <c r="GQ61" s="116"/>
      <c r="GR61" s="116"/>
      <c r="GS61" s="116"/>
      <c r="GT61" s="116"/>
      <c r="GU61" s="116"/>
      <c r="GV61" s="116"/>
      <c r="GW61" s="116"/>
      <c r="GX61" s="116"/>
      <c r="GY61" s="116"/>
      <c r="GZ61" s="116"/>
      <c r="HA61" s="116"/>
      <c r="HB61" s="116"/>
      <c r="HC61" s="116"/>
      <c r="HD61" s="116"/>
      <c r="HE61" s="116"/>
      <c r="HF61" s="116"/>
      <c r="HG61" s="116"/>
      <c r="HH61" s="116"/>
      <c r="HI61" s="116"/>
      <c r="HJ61" s="116"/>
      <c r="HK61" s="116"/>
      <c r="HL61" s="116"/>
      <c r="HM61" s="116"/>
      <c r="HN61" s="116"/>
      <c r="HO61" s="116"/>
      <c r="HP61" s="116"/>
      <c r="HQ61" s="116"/>
      <c r="HR61" s="116"/>
      <c r="HS61" s="116"/>
      <c r="HT61" s="116"/>
      <c r="HU61" s="116"/>
      <c r="HV61" s="116"/>
      <c r="HW61" s="116"/>
      <c r="HX61" s="116"/>
      <c r="HY61" s="116"/>
      <c r="HZ61" s="49"/>
      <c r="IA61" s="49"/>
      <c r="IB61" s="49"/>
      <c r="IC61" s="49"/>
      <c r="ID61" s="49"/>
      <c r="IE61" s="49"/>
      <c r="IF61" s="49"/>
      <c r="IG61" s="49"/>
      <c r="IH61" s="49"/>
      <c r="II61" s="49"/>
      <c r="IJ61" s="49"/>
      <c r="IK61" s="49"/>
      <c r="IL61" s="49"/>
      <c r="IM61" s="49"/>
      <c r="IN61" s="49"/>
      <c r="IO61" s="49"/>
      <c r="IP61" s="49"/>
      <c r="IQ61" s="49"/>
      <c r="IR61" s="49"/>
      <c r="IS61" s="49"/>
      <c r="IT61" s="49"/>
      <c r="IU61" s="49"/>
      <c r="IV61" s="49"/>
      <c r="IW61" s="49"/>
      <c r="IX61" s="49"/>
      <c r="IY61" s="49"/>
      <c r="IZ61" s="49"/>
      <c r="JA61" s="49"/>
      <c r="JB61" s="49"/>
      <c r="JC61" s="49"/>
      <c r="JD61" s="49"/>
      <c r="JE61" s="49"/>
      <c r="JF61" s="49"/>
      <c r="JG61" s="49"/>
      <c r="JH61" s="49"/>
      <c r="JI61" s="49"/>
      <c r="JJ61" s="49"/>
      <c r="JK61" s="49"/>
      <c r="JL61" s="49"/>
      <c r="JM61" s="49"/>
      <c r="JN61" s="49"/>
      <c r="JO61" s="49"/>
      <c r="JP61" s="49"/>
      <c r="JQ61" s="49"/>
      <c r="JR61" s="49"/>
      <c r="JS61" s="49"/>
      <c r="JT61" s="49"/>
      <c r="JU61" s="49"/>
      <c r="JV61" s="49"/>
      <c r="JW61" s="49"/>
      <c r="JX61" s="49"/>
      <c r="JY61" s="49"/>
      <c r="JZ61" s="49"/>
      <c r="KA61" s="49"/>
      <c r="KB61" s="49"/>
      <c r="KC61" s="49"/>
      <c r="KD61" s="49"/>
      <c r="KE61" s="49"/>
      <c r="KF61" s="49"/>
      <c r="KG61" s="49"/>
      <c r="KH61" s="49"/>
      <c r="KI61" s="49"/>
      <c r="KJ61" s="49"/>
      <c r="KK61" s="49"/>
      <c r="KL61" s="49"/>
      <c r="KM61" s="49"/>
      <c r="KN61" s="49"/>
      <c r="KO61" s="49"/>
      <c r="KP61" s="49"/>
      <c r="KQ61" s="49"/>
      <c r="KR61" s="49"/>
      <c r="KS61" s="49"/>
      <c r="KT61" s="49"/>
      <c r="KU61" s="49"/>
      <c r="KV61" s="49"/>
      <c r="KW61" s="49"/>
      <c r="KX61" s="49"/>
      <c r="KY61" s="49"/>
      <c r="KZ61" s="49"/>
      <c r="LA61" s="49"/>
      <c r="LB61" s="49"/>
      <c r="LC61" s="49"/>
      <c r="LD61" s="49"/>
      <c r="LE61" s="49"/>
      <c r="LF61" s="49"/>
    </row>
    <row r="62" spans="1:323" ht="18" x14ac:dyDescent="0.25">
      <c r="A62" s="127"/>
      <c r="B62" s="126"/>
      <c r="C62" s="127"/>
      <c r="D62" s="126"/>
      <c r="E62" s="129"/>
      <c r="F62" s="130"/>
      <c r="G62" s="20" t="s">
        <v>56</v>
      </c>
      <c r="H62" s="23" t="s">
        <v>123</v>
      </c>
      <c r="I62" s="78" t="s">
        <v>269</v>
      </c>
      <c r="J62" s="78" t="s">
        <v>269</v>
      </c>
      <c r="K62" s="78" t="s">
        <v>269</v>
      </c>
      <c r="L62" s="78" t="s">
        <v>269</v>
      </c>
      <c r="M62" s="78" t="s">
        <v>269</v>
      </c>
      <c r="N62" s="78" t="s">
        <v>269</v>
      </c>
      <c r="O62" s="78" t="s">
        <v>269</v>
      </c>
      <c r="P62" s="78" t="s">
        <v>269</v>
      </c>
      <c r="Q62" s="78" t="s">
        <v>269</v>
      </c>
      <c r="R62" s="78" t="s">
        <v>269</v>
      </c>
      <c r="S62" s="78" t="s">
        <v>269</v>
      </c>
      <c r="T62" s="78" t="s">
        <v>269</v>
      </c>
      <c r="U62" s="78" t="s">
        <v>269</v>
      </c>
      <c r="V62" s="78" t="s">
        <v>269</v>
      </c>
      <c r="W62" s="78" t="s">
        <v>269</v>
      </c>
      <c r="X62" s="78" t="s">
        <v>269</v>
      </c>
      <c r="Y62" s="78" t="s">
        <v>269</v>
      </c>
      <c r="Z62" s="78" t="s">
        <v>269</v>
      </c>
      <c r="AA62" s="78" t="s">
        <v>269</v>
      </c>
      <c r="AB62" s="78" t="s">
        <v>269</v>
      </c>
      <c r="AC62" s="78" t="s">
        <v>269</v>
      </c>
      <c r="AD62" s="78" t="s">
        <v>269</v>
      </c>
      <c r="AE62" s="78" t="s">
        <v>269</v>
      </c>
      <c r="AF62" s="78" t="s">
        <v>269</v>
      </c>
      <c r="AG62" s="78" t="s">
        <v>269</v>
      </c>
      <c r="AH62" s="78" t="s">
        <v>269</v>
      </c>
      <c r="AI62" s="78" t="s">
        <v>269</v>
      </c>
      <c r="AJ62" s="78" t="s">
        <v>269</v>
      </c>
      <c r="AK62" s="78" t="s">
        <v>269</v>
      </c>
      <c r="AL62" s="78" t="s">
        <v>269</v>
      </c>
      <c r="AM62" s="78" t="s">
        <v>269</v>
      </c>
      <c r="AN62" s="78" t="s">
        <v>269</v>
      </c>
      <c r="AO62" s="78" t="s">
        <v>269</v>
      </c>
      <c r="AP62" s="78" t="s">
        <v>269</v>
      </c>
      <c r="AQ62" s="78" t="s">
        <v>269</v>
      </c>
      <c r="AR62" s="78" t="s">
        <v>269</v>
      </c>
      <c r="AS62" s="78" t="s">
        <v>269</v>
      </c>
      <c r="AT62" s="78" t="s">
        <v>269</v>
      </c>
      <c r="AU62" s="78" t="s">
        <v>269</v>
      </c>
      <c r="AV62" s="78" t="s">
        <v>269</v>
      </c>
      <c r="AW62" s="78"/>
      <c r="AX62" s="78"/>
      <c r="AY62" s="78"/>
      <c r="AZ62" s="78"/>
      <c r="BA62" s="78"/>
      <c r="BB62" s="122"/>
      <c r="BC62" s="122"/>
      <c r="BD62" s="122"/>
      <c r="BE62" s="122"/>
      <c r="BF62" s="122"/>
      <c r="BG62" s="122"/>
      <c r="BH62" s="122"/>
      <c r="BI62" s="122"/>
      <c r="BJ62" s="122"/>
      <c r="BK62" s="122"/>
      <c r="BL62" s="122"/>
      <c r="BM62" s="122"/>
      <c r="BN62" s="122"/>
      <c r="BO62" s="122"/>
      <c r="BP62" s="122"/>
      <c r="BQ62" s="122"/>
      <c r="BR62" s="122"/>
      <c r="BS62" s="122"/>
      <c r="BT62" s="122"/>
      <c r="BU62" s="122"/>
      <c r="BV62" s="122"/>
      <c r="BW62" s="122"/>
      <c r="BX62" s="122"/>
      <c r="BY62" s="122"/>
      <c r="BZ62" s="122"/>
      <c r="CA62" s="122"/>
      <c r="CB62" s="122"/>
      <c r="CC62" s="122"/>
      <c r="CD62" s="122"/>
      <c r="CE62" s="122"/>
      <c r="CF62" s="122"/>
      <c r="CG62" s="122"/>
      <c r="CH62" s="122"/>
      <c r="CI62" s="122"/>
      <c r="CJ62" s="122"/>
      <c r="CK62" s="122"/>
      <c r="CL62" s="122"/>
      <c r="CM62" s="122"/>
      <c r="CN62" s="122"/>
      <c r="CO62" s="122"/>
      <c r="CP62" s="122"/>
      <c r="CQ62" s="122"/>
      <c r="CR62" s="122"/>
      <c r="CS62" s="122"/>
      <c r="CT62" s="122"/>
      <c r="CU62" s="124"/>
      <c r="CV62" s="124"/>
      <c r="CW62" s="124"/>
      <c r="CX62" s="124"/>
      <c r="CY62" s="124"/>
      <c r="CZ62" s="124"/>
      <c r="DA62" s="124"/>
      <c r="DB62" s="124"/>
      <c r="DC62" s="124"/>
      <c r="DD62" s="124"/>
      <c r="DE62" s="124"/>
      <c r="DF62" s="124"/>
      <c r="DG62" s="124"/>
      <c r="DH62" s="124"/>
      <c r="DI62" s="124"/>
      <c r="DJ62" s="124"/>
      <c r="DK62" s="124"/>
      <c r="DL62" s="124"/>
      <c r="DM62" s="124"/>
      <c r="DN62" s="124"/>
      <c r="DO62" s="124"/>
      <c r="DP62" s="124"/>
      <c r="DQ62" s="124"/>
      <c r="DR62" s="124"/>
      <c r="DS62" s="124"/>
      <c r="DT62" s="124"/>
      <c r="DU62" s="124"/>
      <c r="DV62" s="124"/>
      <c r="DW62" s="124"/>
      <c r="DX62" s="124"/>
      <c r="DY62" s="124"/>
      <c r="DZ62" s="124"/>
      <c r="EA62" s="124"/>
      <c r="EB62" s="124"/>
      <c r="EC62" s="124"/>
      <c r="ED62" s="124"/>
      <c r="EE62" s="124"/>
      <c r="EF62" s="124"/>
      <c r="EG62" s="124"/>
      <c r="EH62" s="124"/>
      <c r="EI62" s="124"/>
      <c r="EJ62" s="124"/>
      <c r="EK62" s="124"/>
      <c r="EL62" s="124"/>
      <c r="EM62" s="124"/>
      <c r="EN62" s="118"/>
      <c r="EO62" s="118"/>
      <c r="EP62" s="118"/>
      <c r="EQ62" s="118"/>
      <c r="ER62" s="118"/>
      <c r="ES62" s="118"/>
      <c r="ET62" s="118"/>
      <c r="EU62" s="118"/>
      <c r="EV62" s="118"/>
      <c r="EW62" s="118"/>
      <c r="EX62" s="118"/>
      <c r="EY62" s="118"/>
      <c r="EZ62" s="118"/>
      <c r="FA62" s="118"/>
      <c r="FB62" s="118"/>
      <c r="FC62" s="118"/>
      <c r="FD62" s="118"/>
      <c r="FE62" s="118"/>
      <c r="FF62" s="118"/>
      <c r="FG62" s="118"/>
      <c r="FH62" s="118"/>
      <c r="FI62" s="118"/>
      <c r="FJ62" s="118"/>
      <c r="FK62" s="118"/>
      <c r="FL62" s="118"/>
      <c r="FM62" s="118"/>
      <c r="FN62" s="118"/>
      <c r="FO62" s="118"/>
      <c r="FP62" s="118"/>
      <c r="FQ62" s="118"/>
      <c r="FR62" s="118"/>
      <c r="FS62" s="118"/>
      <c r="FT62" s="118"/>
      <c r="FU62" s="118"/>
      <c r="FV62" s="118"/>
      <c r="FW62" s="118"/>
      <c r="FX62" s="118"/>
      <c r="FY62" s="118"/>
      <c r="FZ62" s="118"/>
      <c r="GA62" s="118"/>
      <c r="GB62" s="118"/>
      <c r="GC62" s="118"/>
      <c r="GD62" s="118"/>
      <c r="GE62" s="118"/>
      <c r="GF62" s="118"/>
      <c r="GG62" s="116"/>
      <c r="GH62" s="116"/>
      <c r="GI62" s="116"/>
      <c r="GJ62" s="116"/>
      <c r="GK62" s="116"/>
      <c r="GL62" s="116"/>
      <c r="GM62" s="116"/>
      <c r="GN62" s="116"/>
      <c r="GO62" s="116"/>
      <c r="GP62" s="116"/>
      <c r="GQ62" s="116"/>
      <c r="GR62" s="116"/>
      <c r="GS62" s="116"/>
      <c r="GT62" s="116"/>
      <c r="GU62" s="116"/>
      <c r="GV62" s="116"/>
      <c r="GW62" s="116"/>
      <c r="GX62" s="116"/>
      <c r="GY62" s="116"/>
      <c r="GZ62" s="116"/>
      <c r="HA62" s="116"/>
      <c r="HB62" s="116"/>
      <c r="HC62" s="116"/>
      <c r="HD62" s="116"/>
      <c r="HE62" s="116"/>
      <c r="HF62" s="116"/>
      <c r="HG62" s="116"/>
      <c r="HH62" s="116"/>
      <c r="HI62" s="116"/>
      <c r="HJ62" s="116"/>
      <c r="HK62" s="116"/>
      <c r="HL62" s="116"/>
      <c r="HM62" s="116"/>
      <c r="HN62" s="116"/>
      <c r="HO62" s="116"/>
      <c r="HP62" s="116"/>
      <c r="HQ62" s="116"/>
      <c r="HR62" s="116"/>
      <c r="HS62" s="116"/>
      <c r="HT62" s="116"/>
      <c r="HU62" s="116"/>
      <c r="HV62" s="116"/>
      <c r="HW62" s="116"/>
      <c r="HX62" s="116"/>
      <c r="HY62" s="116"/>
      <c r="HZ62" s="49"/>
      <c r="IA62" s="49"/>
      <c r="IB62" s="49"/>
      <c r="IC62" s="49"/>
      <c r="ID62" s="49"/>
      <c r="IE62" s="49"/>
      <c r="IF62" s="49"/>
      <c r="IG62" s="49"/>
      <c r="IH62" s="49"/>
      <c r="II62" s="49"/>
      <c r="IJ62" s="49"/>
      <c r="IK62" s="49"/>
      <c r="IL62" s="49"/>
      <c r="IM62" s="49"/>
      <c r="IN62" s="49"/>
      <c r="IO62" s="49"/>
      <c r="IP62" s="49"/>
      <c r="IQ62" s="49"/>
      <c r="IR62" s="49"/>
      <c r="IS62" s="49"/>
      <c r="IT62" s="49"/>
      <c r="IU62" s="49"/>
      <c r="IV62" s="49"/>
      <c r="IW62" s="49"/>
      <c r="IX62" s="49"/>
      <c r="IY62" s="49"/>
      <c r="IZ62" s="49"/>
      <c r="JA62" s="49"/>
      <c r="JB62" s="49"/>
      <c r="JC62" s="49"/>
      <c r="JD62" s="49"/>
      <c r="JE62" s="49"/>
      <c r="JF62" s="49"/>
      <c r="JG62" s="49"/>
      <c r="JH62" s="49"/>
      <c r="JI62" s="49"/>
      <c r="JJ62" s="49"/>
      <c r="JK62" s="49"/>
      <c r="JL62" s="49"/>
      <c r="JM62" s="49"/>
      <c r="JN62" s="49"/>
      <c r="JO62" s="49"/>
      <c r="JP62" s="49"/>
      <c r="JQ62" s="49"/>
      <c r="JR62" s="49"/>
      <c r="JS62" s="49"/>
      <c r="JT62" s="49"/>
      <c r="JU62" s="49"/>
      <c r="JV62" s="49"/>
      <c r="JW62" s="49"/>
      <c r="JX62" s="49"/>
      <c r="JY62" s="49"/>
      <c r="JZ62" s="49"/>
      <c r="KA62" s="49"/>
      <c r="KB62" s="49"/>
      <c r="KC62" s="49"/>
      <c r="KD62" s="49"/>
      <c r="KE62" s="49"/>
      <c r="KF62" s="49"/>
      <c r="KG62" s="49"/>
      <c r="KH62" s="49"/>
      <c r="KI62" s="49"/>
      <c r="KJ62" s="49"/>
      <c r="KK62" s="49"/>
      <c r="KL62" s="49"/>
      <c r="KM62" s="49"/>
      <c r="KN62" s="49"/>
      <c r="KO62" s="49"/>
      <c r="KP62" s="49"/>
      <c r="KQ62" s="49"/>
      <c r="KR62" s="49"/>
      <c r="KS62" s="49"/>
      <c r="KT62" s="49"/>
      <c r="KU62" s="49"/>
      <c r="KV62" s="49"/>
      <c r="KW62" s="49"/>
      <c r="KX62" s="49"/>
      <c r="KY62" s="49"/>
      <c r="KZ62" s="49"/>
      <c r="LA62" s="49"/>
      <c r="LB62" s="49"/>
      <c r="LC62" s="49"/>
      <c r="LD62" s="49"/>
      <c r="LE62" s="49"/>
      <c r="LF62" s="49"/>
    </row>
    <row r="63" spans="1:323" ht="18" x14ac:dyDescent="0.25">
      <c r="A63" s="127"/>
      <c r="B63" s="126"/>
      <c r="C63" s="127"/>
      <c r="D63" s="126"/>
      <c r="E63" s="129"/>
      <c r="F63" s="130"/>
      <c r="G63" s="20" t="s">
        <v>56</v>
      </c>
      <c r="H63" s="23" t="s">
        <v>124</v>
      </c>
      <c r="I63" s="78" t="s">
        <v>269</v>
      </c>
      <c r="J63" s="78" t="s">
        <v>269</v>
      </c>
      <c r="K63" s="78" t="s">
        <v>269</v>
      </c>
      <c r="L63" s="78" t="s">
        <v>269</v>
      </c>
      <c r="M63" s="78" t="s">
        <v>269</v>
      </c>
      <c r="N63" s="78" t="s">
        <v>269</v>
      </c>
      <c r="O63" s="78" t="s">
        <v>269</v>
      </c>
      <c r="P63" s="78" t="s">
        <v>269</v>
      </c>
      <c r="Q63" s="78" t="s">
        <v>269</v>
      </c>
      <c r="R63" s="78" t="s">
        <v>269</v>
      </c>
      <c r="S63" s="78" t="s">
        <v>269</v>
      </c>
      <c r="T63" s="78" t="s">
        <v>269</v>
      </c>
      <c r="U63" s="78" t="s">
        <v>269</v>
      </c>
      <c r="V63" s="78" t="s">
        <v>269</v>
      </c>
      <c r="W63" s="78" t="s">
        <v>269</v>
      </c>
      <c r="X63" s="78" t="s">
        <v>269</v>
      </c>
      <c r="Y63" s="78" t="s">
        <v>269</v>
      </c>
      <c r="Z63" s="78" t="s">
        <v>269</v>
      </c>
      <c r="AA63" s="78" t="s">
        <v>269</v>
      </c>
      <c r="AB63" s="78" t="s">
        <v>269</v>
      </c>
      <c r="AC63" s="78" t="s">
        <v>269</v>
      </c>
      <c r="AD63" s="78" t="s">
        <v>269</v>
      </c>
      <c r="AE63" s="78" t="s">
        <v>269</v>
      </c>
      <c r="AF63" s="78" t="s">
        <v>269</v>
      </c>
      <c r="AG63" s="78" t="s">
        <v>269</v>
      </c>
      <c r="AH63" s="78" t="s">
        <v>269</v>
      </c>
      <c r="AI63" s="78" t="s">
        <v>269</v>
      </c>
      <c r="AJ63" s="78" t="s">
        <v>269</v>
      </c>
      <c r="AK63" s="78" t="s">
        <v>269</v>
      </c>
      <c r="AL63" s="78" t="s">
        <v>269</v>
      </c>
      <c r="AM63" s="78" t="s">
        <v>269</v>
      </c>
      <c r="AN63" s="78" t="s">
        <v>269</v>
      </c>
      <c r="AO63" s="78" t="s">
        <v>269</v>
      </c>
      <c r="AP63" s="78" t="s">
        <v>269</v>
      </c>
      <c r="AQ63" s="78" t="s">
        <v>269</v>
      </c>
      <c r="AR63" s="78" t="s">
        <v>269</v>
      </c>
      <c r="AS63" s="78" t="s">
        <v>269</v>
      </c>
      <c r="AT63" s="78" t="s">
        <v>269</v>
      </c>
      <c r="AU63" s="78" t="s">
        <v>269</v>
      </c>
      <c r="AV63" s="78" t="s">
        <v>269</v>
      </c>
      <c r="AW63" s="78"/>
      <c r="AX63" s="78"/>
      <c r="AY63" s="78"/>
      <c r="AZ63" s="78"/>
      <c r="BA63" s="78"/>
      <c r="BB63" s="122"/>
      <c r="BC63" s="122"/>
      <c r="BD63" s="122"/>
      <c r="BE63" s="122"/>
      <c r="BF63" s="122"/>
      <c r="BG63" s="122"/>
      <c r="BH63" s="122"/>
      <c r="BI63" s="122"/>
      <c r="BJ63" s="122"/>
      <c r="BK63" s="122"/>
      <c r="BL63" s="122"/>
      <c r="BM63" s="122"/>
      <c r="BN63" s="122"/>
      <c r="BO63" s="122"/>
      <c r="BP63" s="122"/>
      <c r="BQ63" s="122"/>
      <c r="BR63" s="122"/>
      <c r="BS63" s="122"/>
      <c r="BT63" s="122"/>
      <c r="BU63" s="122"/>
      <c r="BV63" s="122"/>
      <c r="BW63" s="122"/>
      <c r="BX63" s="122"/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  <c r="CI63" s="122"/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4"/>
      <c r="CV63" s="124"/>
      <c r="CW63" s="124"/>
      <c r="CX63" s="124"/>
      <c r="CY63" s="124"/>
      <c r="CZ63" s="124"/>
      <c r="DA63" s="124"/>
      <c r="DB63" s="124"/>
      <c r="DC63" s="124"/>
      <c r="DD63" s="124"/>
      <c r="DE63" s="124"/>
      <c r="DF63" s="124"/>
      <c r="DG63" s="124"/>
      <c r="DH63" s="124"/>
      <c r="DI63" s="124"/>
      <c r="DJ63" s="124"/>
      <c r="DK63" s="124"/>
      <c r="DL63" s="124"/>
      <c r="DM63" s="124"/>
      <c r="DN63" s="124"/>
      <c r="DO63" s="124"/>
      <c r="DP63" s="124"/>
      <c r="DQ63" s="124"/>
      <c r="DR63" s="124"/>
      <c r="DS63" s="124"/>
      <c r="DT63" s="124"/>
      <c r="DU63" s="124"/>
      <c r="DV63" s="124"/>
      <c r="DW63" s="124"/>
      <c r="DX63" s="124"/>
      <c r="DY63" s="124"/>
      <c r="DZ63" s="124"/>
      <c r="EA63" s="124"/>
      <c r="EB63" s="124"/>
      <c r="EC63" s="124"/>
      <c r="ED63" s="124"/>
      <c r="EE63" s="124"/>
      <c r="EF63" s="124"/>
      <c r="EG63" s="124"/>
      <c r="EH63" s="124"/>
      <c r="EI63" s="124"/>
      <c r="EJ63" s="124"/>
      <c r="EK63" s="124"/>
      <c r="EL63" s="124"/>
      <c r="EM63" s="124"/>
      <c r="EN63" s="118"/>
      <c r="EO63" s="118"/>
      <c r="EP63" s="118"/>
      <c r="EQ63" s="118"/>
      <c r="ER63" s="118"/>
      <c r="ES63" s="118"/>
      <c r="ET63" s="118"/>
      <c r="EU63" s="118"/>
      <c r="EV63" s="118"/>
      <c r="EW63" s="118"/>
      <c r="EX63" s="118"/>
      <c r="EY63" s="118"/>
      <c r="EZ63" s="118"/>
      <c r="FA63" s="118"/>
      <c r="FB63" s="118"/>
      <c r="FC63" s="118"/>
      <c r="FD63" s="118"/>
      <c r="FE63" s="118"/>
      <c r="FF63" s="118"/>
      <c r="FG63" s="118"/>
      <c r="FH63" s="118"/>
      <c r="FI63" s="118"/>
      <c r="FJ63" s="118"/>
      <c r="FK63" s="118"/>
      <c r="FL63" s="118"/>
      <c r="FM63" s="118"/>
      <c r="FN63" s="118"/>
      <c r="FO63" s="118"/>
      <c r="FP63" s="118"/>
      <c r="FQ63" s="118"/>
      <c r="FR63" s="118"/>
      <c r="FS63" s="118"/>
      <c r="FT63" s="118"/>
      <c r="FU63" s="118"/>
      <c r="FV63" s="118"/>
      <c r="FW63" s="118"/>
      <c r="FX63" s="118"/>
      <c r="FY63" s="118"/>
      <c r="FZ63" s="118"/>
      <c r="GA63" s="118"/>
      <c r="GB63" s="118"/>
      <c r="GC63" s="118"/>
      <c r="GD63" s="118"/>
      <c r="GE63" s="118"/>
      <c r="GF63" s="118"/>
      <c r="GG63" s="116"/>
      <c r="GH63" s="116"/>
      <c r="GI63" s="116"/>
      <c r="GJ63" s="116"/>
      <c r="GK63" s="116"/>
      <c r="GL63" s="116"/>
      <c r="GM63" s="116"/>
      <c r="GN63" s="116"/>
      <c r="GO63" s="116"/>
      <c r="GP63" s="116"/>
      <c r="GQ63" s="116"/>
      <c r="GR63" s="116"/>
      <c r="GS63" s="116"/>
      <c r="GT63" s="116"/>
      <c r="GU63" s="116"/>
      <c r="GV63" s="116"/>
      <c r="GW63" s="116"/>
      <c r="GX63" s="116"/>
      <c r="GY63" s="116"/>
      <c r="GZ63" s="116"/>
      <c r="HA63" s="116"/>
      <c r="HB63" s="116"/>
      <c r="HC63" s="116"/>
      <c r="HD63" s="116"/>
      <c r="HE63" s="116"/>
      <c r="HF63" s="116"/>
      <c r="HG63" s="116"/>
      <c r="HH63" s="116"/>
      <c r="HI63" s="116"/>
      <c r="HJ63" s="116"/>
      <c r="HK63" s="116"/>
      <c r="HL63" s="116"/>
      <c r="HM63" s="116"/>
      <c r="HN63" s="116"/>
      <c r="HO63" s="116"/>
      <c r="HP63" s="116"/>
      <c r="HQ63" s="116"/>
      <c r="HR63" s="116"/>
      <c r="HS63" s="116"/>
      <c r="HT63" s="116"/>
      <c r="HU63" s="116"/>
      <c r="HV63" s="116"/>
      <c r="HW63" s="116"/>
      <c r="HX63" s="116"/>
      <c r="HY63" s="116"/>
      <c r="HZ63" s="49"/>
      <c r="IA63" s="49"/>
      <c r="IB63" s="49"/>
      <c r="IC63" s="49"/>
      <c r="ID63" s="49"/>
      <c r="IE63" s="49"/>
      <c r="IF63" s="49"/>
      <c r="IG63" s="49"/>
      <c r="IH63" s="49"/>
      <c r="II63" s="49"/>
      <c r="IJ63" s="49"/>
      <c r="IK63" s="49"/>
      <c r="IL63" s="49"/>
      <c r="IM63" s="49"/>
      <c r="IN63" s="49"/>
      <c r="IO63" s="49"/>
      <c r="IP63" s="49"/>
      <c r="IQ63" s="49"/>
      <c r="IR63" s="49"/>
      <c r="IS63" s="49"/>
      <c r="IT63" s="49"/>
      <c r="IU63" s="49"/>
      <c r="IV63" s="49"/>
      <c r="IW63" s="49"/>
      <c r="IX63" s="49"/>
      <c r="IY63" s="49"/>
      <c r="IZ63" s="49"/>
      <c r="JA63" s="49"/>
      <c r="JB63" s="49"/>
      <c r="JC63" s="49"/>
      <c r="JD63" s="49"/>
      <c r="JE63" s="49"/>
      <c r="JF63" s="49"/>
      <c r="JG63" s="49"/>
      <c r="JH63" s="49"/>
      <c r="JI63" s="49"/>
      <c r="JJ63" s="49"/>
      <c r="JK63" s="49"/>
      <c r="JL63" s="49"/>
      <c r="JM63" s="49"/>
      <c r="JN63" s="49"/>
      <c r="JO63" s="49"/>
      <c r="JP63" s="49"/>
      <c r="JQ63" s="49"/>
      <c r="JR63" s="49"/>
      <c r="JS63" s="49"/>
      <c r="JT63" s="49"/>
      <c r="JU63" s="49"/>
      <c r="JV63" s="49"/>
      <c r="JW63" s="49"/>
      <c r="JX63" s="49"/>
      <c r="JY63" s="49"/>
      <c r="JZ63" s="49"/>
      <c r="KA63" s="49"/>
      <c r="KB63" s="49"/>
      <c r="KC63" s="49"/>
      <c r="KD63" s="49"/>
      <c r="KE63" s="49"/>
      <c r="KF63" s="49"/>
      <c r="KG63" s="49"/>
      <c r="KH63" s="49"/>
      <c r="KI63" s="49"/>
      <c r="KJ63" s="49"/>
      <c r="KK63" s="49"/>
      <c r="KL63" s="49"/>
      <c r="KM63" s="49"/>
      <c r="KN63" s="49"/>
      <c r="KO63" s="49"/>
      <c r="KP63" s="49"/>
      <c r="KQ63" s="49"/>
      <c r="KR63" s="49"/>
      <c r="KS63" s="49"/>
      <c r="KT63" s="49"/>
      <c r="KU63" s="49"/>
      <c r="KV63" s="49"/>
      <c r="KW63" s="49"/>
      <c r="KX63" s="49"/>
      <c r="KY63" s="49"/>
      <c r="KZ63" s="49"/>
      <c r="LA63" s="49"/>
      <c r="LB63" s="49"/>
      <c r="LC63" s="49"/>
      <c r="LD63" s="49"/>
      <c r="LE63" s="49"/>
      <c r="LF63" s="49"/>
    </row>
    <row r="64" spans="1:323" ht="18" x14ac:dyDescent="0.25">
      <c r="A64" s="127"/>
      <c r="B64" s="126"/>
      <c r="C64" s="127"/>
      <c r="D64" s="126"/>
      <c r="E64" s="129"/>
      <c r="F64" s="130"/>
      <c r="G64" s="20" t="s">
        <v>56</v>
      </c>
      <c r="H64" s="23" t="s">
        <v>125</v>
      </c>
      <c r="I64" s="78" t="s">
        <v>269</v>
      </c>
      <c r="J64" s="78" t="s">
        <v>269</v>
      </c>
      <c r="K64" s="78" t="s">
        <v>269</v>
      </c>
      <c r="L64" s="78" t="s">
        <v>269</v>
      </c>
      <c r="M64" s="78" t="s">
        <v>269</v>
      </c>
      <c r="N64" s="78" t="s">
        <v>269</v>
      </c>
      <c r="O64" s="78" t="s">
        <v>269</v>
      </c>
      <c r="P64" s="78" t="s">
        <v>269</v>
      </c>
      <c r="Q64" s="78" t="s">
        <v>269</v>
      </c>
      <c r="R64" s="78" t="s">
        <v>269</v>
      </c>
      <c r="S64" s="78" t="s">
        <v>269</v>
      </c>
      <c r="T64" s="78" t="s">
        <v>269</v>
      </c>
      <c r="U64" s="78" t="s">
        <v>269</v>
      </c>
      <c r="V64" s="78" t="s">
        <v>269</v>
      </c>
      <c r="W64" s="78" t="s">
        <v>269</v>
      </c>
      <c r="X64" s="78" t="s">
        <v>269</v>
      </c>
      <c r="Y64" s="78" t="s">
        <v>269</v>
      </c>
      <c r="Z64" s="78" t="s">
        <v>269</v>
      </c>
      <c r="AA64" s="78" t="s">
        <v>269</v>
      </c>
      <c r="AB64" s="78" t="s">
        <v>269</v>
      </c>
      <c r="AC64" s="78" t="s">
        <v>269</v>
      </c>
      <c r="AD64" s="78" t="s">
        <v>269</v>
      </c>
      <c r="AE64" s="78" t="s">
        <v>269</v>
      </c>
      <c r="AF64" s="78" t="s">
        <v>269</v>
      </c>
      <c r="AG64" s="78" t="s">
        <v>269</v>
      </c>
      <c r="AH64" s="78" t="s">
        <v>269</v>
      </c>
      <c r="AI64" s="78" t="s">
        <v>269</v>
      </c>
      <c r="AJ64" s="78" t="s">
        <v>269</v>
      </c>
      <c r="AK64" s="78" t="s">
        <v>269</v>
      </c>
      <c r="AL64" s="78" t="s">
        <v>269</v>
      </c>
      <c r="AM64" s="78" t="s">
        <v>269</v>
      </c>
      <c r="AN64" s="78" t="s">
        <v>269</v>
      </c>
      <c r="AO64" s="78" t="s">
        <v>269</v>
      </c>
      <c r="AP64" s="78" t="s">
        <v>269</v>
      </c>
      <c r="AQ64" s="78" t="s">
        <v>269</v>
      </c>
      <c r="AR64" s="78" t="s">
        <v>269</v>
      </c>
      <c r="AS64" s="78" t="s">
        <v>269</v>
      </c>
      <c r="AT64" s="78" t="s">
        <v>269</v>
      </c>
      <c r="AU64" s="78" t="s">
        <v>269</v>
      </c>
      <c r="AV64" s="78" t="s">
        <v>269</v>
      </c>
      <c r="AW64" s="78"/>
      <c r="AX64" s="78"/>
      <c r="AY64" s="78"/>
      <c r="AZ64" s="78"/>
      <c r="BA64" s="78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  <c r="BM64" s="122"/>
      <c r="BN64" s="122"/>
      <c r="BO64" s="122"/>
      <c r="BP64" s="122"/>
      <c r="BQ64" s="122"/>
      <c r="BR64" s="122"/>
      <c r="BS64" s="122"/>
      <c r="BT64" s="122"/>
      <c r="BU64" s="122"/>
      <c r="BV64" s="122"/>
      <c r="BW64" s="122"/>
      <c r="BX64" s="122"/>
      <c r="BY64" s="122"/>
      <c r="BZ64" s="122"/>
      <c r="CA64" s="122"/>
      <c r="CB64" s="122"/>
      <c r="CC64" s="122"/>
      <c r="CD64" s="122"/>
      <c r="CE64" s="122"/>
      <c r="CF64" s="122"/>
      <c r="CG64" s="122"/>
      <c r="CH64" s="122"/>
      <c r="CI64" s="122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4"/>
      <c r="CV64" s="124"/>
      <c r="CW64" s="124"/>
      <c r="CX64" s="124"/>
      <c r="CY64" s="124"/>
      <c r="CZ64" s="124"/>
      <c r="DA64" s="124"/>
      <c r="DB64" s="124"/>
      <c r="DC64" s="124"/>
      <c r="DD64" s="124"/>
      <c r="DE64" s="124"/>
      <c r="DF64" s="124"/>
      <c r="DG64" s="124"/>
      <c r="DH64" s="124"/>
      <c r="DI64" s="124"/>
      <c r="DJ64" s="124"/>
      <c r="DK64" s="124"/>
      <c r="DL64" s="124"/>
      <c r="DM64" s="124"/>
      <c r="DN64" s="124"/>
      <c r="DO64" s="124"/>
      <c r="DP64" s="124"/>
      <c r="DQ64" s="124"/>
      <c r="DR64" s="124"/>
      <c r="DS64" s="124"/>
      <c r="DT64" s="124"/>
      <c r="DU64" s="124"/>
      <c r="DV64" s="124"/>
      <c r="DW64" s="124"/>
      <c r="DX64" s="124"/>
      <c r="DY64" s="124"/>
      <c r="DZ64" s="124"/>
      <c r="EA64" s="124"/>
      <c r="EB64" s="124"/>
      <c r="EC64" s="124"/>
      <c r="ED64" s="124"/>
      <c r="EE64" s="124"/>
      <c r="EF64" s="124"/>
      <c r="EG64" s="124"/>
      <c r="EH64" s="124"/>
      <c r="EI64" s="124"/>
      <c r="EJ64" s="124"/>
      <c r="EK64" s="124"/>
      <c r="EL64" s="124"/>
      <c r="EM64" s="124"/>
      <c r="EN64" s="118"/>
      <c r="EO64" s="118"/>
      <c r="EP64" s="118"/>
      <c r="EQ64" s="118"/>
      <c r="ER64" s="118"/>
      <c r="ES64" s="118"/>
      <c r="ET64" s="118"/>
      <c r="EU64" s="118"/>
      <c r="EV64" s="118"/>
      <c r="EW64" s="118"/>
      <c r="EX64" s="118"/>
      <c r="EY64" s="118"/>
      <c r="EZ64" s="118"/>
      <c r="FA64" s="118"/>
      <c r="FB64" s="118"/>
      <c r="FC64" s="118"/>
      <c r="FD64" s="118"/>
      <c r="FE64" s="118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6"/>
      <c r="GH64" s="116"/>
      <c r="GI64" s="116"/>
      <c r="GJ64" s="116"/>
      <c r="GK64" s="116"/>
      <c r="GL64" s="116"/>
      <c r="GM64" s="116"/>
      <c r="GN64" s="116"/>
      <c r="GO64" s="116"/>
      <c r="GP64" s="116"/>
      <c r="GQ64" s="116"/>
      <c r="GR64" s="116"/>
      <c r="GS64" s="116"/>
      <c r="GT64" s="116"/>
      <c r="GU64" s="116"/>
      <c r="GV64" s="116"/>
      <c r="GW64" s="116"/>
      <c r="GX64" s="116"/>
      <c r="GY64" s="116"/>
      <c r="GZ64" s="116"/>
      <c r="HA64" s="116"/>
      <c r="HB64" s="116"/>
      <c r="HC64" s="116"/>
      <c r="HD64" s="116"/>
      <c r="HE64" s="116"/>
      <c r="HF64" s="116"/>
      <c r="HG64" s="116"/>
      <c r="HH64" s="116"/>
      <c r="HI64" s="116"/>
      <c r="HJ64" s="116"/>
      <c r="HK64" s="116"/>
      <c r="HL64" s="116"/>
      <c r="HM64" s="116"/>
      <c r="HN64" s="116"/>
      <c r="HO64" s="116"/>
      <c r="HP64" s="116"/>
      <c r="HQ64" s="116"/>
      <c r="HR64" s="116"/>
      <c r="HS64" s="116"/>
      <c r="HT64" s="116"/>
      <c r="HU64" s="116"/>
      <c r="HV64" s="116"/>
      <c r="HW64" s="116"/>
      <c r="HX64" s="116"/>
      <c r="HY64" s="116"/>
      <c r="HZ64" s="49"/>
      <c r="IA64" s="49"/>
      <c r="IB64" s="49"/>
      <c r="IC64" s="49"/>
      <c r="ID64" s="49"/>
      <c r="IE64" s="49"/>
      <c r="IF64" s="49"/>
      <c r="IG64" s="49"/>
      <c r="IH64" s="49"/>
      <c r="II64" s="49"/>
      <c r="IJ64" s="49"/>
      <c r="IK64" s="49"/>
      <c r="IL64" s="49"/>
      <c r="IM64" s="49"/>
      <c r="IN64" s="49"/>
      <c r="IO64" s="49"/>
      <c r="IP64" s="49"/>
      <c r="IQ64" s="49"/>
      <c r="IR64" s="49"/>
      <c r="IS64" s="49"/>
      <c r="IT64" s="49"/>
      <c r="IU64" s="49"/>
      <c r="IV64" s="49"/>
      <c r="IW64" s="49"/>
      <c r="IX64" s="49"/>
      <c r="IY64" s="49"/>
      <c r="IZ64" s="49"/>
      <c r="JA64" s="49"/>
      <c r="JB64" s="49"/>
      <c r="JC64" s="49"/>
      <c r="JD64" s="49"/>
      <c r="JE64" s="49"/>
      <c r="JF64" s="49"/>
      <c r="JG64" s="49"/>
      <c r="JH64" s="49"/>
      <c r="JI64" s="49"/>
      <c r="JJ64" s="49"/>
      <c r="JK64" s="49"/>
      <c r="JL64" s="49"/>
      <c r="JM64" s="49"/>
      <c r="JN64" s="49"/>
      <c r="JO64" s="49"/>
      <c r="JP64" s="49"/>
      <c r="JQ64" s="49"/>
      <c r="JR64" s="49"/>
      <c r="JS64" s="49"/>
      <c r="JT64" s="49"/>
      <c r="JU64" s="49"/>
      <c r="JV64" s="49"/>
      <c r="JW64" s="49"/>
      <c r="JX64" s="49"/>
      <c r="JY64" s="49"/>
      <c r="JZ64" s="49"/>
      <c r="KA64" s="49"/>
      <c r="KB64" s="49"/>
      <c r="KC64" s="49"/>
      <c r="KD64" s="49"/>
      <c r="KE64" s="49"/>
      <c r="KF64" s="49"/>
      <c r="KG64" s="49"/>
      <c r="KH64" s="49"/>
      <c r="KI64" s="49"/>
      <c r="KJ64" s="49"/>
      <c r="KK64" s="49"/>
      <c r="KL64" s="49"/>
      <c r="KM64" s="49"/>
      <c r="KN64" s="49"/>
      <c r="KO64" s="49"/>
      <c r="KP64" s="49"/>
      <c r="KQ64" s="49"/>
      <c r="KR64" s="49"/>
      <c r="KS64" s="49"/>
      <c r="KT64" s="49"/>
      <c r="KU64" s="49"/>
      <c r="KV64" s="49"/>
      <c r="KW64" s="49"/>
      <c r="KX64" s="49"/>
      <c r="KY64" s="49"/>
      <c r="KZ64" s="49"/>
      <c r="LA64" s="49"/>
      <c r="LB64" s="49"/>
      <c r="LC64" s="49"/>
      <c r="LD64" s="49"/>
      <c r="LE64" s="49"/>
      <c r="LF64" s="49"/>
    </row>
    <row r="65" spans="1:318" ht="18" x14ac:dyDescent="0.25">
      <c r="A65" s="127"/>
      <c r="B65" s="126"/>
      <c r="C65" s="127"/>
      <c r="D65" s="126"/>
      <c r="E65" s="129"/>
      <c r="F65" s="130"/>
      <c r="G65" s="20" t="s">
        <v>56</v>
      </c>
      <c r="H65" s="23" t="s">
        <v>126</v>
      </c>
      <c r="I65" s="78" t="s">
        <v>269</v>
      </c>
      <c r="J65" s="78" t="s">
        <v>269</v>
      </c>
      <c r="K65" s="78" t="s">
        <v>269</v>
      </c>
      <c r="L65" s="78" t="s">
        <v>269</v>
      </c>
      <c r="M65" s="78" t="s">
        <v>269</v>
      </c>
      <c r="N65" s="78" t="s">
        <v>269</v>
      </c>
      <c r="O65" s="78" t="s">
        <v>269</v>
      </c>
      <c r="P65" s="78" t="s">
        <v>269</v>
      </c>
      <c r="Q65" s="78" t="s">
        <v>269</v>
      </c>
      <c r="R65" s="78" t="s">
        <v>269</v>
      </c>
      <c r="S65" s="78" t="s">
        <v>269</v>
      </c>
      <c r="T65" s="78" t="s">
        <v>269</v>
      </c>
      <c r="U65" s="78" t="s">
        <v>269</v>
      </c>
      <c r="V65" s="78" t="s">
        <v>269</v>
      </c>
      <c r="W65" s="78" t="s">
        <v>269</v>
      </c>
      <c r="X65" s="78" t="s">
        <v>269</v>
      </c>
      <c r="Y65" s="78" t="s">
        <v>269</v>
      </c>
      <c r="Z65" s="78" t="s">
        <v>269</v>
      </c>
      <c r="AA65" s="78" t="s">
        <v>269</v>
      </c>
      <c r="AB65" s="78" t="s">
        <v>269</v>
      </c>
      <c r="AC65" s="78" t="s">
        <v>269</v>
      </c>
      <c r="AD65" s="78" t="s">
        <v>269</v>
      </c>
      <c r="AE65" s="78" t="s">
        <v>269</v>
      </c>
      <c r="AF65" s="78" t="s">
        <v>269</v>
      </c>
      <c r="AG65" s="78" t="s">
        <v>269</v>
      </c>
      <c r="AH65" s="78" t="s">
        <v>269</v>
      </c>
      <c r="AI65" s="78" t="s">
        <v>269</v>
      </c>
      <c r="AJ65" s="78" t="s">
        <v>269</v>
      </c>
      <c r="AK65" s="78" t="s">
        <v>269</v>
      </c>
      <c r="AL65" s="78" t="s">
        <v>269</v>
      </c>
      <c r="AM65" s="78" t="s">
        <v>269</v>
      </c>
      <c r="AN65" s="78" t="s">
        <v>269</v>
      </c>
      <c r="AO65" s="78" t="s">
        <v>269</v>
      </c>
      <c r="AP65" s="78" t="s">
        <v>269</v>
      </c>
      <c r="AQ65" s="78" t="s">
        <v>269</v>
      </c>
      <c r="AR65" s="78" t="s">
        <v>269</v>
      </c>
      <c r="AS65" s="78" t="s">
        <v>269</v>
      </c>
      <c r="AT65" s="78" t="s">
        <v>269</v>
      </c>
      <c r="AU65" s="78" t="s">
        <v>269</v>
      </c>
      <c r="AV65" s="78" t="s">
        <v>269</v>
      </c>
      <c r="AW65" s="78"/>
      <c r="AX65" s="78"/>
      <c r="AY65" s="78"/>
      <c r="AZ65" s="78"/>
      <c r="BA65" s="78"/>
      <c r="BB65" s="122"/>
      <c r="BC65" s="122"/>
      <c r="BD65" s="122"/>
      <c r="BE65" s="122"/>
      <c r="BF65" s="122"/>
      <c r="BG65" s="122"/>
      <c r="BH65" s="122"/>
      <c r="BI65" s="122"/>
      <c r="BJ65" s="122"/>
      <c r="BK65" s="122"/>
      <c r="BL65" s="122"/>
      <c r="BM65" s="122"/>
      <c r="BN65" s="122"/>
      <c r="BO65" s="122"/>
      <c r="BP65" s="122"/>
      <c r="BQ65" s="122"/>
      <c r="BR65" s="122"/>
      <c r="BS65" s="122"/>
      <c r="BT65" s="122"/>
      <c r="BU65" s="122"/>
      <c r="BV65" s="122"/>
      <c r="BW65" s="122"/>
      <c r="BX65" s="122"/>
      <c r="BY65" s="122"/>
      <c r="BZ65" s="122"/>
      <c r="CA65" s="122"/>
      <c r="CB65" s="122"/>
      <c r="CC65" s="122"/>
      <c r="CD65" s="122"/>
      <c r="CE65" s="122"/>
      <c r="CF65" s="122"/>
      <c r="CG65" s="122"/>
      <c r="CH65" s="122"/>
      <c r="CI65" s="122"/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4"/>
      <c r="CV65" s="124"/>
      <c r="CW65" s="124"/>
      <c r="CX65" s="124"/>
      <c r="CY65" s="124"/>
      <c r="CZ65" s="124"/>
      <c r="DA65" s="124"/>
      <c r="DB65" s="124"/>
      <c r="DC65" s="124"/>
      <c r="DD65" s="124"/>
      <c r="DE65" s="124"/>
      <c r="DF65" s="124"/>
      <c r="DG65" s="124"/>
      <c r="DH65" s="124"/>
      <c r="DI65" s="124"/>
      <c r="DJ65" s="124"/>
      <c r="DK65" s="124"/>
      <c r="DL65" s="124"/>
      <c r="DM65" s="124"/>
      <c r="DN65" s="124"/>
      <c r="DO65" s="124"/>
      <c r="DP65" s="124"/>
      <c r="DQ65" s="124"/>
      <c r="DR65" s="124"/>
      <c r="DS65" s="124"/>
      <c r="DT65" s="124"/>
      <c r="DU65" s="124"/>
      <c r="DV65" s="124"/>
      <c r="DW65" s="124"/>
      <c r="DX65" s="124"/>
      <c r="DY65" s="124"/>
      <c r="DZ65" s="124"/>
      <c r="EA65" s="124"/>
      <c r="EB65" s="124"/>
      <c r="EC65" s="124"/>
      <c r="ED65" s="124"/>
      <c r="EE65" s="124"/>
      <c r="EF65" s="124"/>
      <c r="EG65" s="124"/>
      <c r="EH65" s="124"/>
      <c r="EI65" s="124"/>
      <c r="EJ65" s="124"/>
      <c r="EK65" s="124"/>
      <c r="EL65" s="124"/>
      <c r="EM65" s="124"/>
      <c r="EN65" s="118"/>
      <c r="EO65" s="118"/>
      <c r="EP65" s="118"/>
      <c r="EQ65" s="118"/>
      <c r="ER65" s="118"/>
      <c r="ES65" s="118"/>
      <c r="ET65" s="118"/>
      <c r="EU65" s="118"/>
      <c r="EV65" s="118"/>
      <c r="EW65" s="118"/>
      <c r="EX65" s="118"/>
      <c r="EY65" s="118"/>
      <c r="EZ65" s="118"/>
      <c r="FA65" s="118"/>
      <c r="FB65" s="118"/>
      <c r="FC65" s="118"/>
      <c r="FD65" s="118"/>
      <c r="FE65" s="118"/>
      <c r="FF65" s="118"/>
      <c r="FG65" s="118"/>
      <c r="FH65" s="118"/>
      <c r="FI65" s="118"/>
      <c r="FJ65" s="118"/>
      <c r="FK65" s="118"/>
      <c r="FL65" s="118"/>
      <c r="FM65" s="118"/>
      <c r="FN65" s="118"/>
      <c r="FO65" s="118"/>
      <c r="FP65" s="118"/>
      <c r="FQ65" s="118"/>
      <c r="FR65" s="118"/>
      <c r="FS65" s="118"/>
      <c r="FT65" s="118"/>
      <c r="FU65" s="118"/>
      <c r="FV65" s="118"/>
      <c r="FW65" s="118"/>
      <c r="FX65" s="118"/>
      <c r="FY65" s="118"/>
      <c r="FZ65" s="118"/>
      <c r="GA65" s="118"/>
      <c r="GB65" s="118"/>
      <c r="GC65" s="118"/>
      <c r="GD65" s="118"/>
      <c r="GE65" s="118"/>
      <c r="GF65" s="118"/>
      <c r="GG65" s="116"/>
      <c r="GH65" s="116"/>
      <c r="GI65" s="116"/>
      <c r="GJ65" s="116"/>
      <c r="GK65" s="116"/>
      <c r="GL65" s="116"/>
      <c r="GM65" s="116"/>
      <c r="GN65" s="116"/>
      <c r="GO65" s="116"/>
      <c r="GP65" s="116"/>
      <c r="GQ65" s="116"/>
      <c r="GR65" s="116"/>
      <c r="GS65" s="116"/>
      <c r="GT65" s="116"/>
      <c r="GU65" s="116"/>
      <c r="GV65" s="116"/>
      <c r="GW65" s="116"/>
      <c r="GX65" s="116"/>
      <c r="GY65" s="116"/>
      <c r="GZ65" s="116"/>
      <c r="HA65" s="116"/>
      <c r="HB65" s="116"/>
      <c r="HC65" s="116"/>
      <c r="HD65" s="116"/>
      <c r="HE65" s="116"/>
      <c r="HF65" s="116"/>
      <c r="HG65" s="116"/>
      <c r="HH65" s="116"/>
      <c r="HI65" s="116"/>
      <c r="HJ65" s="116"/>
      <c r="HK65" s="116"/>
      <c r="HL65" s="116"/>
      <c r="HM65" s="116"/>
      <c r="HN65" s="116"/>
      <c r="HO65" s="116"/>
      <c r="HP65" s="116"/>
      <c r="HQ65" s="116"/>
      <c r="HR65" s="116"/>
      <c r="HS65" s="116"/>
      <c r="HT65" s="116"/>
      <c r="HU65" s="116"/>
      <c r="HV65" s="116"/>
      <c r="HW65" s="116"/>
      <c r="HX65" s="116"/>
      <c r="HY65" s="116"/>
      <c r="HZ65" s="49"/>
      <c r="IA65" s="49"/>
      <c r="IB65" s="49"/>
      <c r="IC65" s="49"/>
      <c r="ID65" s="49"/>
      <c r="IE65" s="49"/>
      <c r="IF65" s="49"/>
      <c r="IG65" s="49"/>
      <c r="IH65" s="49"/>
      <c r="II65" s="49"/>
      <c r="IJ65" s="49"/>
      <c r="IK65" s="49"/>
      <c r="IL65" s="49"/>
      <c r="IM65" s="49"/>
      <c r="IN65" s="49"/>
      <c r="IO65" s="49"/>
      <c r="IP65" s="49"/>
      <c r="IQ65" s="49"/>
      <c r="IR65" s="49"/>
      <c r="IS65" s="49"/>
      <c r="IT65" s="49"/>
      <c r="IU65" s="49"/>
      <c r="IV65" s="49"/>
      <c r="IW65" s="49"/>
      <c r="IX65" s="49"/>
      <c r="IY65" s="49"/>
      <c r="IZ65" s="49"/>
      <c r="JA65" s="49"/>
      <c r="JB65" s="49"/>
      <c r="JC65" s="49"/>
      <c r="JD65" s="49"/>
      <c r="JE65" s="49"/>
      <c r="JF65" s="49"/>
      <c r="JG65" s="49"/>
      <c r="JH65" s="49"/>
      <c r="JI65" s="49"/>
      <c r="JJ65" s="49"/>
      <c r="JK65" s="49"/>
      <c r="JL65" s="49"/>
      <c r="JM65" s="49"/>
      <c r="JN65" s="49"/>
      <c r="JO65" s="49"/>
      <c r="JP65" s="49"/>
      <c r="JQ65" s="49"/>
      <c r="JR65" s="49"/>
      <c r="JS65" s="49"/>
      <c r="JT65" s="49"/>
      <c r="JU65" s="49"/>
      <c r="JV65" s="49"/>
      <c r="JW65" s="49"/>
      <c r="JX65" s="49"/>
      <c r="JY65" s="49"/>
      <c r="JZ65" s="49"/>
      <c r="KA65" s="49"/>
      <c r="KB65" s="49"/>
      <c r="KC65" s="49"/>
      <c r="KD65" s="49"/>
      <c r="KE65" s="49"/>
      <c r="KF65" s="49"/>
      <c r="KG65" s="49"/>
      <c r="KH65" s="49"/>
      <c r="KI65" s="49"/>
      <c r="KJ65" s="49"/>
      <c r="KK65" s="49"/>
      <c r="KL65" s="49"/>
      <c r="KM65" s="49"/>
      <c r="KN65" s="49"/>
      <c r="KO65" s="49"/>
      <c r="KP65" s="49"/>
      <c r="KQ65" s="49"/>
      <c r="KR65" s="49"/>
      <c r="KS65" s="49"/>
      <c r="KT65" s="49"/>
      <c r="KU65" s="49"/>
      <c r="KV65" s="49"/>
      <c r="KW65" s="49"/>
      <c r="KX65" s="49"/>
      <c r="KY65" s="49"/>
      <c r="KZ65" s="49"/>
      <c r="LA65" s="49"/>
      <c r="LB65" s="49"/>
      <c r="LC65" s="49"/>
      <c r="LD65" s="49"/>
      <c r="LE65" s="49"/>
      <c r="LF65" s="49"/>
    </row>
    <row r="66" spans="1:318" ht="18" customHeight="1" x14ac:dyDescent="0.25">
      <c r="A66" s="127"/>
      <c r="B66" s="126"/>
      <c r="C66" s="127">
        <v>3</v>
      </c>
      <c r="D66" s="126" t="s">
        <v>106</v>
      </c>
      <c r="E66" s="129" t="s">
        <v>114</v>
      </c>
      <c r="F66" s="130" t="s">
        <v>139</v>
      </c>
      <c r="G66" s="20" t="s">
        <v>56</v>
      </c>
      <c r="H66" s="23" t="s">
        <v>127</v>
      </c>
      <c r="I66" s="78" t="s">
        <v>269</v>
      </c>
      <c r="J66" s="78" t="s">
        <v>269</v>
      </c>
      <c r="K66" s="78" t="s">
        <v>269</v>
      </c>
      <c r="L66" s="78" t="s">
        <v>269</v>
      </c>
      <c r="M66" s="78" t="s">
        <v>269</v>
      </c>
      <c r="N66" s="78" t="s">
        <v>269</v>
      </c>
      <c r="O66" s="78" t="s">
        <v>269</v>
      </c>
      <c r="P66" s="78" t="s">
        <v>269</v>
      </c>
      <c r="Q66" s="78" t="s">
        <v>269</v>
      </c>
      <c r="R66" s="78" t="s">
        <v>269</v>
      </c>
      <c r="S66" s="78" t="s">
        <v>269</v>
      </c>
      <c r="T66" s="78" t="s">
        <v>269</v>
      </c>
      <c r="U66" s="78" t="s">
        <v>269</v>
      </c>
      <c r="V66" s="78" t="s">
        <v>269</v>
      </c>
      <c r="W66" s="78" t="s">
        <v>269</v>
      </c>
      <c r="X66" s="78" t="s">
        <v>269</v>
      </c>
      <c r="Y66" s="78" t="s">
        <v>269</v>
      </c>
      <c r="Z66" s="78" t="s">
        <v>269</v>
      </c>
      <c r="AA66" s="78" t="s">
        <v>269</v>
      </c>
      <c r="AB66" s="78" t="s">
        <v>269</v>
      </c>
      <c r="AC66" s="78" t="s">
        <v>269</v>
      </c>
      <c r="AD66" s="78" t="s">
        <v>269</v>
      </c>
      <c r="AE66" s="78" t="s">
        <v>269</v>
      </c>
      <c r="AF66" s="78" t="s">
        <v>269</v>
      </c>
      <c r="AG66" s="78" t="s">
        <v>269</v>
      </c>
      <c r="AH66" s="78" t="s">
        <v>269</v>
      </c>
      <c r="AI66" s="78" t="s">
        <v>269</v>
      </c>
      <c r="AJ66" s="78" t="s">
        <v>269</v>
      </c>
      <c r="AK66" s="78" t="s">
        <v>269</v>
      </c>
      <c r="AL66" s="78" t="s">
        <v>269</v>
      </c>
      <c r="AM66" s="78" t="s">
        <v>269</v>
      </c>
      <c r="AN66" s="78" t="s">
        <v>269</v>
      </c>
      <c r="AO66" s="78" t="s">
        <v>269</v>
      </c>
      <c r="AP66" s="78" t="s">
        <v>269</v>
      </c>
      <c r="AQ66" s="78" t="s">
        <v>269</v>
      </c>
      <c r="AR66" s="78" t="s">
        <v>269</v>
      </c>
      <c r="AS66" s="78" t="s">
        <v>269</v>
      </c>
      <c r="AT66" s="78" t="s">
        <v>269</v>
      </c>
      <c r="AU66" s="78" t="s">
        <v>269</v>
      </c>
      <c r="AV66" s="78" t="s">
        <v>269</v>
      </c>
      <c r="AW66" s="78"/>
      <c r="AX66" s="78"/>
      <c r="AY66" s="78"/>
      <c r="AZ66" s="78"/>
      <c r="BA66" s="78"/>
      <c r="BB66" s="122">
        <f t="shared" ref="BB66:CO66" si="156">IF(AND(I66="",I67=""),"",COUNTIF(I66:I67,"v"))</f>
        <v>2</v>
      </c>
      <c r="BC66" s="122">
        <f t="shared" si="156"/>
        <v>2</v>
      </c>
      <c r="BD66" s="122">
        <f t="shared" si="156"/>
        <v>2</v>
      </c>
      <c r="BE66" s="122">
        <f t="shared" si="156"/>
        <v>2</v>
      </c>
      <c r="BF66" s="122">
        <f t="shared" si="156"/>
        <v>2</v>
      </c>
      <c r="BG66" s="122">
        <f t="shared" si="156"/>
        <v>2</v>
      </c>
      <c r="BH66" s="122">
        <f t="shared" si="156"/>
        <v>2</v>
      </c>
      <c r="BI66" s="122">
        <f t="shared" si="156"/>
        <v>2</v>
      </c>
      <c r="BJ66" s="122">
        <f t="shared" si="156"/>
        <v>2</v>
      </c>
      <c r="BK66" s="122">
        <f t="shared" si="156"/>
        <v>2</v>
      </c>
      <c r="BL66" s="122">
        <f t="shared" si="156"/>
        <v>2</v>
      </c>
      <c r="BM66" s="122">
        <f t="shared" si="156"/>
        <v>2</v>
      </c>
      <c r="BN66" s="122">
        <f t="shared" si="156"/>
        <v>2</v>
      </c>
      <c r="BO66" s="122">
        <f t="shared" si="156"/>
        <v>2</v>
      </c>
      <c r="BP66" s="122">
        <f t="shared" si="156"/>
        <v>2</v>
      </c>
      <c r="BQ66" s="122">
        <f t="shared" si="156"/>
        <v>2</v>
      </c>
      <c r="BR66" s="122">
        <f t="shared" si="156"/>
        <v>2</v>
      </c>
      <c r="BS66" s="122">
        <f t="shared" si="156"/>
        <v>2</v>
      </c>
      <c r="BT66" s="122">
        <f t="shared" si="156"/>
        <v>2</v>
      </c>
      <c r="BU66" s="122">
        <f t="shared" si="156"/>
        <v>2</v>
      </c>
      <c r="BV66" s="122">
        <f t="shared" si="156"/>
        <v>2</v>
      </c>
      <c r="BW66" s="122">
        <f t="shared" si="156"/>
        <v>2</v>
      </c>
      <c r="BX66" s="122">
        <f t="shared" si="156"/>
        <v>2</v>
      </c>
      <c r="BY66" s="122">
        <f t="shared" si="156"/>
        <v>2</v>
      </c>
      <c r="BZ66" s="122">
        <f t="shared" si="156"/>
        <v>2</v>
      </c>
      <c r="CA66" s="122">
        <f t="shared" si="156"/>
        <v>2</v>
      </c>
      <c r="CB66" s="122">
        <f t="shared" si="156"/>
        <v>2</v>
      </c>
      <c r="CC66" s="122">
        <f t="shared" si="156"/>
        <v>2</v>
      </c>
      <c r="CD66" s="122">
        <f t="shared" si="156"/>
        <v>2</v>
      </c>
      <c r="CE66" s="122">
        <f t="shared" si="156"/>
        <v>2</v>
      </c>
      <c r="CF66" s="122">
        <f t="shared" si="156"/>
        <v>2</v>
      </c>
      <c r="CG66" s="122">
        <f t="shared" si="156"/>
        <v>2</v>
      </c>
      <c r="CH66" s="122">
        <f t="shared" si="156"/>
        <v>2</v>
      </c>
      <c r="CI66" s="122">
        <f t="shared" si="156"/>
        <v>2</v>
      </c>
      <c r="CJ66" s="122">
        <f t="shared" si="156"/>
        <v>2</v>
      </c>
      <c r="CK66" s="122">
        <f t="shared" si="156"/>
        <v>2</v>
      </c>
      <c r="CL66" s="122">
        <f t="shared" si="156"/>
        <v>2</v>
      </c>
      <c r="CM66" s="122">
        <f t="shared" si="156"/>
        <v>2</v>
      </c>
      <c r="CN66" s="122">
        <f t="shared" si="156"/>
        <v>2</v>
      </c>
      <c r="CO66" s="122">
        <f t="shared" si="156"/>
        <v>2</v>
      </c>
      <c r="CP66" s="122" t="str">
        <f t="shared" ref="CP66:CT66" si="157">IF(AND(AW66="",AW67=""),"",COUNTIF(AW66:AW67,"v"))</f>
        <v/>
      </c>
      <c r="CQ66" s="122" t="str">
        <f t="shared" si="157"/>
        <v/>
      </c>
      <c r="CR66" s="122" t="str">
        <f t="shared" si="157"/>
        <v/>
      </c>
      <c r="CS66" s="122" t="str">
        <f t="shared" si="157"/>
        <v/>
      </c>
      <c r="CT66" s="122" t="str">
        <f t="shared" si="157"/>
        <v/>
      </c>
      <c r="CU66" s="124">
        <f t="shared" ref="CU66:EH66" si="158">IF(BB66="","",IF(BB66&gt;=1,3,0))</f>
        <v>3</v>
      </c>
      <c r="CV66" s="124">
        <f t="shared" si="158"/>
        <v>3</v>
      </c>
      <c r="CW66" s="124">
        <f t="shared" si="158"/>
        <v>3</v>
      </c>
      <c r="CX66" s="124">
        <f t="shared" si="158"/>
        <v>3</v>
      </c>
      <c r="CY66" s="124">
        <f t="shared" si="158"/>
        <v>3</v>
      </c>
      <c r="CZ66" s="124">
        <f t="shared" si="158"/>
        <v>3</v>
      </c>
      <c r="DA66" s="124">
        <f t="shared" si="158"/>
        <v>3</v>
      </c>
      <c r="DB66" s="124">
        <f t="shared" si="158"/>
        <v>3</v>
      </c>
      <c r="DC66" s="124">
        <f t="shared" si="158"/>
        <v>3</v>
      </c>
      <c r="DD66" s="124">
        <f t="shared" si="158"/>
        <v>3</v>
      </c>
      <c r="DE66" s="124">
        <f t="shared" si="158"/>
        <v>3</v>
      </c>
      <c r="DF66" s="124">
        <f t="shared" si="158"/>
        <v>3</v>
      </c>
      <c r="DG66" s="124">
        <f t="shared" si="158"/>
        <v>3</v>
      </c>
      <c r="DH66" s="124">
        <f t="shared" si="158"/>
        <v>3</v>
      </c>
      <c r="DI66" s="124">
        <f t="shared" si="158"/>
        <v>3</v>
      </c>
      <c r="DJ66" s="124">
        <f t="shared" si="158"/>
        <v>3</v>
      </c>
      <c r="DK66" s="124">
        <f t="shared" si="158"/>
        <v>3</v>
      </c>
      <c r="DL66" s="124">
        <f t="shared" si="158"/>
        <v>3</v>
      </c>
      <c r="DM66" s="124">
        <f t="shared" si="158"/>
        <v>3</v>
      </c>
      <c r="DN66" s="124">
        <f t="shared" si="158"/>
        <v>3</v>
      </c>
      <c r="DO66" s="124">
        <f t="shared" si="158"/>
        <v>3</v>
      </c>
      <c r="DP66" s="124">
        <f t="shared" si="158"/>
        <v>3</v>
      </c>
      <c r="DQ66" s="124">
        <f t="shared" si="158"/>
        <v>3</v>
      </c>
      <c r="DR66" s="124">
        <f t="shared" si="158"/>
        <v>3</v>
      </c>
      <c r="DS66" s="124">
        <f t="shared" si="158"/>
        <v>3</v>
      </c>
      <c r="DT66" s="124">
        <f t="shared" si="158"/>
        <v>3</v>
      </c>
      <c r="DU66" s="124">
        <f t="shared" si="158"/>
        <v>3</v>
      </c>
      <c r="DV66" s="124">
        <f t="shared" si="158"/>
        <v>3</v>
      </c>
      <c r="DW66" s="124">
        <f t="shared" si="158"/>
        <v>3</v>
      </c>
      <c r="DX66" s="124">
        <f t="shared" si="158"/>
        <v>3</v>
      </c>
      <c r="DY66" s="124">
        <f t="shared" si="158"/>
        <v>3</v>
      </c>
      <c r="DZ66" s="124">
        <f t="shared" si="158"/>
        <v>3</v>
      </c>
      <c r="EA66" s="124">
        <f t="shared" si="158"/>
        <v>3</v>
      </c>
      <c r="EB66" s="124">
        <f t="shared" si="158"/>
        <v>3</v>
      </c>
      <c r="EC66" s="124">
        <f t="shared" si="158"/>
        <v>3</v>
      </c>
      <c r="ED66" s="124">
        <f t="shared" si="158"/>
        <v>3</v>
      </c>
      <c r="EE66" s="124">
        <f t="shared" si="158"/>
        <v>3</v>
      </c>
      <c r="EF66" s="124">
        <f t="shared" si="158"/>
        <v>3</v>
      </c>
      <c r="EG66" s="124">
        <f t="shared" si="158"/>
        <v>3</v>
      </c>
      <c r="EH66" s="124">
        <f t="shared" si="158"/>
        <v>3</v>
      </c>
      <c r="EI66" s="124" t="str">
        <f t="shared" ref="EI66:EM66" si="159">IF(CP66="","",IF(CP66&gt;=1,3,0))</f>
        <v/>
      </c>
      <c r="EJ66" s="124" t="str">
        <f t="shared" si="159"/>
        <v/>
      </c>
      <c r="EK66" s="124" t="str">
        <f t="shared" si="159"/>
        <v/>
      </c>
      <c r="EL66" s="124" t="str">
        <f t="shared" si="159"/>
        <v/>
      </c>
      <c r="EM66" s="124" t="str">
        <f t="shared" si="159"/>
        <v/>
      </c>
      <c r="EN66" s="118">
        <f t="shared" ref="EN66:FL66" si="160">IF(CU66="","",IF(CU66&gt;=1,3,0))</f>
        <v>3</v>
      </c>
      <c r="EO66" s="118">
        <f t="shared" si="160"/>
        <v>3</v>
      </c>
      <c r="EP66" s="118">
        <f t="shared" si="160"/>
        <v>3</v>
      </c>
      <c r="EQ66" s="118">
        <f t="shared" si="160"/>
        <v>3</v>
      </c>
      <c r="ER66" s="118">
        <f t="shared" si="160"/>
        <v>3</v>
      </c>
      <c r="ES66" s="118">
        <f t="shared" si="160"/>
        <v>3</v>
      </c>
      <c r="ET66" s="118">
        <f t="shared" si="160"/>
        <v>3</v>
      </c>
      <c r="EU66" s="118">
        <f t="shared" si="160"/>
        <v>3</v>
      </c>
      <c r="EV66" s="118">
        <f t="shared" si="160"/>
        <v>3</v>
      </c>
      <c r="EW66" s="118">
        <f t="shared" si="160"/>
        <v>3</v>
      </c>
      <c r="EX66" s="118">
        <f t="shared" si="160"/>
        <v>3</v>
      </c>
      <c r="EY66" s="118">
        <f t="shared" si="160"/>
        <v>3</v>
      </c>
      <c r="EZ66" s="118">
        <f t="shared" si="160"/>
        <v>3</v>
      </c>
      <c r="FA66" s="118">
        <f t="shared" si="160"/>
        <v>3</v>
      </c>
      <c r="FB66" s="118">
        <f t="shared" si="160"/>
        <v>3</v>
      </c>
      <c r="FC66" s="118">
        <f t="shared" si="160"/>
        <v>3</v>
      </c>
      <c r="FD66" s="118">
        <f t="shared" si="160"/>
        <v>3</v>
      </c>
      <c r="FE66" s="118">
        <f t="shared" si="160"/>
        <v>3</v>
      </c>
      <c r="FF66" s="118">
        <f t="shared" si="160"/>
        <v>3</v>
      </c>
      <c r="FG66" s="118">
        <f t="shared" si="160"/>
        <v>3</v>
      </c>
      <c r="FH66" s="118">
        <f t="shared" si="160"/>
        <v>3</v>
      </c>
      <c r="FI66" s="118">
        <f t="shared" si="160"/>
        <v>3</v>
      </c>
      <c r="FJ66" s="118">
        <f t="shared" si="160"/>
        <v>3</v>
      </c>
      <c r="FK66" s="118">
        <f t="shared" si="160"/>
        <v>3</v>
      </c>
      <c r="FL66" s="118">
        <f t="shared" si="160"/>
        <v>3</v>
      </c>
      <c r="FM66" s="118">
        <f t="shared" ref="FM66:GA66" si="161">IF(DT66="","",IF(DT66&gt;=1,3,0))</f>
        <v>3</v>
      </c>
      <c r="FN66" s="118">
        <f t="shared" si="161"/>
        <v>3</v>
      </c>
      <c r="FO66" s="118">
        <f t="shared" si="161"/>
        <v>3</v>
      </c>
      <c r="FP66" s="118">
        <f t="shared" si="161"/>
        <v>3</v>
      </c>
      <c r="FQ66" s="118">
        <f t="shared" si="161"/>
        <v>3</v>
      </c>
      <c r="FR66" s="118">
        <f t="shared" si="161"/>
        <v>3</v>
      </c>
      <c r="FS66" s="118">
        <f t="shared" si="161"/>
        <v>3</v>
      </c>
      <c r="FT66" s="118">
        <f t="shared" si="161"/>
        <v>3</v>
      </c>
      <c r="FU66" s="118">
        <f t="shared" si="161"/>
        <v>3</v>
      </c>
      <c r="FV66" s="118">
        <f t="shared" si="161"/>
        <v>3</v>
      </c>
      <c r="FW66" s="118">
        <f t="shared" si="161"/>
        <v>3</v>
      </c>
      <c r="FX66" s="118">
        <f t="shared" si="161"/>
        <v>3</v>
      </c>
      <c r="FY66" s="118">
        <f t="shared" si="161"/>
        <v>3</v>
      </c>
      <c r="FZ66" s="118">
        <f t="shared" si="161"/>
        <v>3</v>
      </c>
      <c r="GA66" s="118">
        <f t="shared" si="161"/>
        <v>3</v>
      </c>
      <c r="GB66" s="118" t="str">
        <f t="shared" ref="GB66" si="162">IF(EI66="","",IF(EI66&gt;=1,3,0))</f>
        <v/>
      </c>
      <c r="GC66" s="118" t="str">
        <f t="shared" ref="GC66" si="163">IF(EJ66="","",IF(EJ66&gt;=1,3,0))</f>
        <v/>
      </c>
      <c r="GD66" s="118" t="str">
        <f t="shared" ref="GD66" si="164">IF(EK66="","",IF(EK66&gt;=1,3,0))</f>
        <v/>
      </c>
      <c r="GE66" s="118" t="str">
        <f t="shared" ref="GE66" si="165">IF(EL66="","",IF(EL66&gt;=1,3,0))</f>
        <v/>
      </c>
      <c r="GF66" s="118" t="str">
        <f t="shared" ref="GF66" si="166">IF(EM66="","",IF(EM66&gt;=1,3,0))</f>
        <v/>
      </c>
      <c r="GG66" s="116"/>
      <c r="GH66" s="116"/>
      <c r="GI66" s="116"/>
      <c r="GJ66" s="116"/>
      <c r="GK66" s="116"/>
      <c r="GL66" s="116"/>
      <c r="GM66" s="116"/>
      <c r="GN66" s="116"/>
      <c r="GO66" s="116"/>
      <c r="GP66" s="116"/>
      <c r="GQ66" s="116"/>
      <c r="GR66" s="116"/>
      <c r="GS66" s="116"/>
      <c r="GT66" s="116"/>
      <c r="GU66" s="116"/>
      <c r="GV66" s="116"/>
      <c r="GW66" s="116"/>
      <c r="GX66" s="116"/>
      <c r="GY66" s="116"/>
      <c r="GZ66" s="116"/>
      <c r="HA66" s="116"/>
      <c r="HB66" s="116"/>
      <c r="HC66" s="116"/>
      <c r="HD66" s="116"/>
      <c r="HE66" s="116"/>
      <c r="HF66" s="116"/>
      <c r="HG66" s="116"/>
      <c r="HH66" s="116"/>
      <c r="HI66" s="116"/>
      <c r="HJ66" s="116"/>
      <c r="HK66" s="116"/>
      <c r="HL66" s="116"/>
      <c r="HM66" s="116"/>
      <c r="HN66" s="116"/>
      <c r="HO66" s="116"/>
      <c r="HP66" s="116"/>
      <c r="HQ66" s="116"/>
      <c r="HR66" s="116"/>
      <c r="HS66" s="116"/>
      <c r="HT66" s="116"/>
      <c r="HU66" s="116"/>
      <c r="HV66" s="116"/>
      <c r="HW66" s="116"/>
      <c r="HX66" s="116"/>
      <c r="HY66" s="116"/>
      <c r="HZ66" s="49"/>
      <c r="IA66" s="49"/>
      <c r="IB66" s="49"/>
      <c r="IC66" s="49"/>
      <c r="ID66" s="49"/>
      <c r="IE66" s="49"/>
      <c r="IF66" s="49"/>
      <c r="IG66" s="49"/>
      <c r="IH66" s="49"/>
      <c r="II66" s="49"/>
      <c r="IJ66" s="49"/>
      <c r="IK66" s="49"/>
      <c r="IL66" s="49"/>
      <c r="IM66" s="49"/>
      <c r="IN66" s="49"/>
      <c r="IO66" s="49"/>
      <c r="IP66" s="49"/>
      <c r="IQ66" s="49"/>
      <c r="IR66" s="49"/>
      <c r="IS66" s="49"/>
      <c r="IT66" s="49"/>
      <c r="IU66" s="49"/>
      <c r="IV66" s="49"/>
      <c r="IW66" s="49"/>
      <c r="IX66" s="49"/>
      <c r="IY66" s="49"/>
      <c r="IZ66" s="49"/>
      <c r="JA66" s="49"/>
      <c r="JB66" s="49"/>
      <c r="JC66" s="49"/>
      <c r="JD66" s="49"/>
      <c r="JE66" s="49"/>
      <c r="JF66" s="49"/>
      <c r="JG66" s="49"/>
      <c r="JH66" s="49"/>
      <c r="JI66" s="49"/>
      <c r="JJ66" s="49"/>
      <c r="JK66" s="49"/>
      <c r="JL66" s="49"/>
      <c r="JM66" s="49"/>
      <c r="JN66" s="49"/>
      <c r="JO66" s="49"/>
      <c r="JP66" s="49"/>
      <c r="JQ66" s="49"/>
      <c r="JR66" s="49"/>
      <c r="JS66" s="49"/>
      <c r="JT66" s="49"/>
      <c r="JU66" s="49"/>
      <c r="JV66" s="49"/>
      <c r="JW66" s="49"/>
      <c r="JX66" s="49"/>
      <c r="JY66" s="49"/>
      <c r="JZ66" s="49"/>
      <c r="KA66" s="49"/>
      <c r="KB66" s="49"/>
      <c r="KC66" s="49"/>
      <c r="KD66" s="49"/>
      <c r="KE66" s="49"/>
      <c r="KF66" s="49"/>
      <c r="KG66" s="49"/>
      <c r="KH66" s="49"/>
      <c r="KI66" s="49"/>
      <c r="KJ66" s="49"/>
      <c r="KK66" s="49"/>
      <c r="KL66" s="49"/>
      <c r="KM66" s="49"/>
      <c r="KN66" s="49"/>
      <c r="KO66" s="49"/>
      <c r="KP66" s="49"/>
      <c r="KQ66" s="49"/>
      <c r="KR66" s="49"/>
      <c r="KS66" s="49"/>
      <c r="KT66" s="49"/>
      <c r="KU66" s="49"/>
      <c r="KV66" s="49"/>
      <c r="KW66" s="49"/>
      <c r="KX66" s="49"/>
      <c r="KY66" s="49"/>
      <c r="KZ66" s="49"/>
      <c r="LA66" s="49"/>
      <c r="LB66" s="49"/>
      <c r="LC66" s="49"/>
      <c r="LD66" s="49"/>
      <c r="LE66" s="49"/>
      <c r="LF66" s="49"/>
    </row>
    <row r="67" spans="1:318" ht="62.45" customHeight="1" x14ac:dyDescent="0.25">
      <c r="A67" s="127"/>
      <c r="B67" s="126"/>
      <c r="C67" s="127"/>
      <c r="D67" s="126"/>
      <c r="E67" s="129"/>
      <c r="F67" s="130"/>
      <c r="G67" s="20" t="s">
        <v>56</v>
      </c>
      <c r="H67" s="23" t="s">
        <v>128</v>
      </c>
      <c r="I67" s="78" t="s">
        <v>269</v>
      </c>
      <c r="J67" s="78" t="s">
        <v>269</v>
      </c>
      <c r="K67" s="78" t="s">
        <v>269</v>
      </c>
      <c r="L67" s="78" t="s">
        <v>269</v>
      </c>
      <c r="M67" s="78" t="s">
        <v>269</v>
      </c>
      <c r="N67" s="78" t="s">
        <v>269</v>
      </c>
      <c r="O67" s="78" t="s">
        <v>269</v>
      </c>
      <c r="P67" s="78" t="s">
        <v>269</v>
      </c>
      <c r="Q67" s="78" t="s">
        <v>269</v>
      </c>
      <c r="R67" s="78" t="s">
        <v>269</v>
      </c>
      <c r="S67" s="78" t="s">
        <v>269</v>
      </c>
      <c r="T67" s="78" t="s">
        <v>269</v>
      </c>
      <c r="U67" s="78" t="s">
        <v>269</v>
      </c>
      <c r="V67" s="78" t="s">
        <v>269</v>
      </c>
      <c r="W67" s="78" t="s">
        <v>269</v>
      </c>
      <c r="X67" s="78" t="s">
        <v>269</v>
      </c>
      <c r="Y67" s="78" t="s">
        <v>269</v>
      </c>
      <c r="Z67" s="78" t="s">
        <v>269</v>
      </c>
      <c r="AA67" s="78" t="s">
        <v>269</v>
      </c>
      <c r="AB67" s="78" t="s">
        <v>269</v>
      </c>
      <c r="AC67" s="78" t="s">
        <v>269</v>
      </c>
      <c r="AD67" s="78" t="s">
        <v>269</v>
      </c>
      <c r="AE67" s="78" t="s">
        <v>269</v>
      </c>
      <c r="AF67" s="78" t="s">
        <v>269</v>
      </c>
      <c r="AG67" s="78" t="s">
        <v>269</v>
      </c>
      <c r="AH67" s="78" t="s">
        <v>269</v>
      </c>
      <c r="AI67" s="78" t="s">
        <v>269</v>
      </c>
      <c r="AJ67" s="78" t="s">
        <v>269</v>
      </c>
      <c r="AK67" s="78" t="s">
        <v>269</v>
      </c>
      <c r="AL67" s="78" t="s">
        <v>269</v>
      </c>
      <c r="AM67" s="78" t="s">
        <v>269</v>
      </c>
      <c r="AN67" s="78" t="s">
        <v>269</v>
      </c>
      <c r="AO67" s="78" t="s">
        <v>269</v>
      </c>
      <c r="AP67" s="78" t="s">
        <v>269</v>
      </c>
      <c r="AQ67" s="78" t="s">
        <v>269</v>
      </c>
      <c r="AR67" s="78" t="s">
        <v>269</v>
      </c>
      <c r="AS67" s="78" t="s">
        <v>269</v>
      </c>
      <c r="AT67" s="78" t="s">
        <v>269</v>
      </c>
      <c r="AU67" s="78" t="s">
        <v>269</v>
      </c>
      <c r="AV67" s="78" t="s">
        <v>269</v>
      </c>
      <c r="AW67" s="78"/>
      <c r="AX67" s="78"/>
      <c r="AY67" s="78"/>
      <c r="AZ67" s="78"/>
      <c r="BA67" s="78"/>
      <c r="BB67" s="122"/>
      <c r="BC67" s="122"/>
      <c r="BD67" s="122"/>
      <c r="BE67" s="122"/>
      <c r="BF67" s="122"/>
      <c r="BG67" s="122"/>
      <c r="BH67" s="122"/>
      <c r="BI67" s="122"/>
      <c r="BJ67" s="122"/>
      <c r="BK67" s="122"/>
      <c r="BL67" s="122"/>
      <c r="BM67" s="122"/>
      <c r="BN67" s="122"/>
      <c r="BO67" s="122"/>
      <c r="BP67" s="122"/>
      <c r="BQ67" s="122"/>
      <c r="BR67" s="122"/>
      <c r="BS67" s="122"/>
      <c r="BT67" s="122"/>
      <c r="BU67" s="122"/>
      <c r="BV67" s="122"/>
      <c r="BW67" s="122"/>
      <c r="BX67" s="122"/>
      <c r="BY67" s="122"/>
      <c r="BZ67" s="122"/>
      <c r="CA67" s="122"/>
      <c r="CB67" s="122"/>
      <c r="CC67" s="122"/>
      <c r="CD67" s="122"/>
      <c r="CE67" s="122"/>
      <c r="CF67" s="122"/>
      <c r="CG67" s="122"/>
      <c r="CH67" s="122"/>
      <c r="CI67" s="122"/>
      <c r="CJ67" s="122"/>
      <c r="CK67" s="122"/>
      <c r="CL67" s="122"/>
      <c r="CM67" s="122"/>
      <c r="CN67" s="122"/>
      <c r="CO67" s="122"/>
      <c r="CP67" s="122"/>
      <c r="CQ67" s="122"/>
      <c r="CR67" s="122"/>
      <c r="CS67" s="122"/>
      <c r="CT67" s="122"/>
      <c r="CU67" s="124"/>
      <c r="CV67" s="124"/>
      <c r="CW67" s="124"/>
      <c r="CX67" s="124"/>
      <c r="CY67" s="124"/>
      <c r="CZ67" s="124"/>
      <c r="DA67" s="124"/>
      <c r="DB67" s="124"/>
      <c r="DC67" s="124"/>
      <c r="DD67" s="124"/>
      <c r="DE67" s="124"/>
      <c r="DF67" s="124"/>
      <c r="DG67" s="124"/>
      <c r="DH67" s="124"/>
      <c r="DI67" s="124"/>
      <c r="DJ67" s="124"/>
      <c r="DK67" s="124"/>
      <c r="DL67" s="124"/>
      <c r="DM67" s="124"/>
      <c r="DN67" s="124"/>
      <c r="DO67" s="124"/>
      <c r="DP67" s="124"/>
      <c r="DQ67" s="124"/>
      <c r="DR67" s="124"/>
      <c r="DS67" s="124"/>
      <c r="DT67" s="124"/>
      <c r="DU67" s="124"/>
      <c r="DV67" s="124"/>
      <c r="DW67" s="124"/>
      <c r="DX67" s="124"/>
      <c r="DY67" s="124"/>
      <c r="DZ67" s="124"/>
      <c r="EA67" s="124"/>
      <c r="EB67" s="124"/>
      <c r="EC67" s="124"/>
      <c r="ED67" s="124"/>
      <c r="EE67" s="124"/>
      <c r="EF67" s="124"/>
      <c r="EG67" s="124"/>
      <c r="EH67" s="124"/>
      <c r="EI67" s="124"/>
      <c r="EJ67" s="124"/>
      <c r="EK67" s="124"/>
      <c r="EL67" s="124"/>
      <c r="EM67" s="124"/>
      <c r="EN67" s="118"/>
      <c r="EO67" s="118"/>
      <c r="EP67" s="118"/>
      <c r="EQ67" s="118"/>
      <c r="ER67" s="118"/>
      <c r="ES67" s="118"/>
      <c r="ET67" s="118"/>
      <c r="EU67" s="118"/>
      <c r="EV67" s="118"/>
      <c r="EW67" s="118"/>
      <c r="EX67" s="118"/>
      <c r="EY67" s="118"/>
      <c r="EZ67" s="118"/>
      <c r="FA67" s="118"/>
      <c r="FB67" s="118"/>
      <c r="FC67" s="118"/>
      <c r="FD67" s="118"/>
      <c r="FE67" s="118"/>
      <c r="FF67" s="118"/>
      <c r="FG67" s="118"/>
      <c r="FH67" s="118"/>
      <c r="FI67" s="118"/>
      <c r="FJ67" s="118"/>
      <c r="FK67" s="118"/>
      <c r="FL67" s="118"/>
      <c r="FM67" s="118"/>
      <c r="FN67" s="118"/>
      <c r="FO67" s="118"/>
      <c r="FP67" s="118"/>
      <c r="FQ67" s="118"/>
      <c r="FR67" s="118"/>
      <c r="FS67" s="118"/>
      <c r="FT67" s="118"/>
      <c r="FU67" s="118"/>
      <c r="FV67" s="118"/>
      <c r="FW67" s="118"/>
      <c r="FX67" s="118"/>
      <c r="FY67" s="118"/>
      <c r="FZ67" s="118"/>
      <c r="GA67" s="118"/>
      <c r="GB67" s="118"/>
      <c r="GC67" s="118"/>
      <c r="GD67" s="118"/>
      <c r="GE67" s="118"/>
      <c r="GF67" s="118"/>
      <c r="GG67" s="116"/>
      <c r="GH67" s="116"/>
      <c r="GI67" s="116"/>
      <c r="GJ67" s="116"/>
      <c r="GK67" s="116"/>
      <c r="GL67" s="116"/>
      <c r="GM67" s="116"/>
      <c r="GN67" s="116"/>
      <c r="GO67" s="116"/>
      <c r="GP67" s="116"/>
      <c r="GQ67" s="116"/>
      <c r="GR67" s="116"/>
      <c r="GS67" s="116"/>
      <c r="GT67" s="116"/>
      <c r="GU67" s="116"/>
      <c r="GV67" s="116"/>
      <c r="GW67" s="116"/>
      <c r="GX67" s="116"/>
      <c r="GY67" s="116"/>
      <c r="GZ67" s="116"/>
      <c r="HA67" s="116"/>
      <c r="HB67" s="116"/>
      <c r="HC67" s="116"/>
      <c r="HD67" s="116"/>
      <c r="HE67" s="116"/>
      <c r="HF67" s="116"/>
      <c r="HG67" s="116"/>
      <c r="HH67" s="116"/>
      <c r="HI67" s="116"/>
      <c r="HJ67" s="116"/>
      <c r="HK67" s="116"/>
      <c r="HL67" s="116"/>
      <c r="HM67" s="116"/>
      <c r="HN67" s="116"/>
      <c r="HO67" s="116"/>
      <c r="HP67" s="116"/>
      <c r="HQ67" s="116"/>
      <c r="HR67" s="116"/>
      <c r="HS67" s="116"/>
      <c r="HT67" s="116"/>
      <c r="HU67" s="116"/>
      <c r="HV67" s="116"/>
      <c r="HW67" s="116"/>
      <c r="HX67" s="116"/>
      <c r="HY67" s="116"/>
      <c r="HZ67" s="49"/>
      <c r="IA67" s="49"/>
      <c r="IB67" s="49"/>
      <c r="IC67" s="49"/>
      <c r="ID67" s="49"/>
      <c r="IE67" s="49"/>
      <c r="IF67" s="49"/>
      <c r="IG67" s="49"/>
      <c r="IH67" s="49"/>
      <c r="II67" s="49"/>
      <c r="IJ67" s="49"/>
      <c r="IK67" s="49"/>
      <c r="IL67" s="49"/>
      <c r="IM67" s="49"/>
      <c r="IN67" s="49"/>
      <c r="IO67" s="49"/>
      <c r="IP67" s="49"/>
      <c r="IQ67" s="49"/>
      <c r="IR67" s="49"/>
      <c r="IS67" s="49"/>
      <c r="IT67" s="49"/>
      <c r="IU67" s="49"/>
      <c r="IV67" s="49"/>
      <c r="IW67" s="49"/>
      <c r="IX67" s="49"/>
      <c r="IY67" s="49"/>
      <c r="IZ67" s="49"/>
      <c r="JA67" s="49"/>
      <c r="JB67" s="49"/>
      <c r="JC67" s="49"/>
      <c r="JD67" s="49"/>
      <c r="JE67" s="49"/>
      <c r="JF67" s="49"/>
      <c r="JG67" s="49"/>
      <c r="JH67" s="49"/>
      <c r="JI67" s="49"/>
      <c r="JJ67" s="49"/>
      <c r="JK67" s="49"/>
      <c r="JL67" s="49"/>
      <c r="JM67" s="49"/>
      <c r="JN67" s="49"/>
      <c r="JO67" s="49"/>
      <c r="JP67" s="49"/>
      <c r="JQ67" s="49"/>
      <c r="JR67" s="49"/>
      <c r="JS67" s="49"/>
      <c r="JT67" s="49"/>
      <c r="JU67" s="49"/>
      <c r="JV67" s="49"/>
      <c r="JW67" s="49"/>
      <c r="JX67" s="49"/>
      <c r="JY67" s="49"/>
      <c r="JZ67" s="49"/>
      <c r="KA67" s="49"/>
      <c r="KB67" s="49"/>
      <c r="KC67" s="49"/>
      <c r="KD67" s="49"/>
      <c r="KE67" s="49"/>
      <c r="KF67" s="49"/>
      <c r="KG67" s="49"/>
      <c r="KH67" s="49"/>
      <c r="KI67" s="49"/>
      <c r="KJ67" s="49"/>
      <c r="KK67" s="49"/>
      <c r="KL67" s="49"/>
      <c r="KM67" s="49"/>
      <c r="KN67" s="49"/>
      <c r="KO67" s="49"/>
      <c r="KP67" s="49"/>
      <c r="KQ67" s="49"/>
      <c r="KR67" s="49"/>
      <c r="KS67" s="49"/>
      <c r="KT67" s="49"/>
      <c r="KU67" s="49"/>
      <c r="KV67" s="49"/>
      <c r="KW67" s="49"/>
      <c r="KX67" s="49"/>
      <c r="KY67" s="49"/>
      <c r="KZ67" s="49"/>
      <c r="LA67" s="49"/>
      <c r="LB67" s="49"/>
      <c r="LC67" s="49"/>
      <c r="LD67" s="49"/>
      <c r="LE67" s="49"/>
      <c r="LF67" s="49"/>
    </row>
    <row r="68" spans="1:318" ht="18" x14ac:dyDescent="0.25">
      <c r="A68" s="127"/>
      <c r="B68" s="126"/>
      <c r="C68" s="127">
        <v>4</v>
      </c>
      <c r="D68" s="126" t="s">
        <v>107</v>
      </c>
      <c r="E68" s="129" t="s">
        <v>115</v>
      </c>
      <c r="F68" s="130" t="s">
        <v>140</v>
      </c>
      <c r="G68" s="20" t="s">
        <v>56</v>
      </c>
      <c r="H68" s="23" t="s">
        <v>129</v>
      </c>
      <c r="I68" s="78" t="s">
        <v>269</v>
      </c>
      <c r="J68" s="78" t="s">
        <v>269</v>
      </c>
      <c r="K68" s="78" t="s">
        <v>269</v>
      </c>
      <c r="L68" s="78" t="s">
        <v>269</v>
      </c>
      <c r="M68" s="78" t="s">
        <v>269</v>
      </c>
      <c r="N68" s="78" t="s">
        <v>269</v>
      </c>
      <c r="O68" s="78" t="s">
        <v>269</v>
      </c>
      <c r="P68" s="78" t="s">
        <v>269</v>
      </c>
      <c r="Q68" s="78" t="s">
        <v>269</v>
      </c>
      <c r="R68" s="78" t="s">
        <v>269</v>
      </c>
      <c r="S68" s="78" t="s">
        <v>269</v>
      </c>
      <c r="T68" s="78" t="s">
        <v>269</v>
      </c>
      <c r="U68" s="78" t="s">
        <v>269</v>
      </c>
      <c r="V68" s="78" t="s">
        <v>269</v>
      </c>
      <c r="W68" s="78" t="s">
        <v>269</v>
      </c>
      <c r="X68" s="78" t="s">
        <v>269</v>
      </c>
      <c r="Y68" s="78" t="s">
        <v>269</v>
      </c>
      <c r="Z68" s="78" t="s">
        <v>269</v>
      </c>
      <c r="AA68" s="78" t="s">
        <v>269</v>
      </c>
      <c r="AB68" s="78" t="s">
        <v>269</v>
      </c>
      <c r="AC68" s="78" t="s">
        <v>269</v>
      </c>
      <c r="AD68" s="78" t="s">
        <v>269</v>
      </c>
      <c r="AE68" s="78" t="s">
        <v>269</v>
      </c>
      <c r="AF68" s="78" t="s">
        <v>269</v>
      </c>
      <c r="AG68" s="78" t="s">
        <v>269</v>
      </c>
      <c r="AH68" s="78" t="s">
        <v>269</v>
      </c>
      <c r="AI68" s="78" t="s">
        <v>269</v>
      </c>
      <c r="AJ68" s="78" t="s">
        <v>269</v>
      </c>
      <c r="AK68" s="78" t="s">
        <v>269</v>
      </c>
      <c r="AL68" s="78" t="s">
        <v>269</v>
      </c>
      <c r="AM68" s="78" t="s">
        <v>269</v>
      </c>
      <c r="AN68" s="78" t="s">
        <v>269</v>
      </c>
      <c r="AO68" s="78" t="s">
        <v>269</v>
      </c>
      <c r="AP68" s="78" t="s">
        <v>269</v>
      </c>
      <c r="AQ68" s="78" t="s">
        <v>269</v>
      </c>
      <c r="AR68" s="78" t="s">
        <v>269</v>
      </c>
      <c r="AS68" s="78" t="s">
        <v>269</v>
      </c>
      <c r="AT68" s="78" t="s">
        <v>269</v>
      </c>
      <c r="AU68" s="78" t="s">
        <v>269</v>
      </c>
      <c r="AV68" s="78" t="s">
        <v>269</v>
      </c>
      <c r="AW68" s="78"/>
      <c r="AX68" s="78"/>
      <c r="AY68" s="78"/>
      <c r="AZ68" s="78"/>
      <c r="BA68" s="78"/>
      <c r="BB68" s="122">
        <f t="shared" ref="BB68:CO68" si="167">IF(AND(I68="",I69="",I70=""),"",COUNTIF(I68:I70,"v"))</f>
        <v>3</v>
      </c>
      <c r="BC68" s="122">
        <f t="shared" si="167"/>
        <v>3</v>
      </c>
      <c r="BD68" s="122">
        <f t="shared" si="167"/>
        <v>3</v>
      </c>
      <c r="BE68" s="122">
        <f t="shared" si="167"/>
        <v>3</v>
      </c>
      <c r="BF68" s="122">
        <f t="shared" si="167"/>
        <v>3</v>
      </c>
      <c r="BG68" s="122">
        <f t="shared" si="167"/>
        <v>3</v>
      </c>
      <c r="BH68" s="122">
        <f t="shared" si="167"/>
        <v>3</v>
      </c>
      <c r="BI68" s="122">
        <f t="shared" si="167"/>
        <v>3</v>
      </c>
      <c r="BJ68" s="122">
        <f t="shared" si="167"/>
        <v>3</v>
      </c>
      <c r="BK68" s="122">
        <f t="shared" si="167"/>
        <v>3</v>
      </c>
      <c r="BL68" s="122">
        <f t="shared" si="167"/>
        <v>3</v>
      </c>
      <c r="BM68" s="122">
        <f t="shared" si="167"/>
        <v>3</v>
      </c>
      <c r="BN68" s="122">
        <f t="shared" si="167"/>
        <v>3</v>
      </c>
      <c r="BO68" s="122">
        <f t="shared" si="167"/>
        <v>3</v>
      </c>
      <c r="BP68" s="122">
        <f t="shared" si="167"/>
        <v>3</v>
      </c>
      <c r="BQ68" s="122">
        <f t="shared" si="167"/>
        <v>3</v>
      </c>
      <c r="BR68" s="122">
        <f t="shared" si="167"/>
        <v>3</v>
      </c>
      <c r="BS68" s="122">
        <f t="shared" si="167"/>
        <v>3</v>
      </c>
      <c r="BT68" s="122">
        <f t="shared" si="167"/>
        <v>3</v>
      </c>
      <c r="BU68" s="122">
        <f t="shared" si="167"/>
        <v>3</v>
      </c>
      <c r="BV68" s="122">
        <f t="shared" si="167"/>
        <v>3</v>
      </c>
      <c r="BW68" s="122">
        <f t="shared" si="167"/>
        <v>3</v>
      </c>
      <c r="BX68" s="122">
        <f t="shared" si="167"/>
        <v>3</v>
      </c>
      <c r="BY68" s="122">
        <f t="shared" si="167"/>
        <v>3</v>
      </c>
      <c r="BZ68" s="122">
        <f t="shared" si="167"/>
        <v>3</v>
      </c>
      <c r="CA68" s="122">
        <f t="shared" si="167"/>
        <v>3</v>
      </c>
      <c r="CB68" s="122">
        <f t="shared" si="167"/>
        <v>3</v>
      </c>
      <c r="CC68" s="122">
        <f t="shared" si="167"/>
        <v>3</v>
      </c>
      <c r="CD68" s="122">
        <f t="shared" si="167"/>
        <v>3</v>
      </c>
      <c r="CE68" s="122">
        <f t="shared" si="167"/>
        <v>3</v>
      </c>
      <c r="CF68" s="122">
        <f t="shared" si="167"/>
        <v>3</v>
      </c>
      <c r="CG68" s="122">
        <f t="shared" si="167"/>
        <v>3</v>
      </c>
      <c r="CH68" s="122">
        <f t="shared" si="167"/>
        <v>3</v>
      </c>
      <c r="CI68" s="122">
        <f t="shared" si="167"/>
        <v>3</v>
      </c>
      <c r="CJ68" s="122">
        <f t="shared" si="167"/>
        <v>3</v>
      </c>
      <c r="CK68" s="122">
        <f t="shared" si="167"/>
        <v>3</v>
      </c>
      <c r="CL68" s="122">
        <f t="shared" si="167"/>
        <v>3</v>
      </c>
      <c r="CM68" s="122">
        <f t="shared" si="167"/>
        <v>3</v>
      </c>
      <c r="CN68" s="122">
        <f t="shared" si="167"/>
        <v>3</v>
      </c>
      <c r="CO68" s="122">
        <f t="shared" si="167"/>
        <v>3</v>
      </c>
      <c r="CP68" s="122" t="str">
        <f t="shared" ref="CP68:CT68" si="168">IF(AND(AW68="",AW69="",AW70=""),"",COUNTIF(AW68:AW70,"v"))</f>
        <v/>
      </c>
      <c r="CQ68" s="122" t="str">
        <f t="shared" si="168"/>
        <v/>
      </c>
      <c r="CR68" s="122" t="str">
        <f t="shared" si="168"/>
        <v/>
      </c>
      <c r="CS68" s="122" t="str">
        <f t="shared" si="168"/>
        <v/>
      </c>
      <c r="CT68" s="122" t="str">
        <f t="shared" si="168"/>
        <v/>
      </c>
      <c r="CU68" s="124">
        <f t="shared" ref="CU68:EH68" si="169">IF(BB68="","",IF(BB68&gt;=1,4,0))</f>
        <v>4</v>
      </c>
      <c r="CV68" s="124">
        <f t="shared" si="169"/>
        <v>4</v>
      </c>
      <c r="CW68" s="124">
        <f t="shared" si="169"/>
        <v>4</v>
      </c>
      <c r="CX68" s="124">
        <f t="shared" si="169"/>
        <v>4</v>
      </c>
      <c r="CY68" s="124">
        <f t="shared" si="169"/>
        <v>4</v>
      </c>
      <c r="CZ68" s="124">
        <f t="shared" si="169"/>
        <v>4</v>
      </c>
      <c r="DA68" s="124">
        <f t="shared" si="169"/>
        <v>4</v>
      </c>
      <c r="DB68" s="124">
        <f t="shared" si="169"/>
        <v>4</v>
      </c>
      <c r="DC68" s="124">
        <f t="shared" si="169"/>
        <v>4</v>
      </c>
      <c r="DD68" s="124">
        <f t="shared" si="169"/>
        <v>4</v>
      </c>
      <c r="DE68" s="124">
        <f t="shared" si="169"/>
        <v>4</v>
      </c>
      <c r="DF68" s="124">
        <f t="shared" si="169"/>
        <v>4</v>
      </c>
      <c r="DG68" s="124">
        <f t="shared" si="169"/>
        <v>4</v>
      </c>
      <c r="DH68" s="124">
        <f t="shared" si="169"/>
        <v>4</v>
      </c>
      <c r="DI68" s="124">
        <f t="shared" si="169"/>
        <v>4</v>
      </c>
      <c r="DJ68" s="124">
        <f t="shared" si="169"/>
        <v>4</v>
      </c>
      <c r="DK68" s="124">
        <f t="shared" si="169"/>
        <v>4</v>
      </c>
      <c r="DL68" s="124">
        <f t="shared" si="169"/>
        <v>4</v>
      </c>
      <c r="DM68" s="124">
        <f t="shared" si="169"/>
        <v>4</v>
      </c>
      <c r="DN68" s="124">
        <f t="shared" si="169"/>
        <v>4</v>
      </c>
      <c r="DO68" s="124">
        <f t="shared" si="169"/>
        <v>4</v>
      </c>
      <c r="DP68" s="124">
        <f t="shared" si="169"/>
        <v>4</v>
      </c>
      <c r="DQ68" s="124">
        <f t="shared" si="169"/>
        <v>4</v>
      </c>
      <c r="DR68" s="124">
        <f t="shared" si="169"/>
        <v>4</v>
      </c>
      <c r="DS68" s="124">
        <f t="shared" si="169"/>
        <v>4</v>
      </c>
      <c r="DT68" s="124">
        <f t="shared" si="169"/>
        <v>4</v>
      </c>
      <c r="DU68" s="124">
        <f t="shared" si="169"/>
        <v>4</v>
      </c>
      <c r="DV68" s="124">
        <f t="shared" si="169"/>
        <v>4</v>
      </c>
      <c r="DW68" s="124">
        <f t="shared" si="169"/>
        <v>4</v>
      </c>
      <c r="DX68" s="124">
        <f t="shared" si="169"/>
        <v>4</v>
      </c>
      <c r="DY68" s="124">
        <f t="shared" si="169"/>
        <v>4</v>
      </c>
      <c r="DZ68" s="124">
        <f t="shared" si="169"/>
        <v>4</v>
      </c>
      <c r="EA68" s="124">
        <f t="shared" si="169"/>
        <v>4</v>
      </c>
      <c r="EB68" s="124">
        <f t="shared" si="169"/>
        <v>4</v>
      </c>
      <c r="EC68" s="124">
        <f t="shared" si="169"/>
        <v>4</v>
      </c>
      <c r="ED68" s="124">
        <f t="shared" si="169"/>
        <v>4</v>
      </c>
      <c r="EE68" s="124">
        <f t="shared" si="169"/>
        <v>4</v>
      </c>
      <c r="EF68" s="124">
        <f t="shared" si="169"/>
        <v>4</v>
      </c>
      <c r="EG68" s="124">
        <f t="shared" si="169"/>
        <v>4</v>
      </c>
      <c r="EH68" s="124">
        <f t="shared" si="169"/>
        <v>4</v>
      </c>
      <c r="EI68" s="124" t="str">
        <f t="shared" ref="EI68:EM68" si="170">IF(CP68="","",IF(CP68&gt;=1,4,0))</f>
        <v/>
      </c>
      <c r="EJ68" s="124" t="str">
        <f t="shared" si="170"/>
        <v/>
      </c>
      <c r="EK68" s="124" t="str">
        <f t="shared" si="170"/>
        <v/>
      </c>
      <c r="EL68" s="124" t="str">
        <f t="shared" si="170"/>
        <v/>
      </c>
      <c r="EM68" s="124" t="str">
        <f t="shared" si="170"/>
        <v/>
      </c>
      <c r="EN68" s="118">
        <f t="shared" ref="EN68:FL68" si="171">IF(CU68="","",IF(CU68&gt;=1,4,0))</f>
        <v>4</v>
      </c>
      <c r="EO68" s="118">
        <f t="shared" si="171"/>
        <v>4</v>
      </c>
      <c r="EP68" s="118">
        <f t="shared" si="171"/>
        <v>4</v>
      </c>
      <c r="EQ68" s="118">
        <f t="shared" si="171"/>
        <v>4</v>
      </c>
      <c r="ER68" s="118">
        <f t="shared" si="171"/>
        <v>4</v>
      </c>
      <c r="ES68" s="118">
        <f t="shared" si="171"/>
        <v>4</v>
      </c>
      <c r="ET68" s="118">
        <f t="shared" si="171"/>
        <v>4</v>
      </c>
      <c r="EU68" s="118">
        <f t="shared" si="171"/>
        <v>4</v>
      </c>
      <c r="EV68" s="118">
        <f t="shared" si="171"/>
        <v>4</v>
      </c>
      <c r="EW68" s="118">
        <f t="shared" si="171"/>
        <v>4</v>
      </c>
      <c r="EX68" s="118">
        <f t="shared" si="171"/>
        <v>4</v>
      </c>
      <c r="EY68" s="118">
        <f t="shared" si="171"/>
        <v>4</v>
      </c>
      <c r="EZ68" s="118">
        <f t="shared" si="171"/>
        <v>4</v>
      </c>
      <c r="FA68" s="118">
        <f t="shared" si="171"/>
        <v>4</v>
      </c>
      <c r="FB68" s="118">
        <f t="shared" si="171"/>
        <v>4</v>
      </c>
      <c r="FC68" s="118">
        <f t="shared" si="171"/>
        <v>4</v>
      </c>
      <c r="FD68" s="118">
        <f t="shared" si="171"/>
        <v>4</v>
      </c>
      <c r="FE68" s="118">
        <f t="shared" si="171"/>
        <v>4</v>
      </c>
      <c r="FF68" s="118">
        <f t="shared" si="171"/>
        <v>4</v>
      </c>
      <c r="FG68" s="118">
        <f t="shared" si="171"/>
        <v>4</v>
      </c>
      <c r="FH68" s="118">
        <f t="shared" si="171"/>
        <v>4</v>
      </c>
      <c r="FI68" s="118">
        <f t="shared" si="171"/>
        <v>4</v>
      </c>
      <c r="FJ68" s="118">
        <f t="shared" si="171"/>
        <v>4</v>
      </c>
      <c r="FK68" s="118">
        <f t="shared" si="171"/>
        <v>4</v>
      </c>
      <c r="FL68" s="118">
        <f t="shared" si="171"/>
        <v>4</v>
      </c>
      <c r="FM68" s="118">
        <f t="shared" ref="FM68:GA68" si="172">IF(DT68="","",IF(DT68&gt;=1,4,0))</f>
        <v>4</v>
      </c>
      <c r="FN68" s="118">
        <f t="shared" si="172"/>
        <v>4</v>
      </c>
      <c r="FO68" s="118">
        <f t="shared" si="172"/>
        <v>4</v>
      </c>
      <c r="FP68" s="118">
        <f t="shared" si="172"/>
        <v>4</v>
      </c>
      <c r="FQ68" s="118">
        <f t="shared" si="172"/>
        <v>4</v>
      </c>
      <c r="FR68" s="118">
        <f t="shared" si="172"/>
        <v>4</v>
      </c>
      <c r="FS68" s="118">
        <f t="shared" si="172"/>
        <v>4</v>
      </c>
      <c r="FT68" s="118">
        <f t="shared" si="172"/>
        <v>4</v>
      </c>
      <c r="FU68" s="118">
        <f t="shared" si="172"/>
        <v>4</v>
      </c>
      <c r="FV68" s="118">
        <f t="shared" si="172"/>
        <v>4</v>
      </c>
      <c r="FW68" s="118">
        <f t="shared" si="172"/>
        <v>4</v>
      </c>
      <c r="FX68" s="118">
        <f t="shared" si="172"/>
        <v>4</v>
      </c>
      <c r="FY68" s="118">
        <f t="shared" si="172"/>
        <v>4</v>
      </c>
      <c r="FZ68" s="118">
        <f t="shared" si="172"/>
        <v>4</v>
      </c>
      <c r="GA68" s="118">
        <f t="shared" si="172"/>
        <v>4</v>
      </c>
      <c r="GB68" s="118" t="str">
        <f t="shared" ref="GB68" si="173">IF(EI68="","",IF(EI68&gt;=1,4,0))</f>
        <v/>
      </c>
      <c r="GC68" s="118" t="str">
        <f t="shared" ref="GC68" si="174">IF(EJ68="","",IF(EJ68&gt;=1,4,0))</f>
        <v/>
      </c>
      <c r="GD68" s="118" t="str">
        <f t="shared" ref="GD68" si="175">IF(EK68="","",IF(EK68&gt;=1,4,0))</f>
        <v/>
      </c>
      <c r="GE68" s="118" t="str">
        <f t="shared" ref="GE68" si="176">IF(EL68="","",IF(EL68&gt;=1,4,0))</f>
        <v/>
      </c>
      <c r="GF68" s="118" t="str">
        <f t="shared" ref="GF68" si="177">IF(EM68="","",IF(EM68&gt;=1,4,0))</f>
        <v/>
      </c>
      <c r="GG68" s="116"/>
      <c r="GH68" s="116"/>
      <c r="GI68" s="116"/>
      <c r="GJ68" s="116"/>
      <c r="GK68" s="116"/>
      <c r="GL68" s="116"/>
      <c r="GM68" s="116"/>
      <c r="GN68" s="116"/>
      <c r="GO68" s="116"/>
      <c r="GP68" s="116"/>
      <c r="GQ68" s="116"/>
      <c r="GR68" s="116"/>
      <c r="GS68" s="116"/>
      <c r="GT68" s="116"/>
      <c r="GU68" s="116"/>
      <c r="GV68" s="116"/>
      <c r="GW68" s="116"/>
      <c r="GX68" s="116"/>
      <c r="GY68" s="116"/>
      <c r="GZ68" s="116"/>
      <c r="HA68" s="116"/>
      <c r="HB68" s="116"/>
      <c r="HC68" s="116"/>
      <c r="HD68" s="116"/>
      <c r="HE68" s="116"/>
      <c r="HF68" s="116"/>
      <c r="HG68" s="116"/>
      <c r="HH68" s="116"/>
      <c r="HI68" s="116"/>
      <c r="HJ68" s="116"/>
      <c r="HK68" s="116"/>
      <c r="HL68" s="116"/>
      <c r="HM68" s="116"/>
      <c r="HN68" s="116"/>
      <c r="HO68" s="116"/>
      <c r="HP68" s="116"/>
      <c r="HQ68" s="116"/>
      <c r="HR68" s="116"/>
      <c r="HS68" s="116"/>
      <c r="HT68" s="116"/>
      <c r="HU68" s="116"/>
      <c r="HV68" s="116"/>
      <c r="HW68" s="116"/>
      <c r="HX68" s="116"/>
      <c r="HY68" s="116"/>
      <c r="HZ68" s="49"/>
      <c r="IA68" s="49"/>
      <c r="IB68" s="49"/>
      <c r="IC68" s="49"/>
      <c r="ID68" s="49"/>
      <c r="IE68" s="49"/>
      <c r="IF68" s="49"/>
      <c r="IG68" s="49"/>
      <c r="IH68" s="49"/>
      <c r="II68" s="49"/>
      <c r="IJ68" s="49"/>
      <c r="IK68" s="49"/>
      <c r="IL68" s="49"/>
      <c r="IM68" s="49"/>
      <c r="IN68" s="49"/>
      <c r="IO68" s="49"/>
      <c r="IP68" s="49"/>
      <c r="IQ68" s="49"/>
      <c r="IR68" s="49"/>
      <c r="IS68" s="49"/>
      <c r="IT68" s="49"/>
      <c r="IU68" s="49"/>
      <c r="IV68" s="49"/>
      <c r="IW68" s="49"/>
      <c r="IX68" s="49"/>
      <c r="IY68" s="49"/>
      <c r="IZ68" s="49"/>
      <c r="JA68" s="49"/>
      <c r="JB68" s="49"/>
      <c r="JC68" s="49"/>
      <c r="JD68" s="49"/>
      <c r="JE68" s="49"/>
      <c r="JF68" s="49"/>
      <c r="JG68" s="49"/>
      <c r="JH68" s="49"/>
      <c r="JI68" s="49"/>
      <c r="JJ68" s="49"/>
      <c r="JK68" s="49"/>
      <c r="JL68" s="49"/>
      <c r="JM68" s="49"/>
      <c r="JN68" s="49"/>
      <c r="JO68" s="49"/>
      <c r="JP68" s="49"/>
      <c r="JQ68" s="49"/>
      <c r="JR68" s="49"/>
      <c r="JS68" s="49"/>
      <c r="JT68" s="49"/>
      <c r="JU68" s="49"/>
      <c r="JV68" s="49"/>
      <c r="JW68" s="49"/>
      <c r="JX68" s="49"/>
      <c r="JY68" s="49"/>
      <c r="JZ68" s="49"/>
      <c r="KA68" s="49"/>
      <c r="KB68" s="49"/>
      <c r="KC68" s="49"/>
      <c r="KD68" s="49"/>
      <c r="KE68" s="49"/>
      <c r="KF68" s="49"/>
      <c r="KG68" s="49"/>
      <c r="KH68" s="49"/>
      <c r="KI68" s="49"/>
      <c r="KJ68" s="49"/>
      <c r="KK68" s="49"/>
      <c r="KL68" s="49"/>
      <c r="KM68" s="49"/>
      <c r="KN68" s="49"/>
      <c r="KO68" s="49"/>
      <c r="KP68" s="49"/>
      <c r="KQ68" s="49"/>
      <c r="KR68" s="49"/>
      <c r="KS68" s="49"/>
      <c r="KT68" s="49"/>
      <c r="KU68" s="49"/>
      <c r="KV68" s="49"/>
      <c r="KW68" s="49"/>
      <c r="KX68" s="49"/>
      <c r="KY68" s="49"/>
      <c r="KZ68" s="49"/>
      <c r="LA68" s="49"/>
      <c r="LB68" s="49"/>
      <c r="LC68" s="49"/>
      <c r="LD68" s="49"/>
      <c r="LE68" s="49"/>
      <c r="LF68" s="49"/>
    </row>
    <row r="69" spans="1:318" ht="18" x14ac:dyDescent="0.25">
      <c r="A69" s="127"/>
      <c r="B69" s="126"/>
      <c r="C69" s="127"/>
      <c r="D69" s="126"/>
      <c r="E69" s="129"/>
      <c r="F69" s="130"/>
      <c r="G69" s="20" t="s">
        <v>56</v>
      </c>
      <c r="H69" s="23" t="s">
        <v>130</v>
      </c>
      <c r="I69" s="78" t="s">
        <v>269</v>
      </c>
      <c r="J69" s="78" t="s">
        <v>269</v>
      </c>
      <c r="K69" s="78" t="s">
        <v>269</v>
      </c>
      <c r="L69" s="78" t="s">
        <v>269</v>
      </c>
      <c r="M69" s="78" t="s">
        <v>269</v>
      </c>
      <c r="N69" s="78" t="s">
        <v>269</v>
      </c>
      <c r="O69" s="78" t="s">
        <v>269</v>
      </c>
      <c r="P69" s="78" t="s">
        <v>269</v>
      </c>
      <c r="Q69" s="78" t="s">
        <v>269</v>
      </c>
      <c r="R69" s="78" t="s">
        <v>269</v>
      </c>
      <c r="S69" s="78" t="s">
        <v>269</v>
      </c>
      <c r="T69" s="78" t="s">
        <v>269</v>
      </c>
      <c r="U69" s="78" t="s">
        <v>269</v>
      </c>
      <c r="V69" s="78" t="s">
        <v>269</v>
      </c>
      <c r="W69" s="78" t="s">
        <v>269</v>
      </c>
      <c r="X69" s="78" t="s">
        <v>269</v>
      </c>
      <c r="Y69" s="78" t="s">
        <v>269</v>
      </c>
      <c r="Z69" s="78" t="s">
        <v>269</v>
      </c>
      <c r="AA69" s="78" t="s">
        <v>269</v>
      </c>
      <c r="AB69" s="78" t="s">
        <v>269</v>
      </c>
      <c r="AC69" s="78" t="s">
        <v>269</v>
      </c>
      <c r="AD69" s="78" t="s">
        <v>269</v>
      </c>
      <c r="AE69" s="78" t="s">
        <v>269</v>
      </c>
      <c r="AF69" s="78" t="s">
        <v>269</v>
      </c>
      <c r="AG69" s="78" t="s">
        <v>269</v>
      </c>
      <c r="AH69" s="78" t="s">
        <v>269</v>
      </c>
      <c r="AI69" s="78" t="s">
        <v>269</v>
      </c>
      <c r="AJ69" s="78" t="s">
        <v>269</v>
      </c>
      <c r="AK69" s="78" t="s">
        <v>269</v>
      </c>
      <c r="AL69" s="78" t="s">
        <v>269</v>
      </c>
      <c r="AM69" s="78" t="s">
        <v>269</v>
      </c>
      <c r="AN69" s="78" t="s">
        <v>269</v>
      </c>
      <c r="AO69" s="78" t="s">
        <v>269</v>
      </c>
      <c r="AP69" s="78" t="s">
        <v>269</v>
      </c>
      <c r="AQ69" s="78" t="s">
        <v>269</v>
      </c>
      <c r="AR69" s="78" t="s">
        <v>269</v>
      </c>
      <c r="AS69" s="78" t="s">
        <v>269</v>
      </c>
      <c r="AT69" s="78" t="s">
        <v>269</v>
      </c>
      <c r="AU69" s="78" t="s">
        <v>269</v>
      </c>
      <c r="AV69" s="78" t="s">
        <v>269</v>
      </c>
      <c r="AW69" s="78"/>
      <c r="AX69" s="78"/>
      <c r="AY69" s="78"/>
      <c r="AZ69" s="78"/>
      <c r="BA69" s="78"/>
      <c r="BB69" s="122"/>
      <c r="BC69" s="122"/>
      <c r="BD69" s="122"/>
      <c r="BE69" s="122"/>
      <c r="BF69" s="122"/>
      <c r="BG69" s="122"/>
      <c r="BH69" s="122"/>
      <c r="BI69" s="122"/>
      <c r="BJ69" s="122"/>
      <c r="BK69" s="122"/>
      <c r="BL69" s="122"/>
      <c r="BM69" s="122"/>
      <c r="BN69" s="122"/>
      <c r="BO69" s="122"/>
      <c r="BP69" s="122"/>
      <c r="BQ69" s="122"/>
      <c r="BR69" s="122"/>
      <c r="BS69" s="122"/>
      <c r="BT69" s="122"/>
      <c r="BU69" s="122"/>
      <c r="BV69" s="122"/>
      <c r="BW69" s="122"/>
      <c r="BX69" s="122"/>
      <c r="BY69" s="122"/>
      <c r="BZ69" s="122"/>
      <c r="CA69" s="122"/>
      <c r="CB69" s="122"/>
      <c r="CC69" s="122"/>
      <c r="CD69" s="122"/>
      <c r="CE69" s="122"/>
      <c r="CF69" s="122"/>
      <c r="CG69" s="122"/>
      <c r="CH69" s="122"/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4"/>
      <c r="CV69" s="124"/>
      <c r="CW69" s="124"/>
      <c r="CX69" s="124"/>
      <c r="CY69" s="124"/>
      <c r="CZ69" s="124"/>
      <c r="DA69" s="124"/>
      <c r="DB69" s="124"/>
      <c r="DC69" s="124"/>
      <c r="DD69" s="124"/>
      <c r="DE69" s="124"/>
      <c r="DF69" s="124"/>
      <c r="DG69" s="124"/>
      <c r="DH69" s="124"/>
      <c r="DI69" s="124"/>
      <c r="DJ69" s="124"/>
      <c r="DK69" s="124"/>
      <c r="DL69" s="124"/>
      <c r="DM69" s="124"/>
      <c r="DN69" s="124"/>
      <c r="DO69" s="124"/>
      <c r="DP69" s="124"/>
      <c r="DQ69" s="124"/>
      <c r="DR69" s="124"/>
      <c r="DS69" s="124"/>
      <c r="DT69" s="124"/>
      <c r="DU69" s="124"/>
      <c r="DV69" s="124"/>
      <c r="DW69" s="124"/>
      <c r="DX69" s="124"/>
      <c r="DY69" s="124"/>
      <c r="DZ69" s="124"/>
      <c r="EA69" s="124"/>
      <c r="EB69" s="124"/>
      <c r="EC69" s="124"/>
      <c r="ED69" s="124"/>
      <c r="EE69" s="124"/>
      <c r="EF69" s="124"/>
      <c r="EG69" s="124"/>
      <c r="EH69" s="124"/>
      <c r="EI69" s="124"/>
      <c r="EJ69" s="124"/>
      <c r="EK69" s="124"/>
      <c r="EL69" s="124"/>
      <c r="EM69" s="124"/>
      <c r="EN69" s="118"/>
      <c r="EO69" s="118"/>
      <c r="EP69" s="118"/>
      <c r="EQ69" s="118"/>
      <c r="ER69" s="118"/>
      <c r="ES69" s="118"/>
      <c r="ET69" s="118"/>
      <c r="EU69" s="118"/>
      <c r="EV69" s="118"/>
      <c r="EW69" s="118"/>
      <c r="EX69" s="118"/>
      <c r="EY69" s="118"/>
      <c r="EZ69" s="118"/>
      <c r="FA69" s="118"/>
      <c r="FB69" s="118"/>
      <c r="FC69" s="118"/>
      <c r="FD69" s="118"/>
      <c r="FE69" s="118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6"/>
      <c r="GH69" s="116"/>
      <c r="GI69" s="116"/>
      <c r="GJ69" s="116"/>
      <c r="GK69" s="116"/>
      <c r="GL69" s="116"/>
      <c r="GM69" s="116"/>
      <c r="GN69" s="116"/>
      <c r="GO69" s="116"/>
      <c r="GP69" s="116"/>
      <c r="GQ69" s="116"/>
      <c r="GR69" s="116"/>
      <c r="GS69" s="116"/>
      <c r="GT69" s="116"/>
      <c r="GU69" s="116"/>
      <c r="GV69" s="116"/>
      <c r="GW69" s="116"/>
      <c r="GX69" s="116"/>
      <c r="GY69" s="116"/>
      <c r="GZ69" s="116"/>
      <c r="HA69" s="116"/>
      <c r="HB69" s="116"/>
      <c r="HC69" s="116"/>
      <c r="HD69" s="116"/>
      <c r="HE69" s="116"/>
      <c r="HF69" s="116"/>
      <c r="HG69" s="116"/>
      <c r="HH69" s="116"/>
      <c r="HI69" s="116"/>
      <c r="HJ69" s="116"/>
      <c r="HK69" s="116"/>
      <c r="HL69" s="116"/>
      <c r="HM69" s="116"/>
      <c r="HN69" s="116"/>
      <c r="HO69" s="116"/>
      <c r="HP69" s="116"/>
      <c r="HQ69" s="116"/>
      <c r="HR69" s="116"/>
      <c r="HS69" s="116"/>
      <c r="HT69" s="116"/>
      <c r="HU69" s="116"/>
      <c r="HV69" s="116"/>
      <c r="HW69" s="116"/>
      <c r="HX69" s="116"/>
      <c r="HY69" s="116"/>
      <c r="HZ69" s="49"/>
      <c r="IA69" s="49"/>
      <c r="IB69" s="49"/>
      <c r="IC69" s="49"/>
      <c r="ID69" s="49"/>
      <c r="IE69" s="49"/>
      <c r="IF69" s="49"/>
      <c r="IG69" s="49"/>
      <c r="IH69" s="49"/>
      <c r="II69" s="49"/>
      <c r="IJ69" s="49"/>
      <c r="IK69" s="49"/>
      <c r="IL69" s="49"/>
      <c r="IM69" s="49"/>
      <c r="IN69" s="49"/>
      <c r="IO69" s="49"/>
      <c r="IP69" s="49"/>
      <c r="IQ69" s="49"/>
      <c r="IR69" s="49"/>
      <c r="IS69" s="49"/>
      <c r="IT69" s="49"/>
      <c r="IU69" s="49"/>
      <c r="IV69" s="49"/>
      <c r="IW69" s="49"/>
      <c r="IX69" s="49"/>
      <c r="IY69" s="49"/>
      <c r="IZ69" s="49"/>
      <c r="JA69" s="49"/>
      <c r="JB69" s="49"/>
      <c r="JC69" s="49"/>
      <c r="JD69" s="49"/>
      <c r="JE69" s="49"/>
      <c r="JF69" s="49"/>
      <c r="JG69" s="49"/>
      <c r="JH69" s="49"/>
      <c r="JI69" s="49"/>
      <c r="JJ69" s="49"/>
      <c r="JK69" s="49"/>
      <c r="JL69" s="49"/>
      <c r="JM69" s="49"/>
      <c r="JN69" s="49"/>
      <c r="JO69" s="49"/>
      <c r="JP69" s="49"/>
      <c r="JQ69" s="49"/>
      <c r="JR69" s="49"/>
      <c r="JS69" s="49"/>
      <c r="JT69" s="49"/>
      <c r="JU69" s="49"/>
      <c r="JV69" s="49"/>
      <c r="JW69" s="49"/>
      <c r="JX69" s="49"/>
      <c r="JY69" s="49"/>
      <c r="JZ69" s="49"/>
      <c r="KA69" s="49"/>
      <c r="KB69" s="49"/>
      <c r="KC69" s="49"/>
      <c r="KD69" s="49"/>
      <c r="KE69" s="49"/>
      <c r="KF69" s="49"/>
      <c r="KG69" s="49"/>
      <c r="KH69" s="49"/>
      <c r="KI69" s="49"/>
      <c r="KJ69" s="49"/>
      <c r="KK69" s="49"/>
      <c r="KL69" s="49"/>
      <c r="KM69" s="49"/>
      <c r="KN69" s="49"/>
      <c r="KO69" s="49"/>
      <c r="KP69" s="49"/>
      <c r="KQ69" s="49"/>
      <c r="KR69" s="49"/>
      <c r="KS69" s="49"/>
      <c r="KT69" s="49"/>
      <c r="KU69" s="49"/>
      <c r="KV69" s="49"/>
      <c r="KW69" s="49"/>
      <c r="KX69" s="49"/>
      <c r="KY69" s="49"/>
      <c r="KZ69" s="49"/>
      <c r="LA69" s="49"/>
      <c r="LB69" s="49"/>
      <c r="LC69" s="49"/>
      <c r="LD69" s="49"/>
      <c r="LE69" s="49"/>
      <c r="LF69" s="49"/>
    </row>
    <row r="70" spans="1:318" ht="107.45" customHeight="1" x14ac:dyDescent="0.25">
      <c r="A70" s="127"/>
      <c r="B70" s="126"/>
      <c r="C70" s="127"/>
      <c r="D70" s="126"/>
      <c r="E70" s="129"/>
      <c r="F70" s="130"/>
      <c r="G70" s="20" t="s">
        <v>56</v>
      </c>
      <c r="H70" s="23" t="s">
        <v>131</v>
      </c>
      <c r="I70" s="78" t="s">
        <v>269</v>
      </c>
      <c r="J70" s="78" t="s">
        <v>269</v>
      </c>
      <c r="K70" s="78" t="s">
        <v>269</v>
      </c>
      <c r="L70" s="78" t="s">
        <v>269</v>
      </c>
      <c r="M70" s="78" t="s">
        <v>269</v>
      </c>
      <c r="N70" s="78" t="s">
        <v>269</v>
      </c>
      <c r="O70" s="78" t="s">
        <v>269</v>
      </c>
      <c r="P70" s="78" t="s">
        <v>269</v>
      </c>
      <c r="Q70" s="78" t="s">
        <v>269</v>
      </c>
      <c r="R70" s="78" t="s">
        <v>269</v>
      </c>
      <c r="S70" s="78" t="s">
        <v>269</v>
      </c>
      <c r="T70" s="78" t="s">
        <v>269</v>
      </c>
      <c r="U70" s="78" t="s">
        <v>269</v>
      </c>
      <c r="V70" s="78" t="s">
        <v>269</v>
      </c>
      <c r="W70" s="78" t="s">
        <v>269</v>
      </c>
      <c r="X70" s="78" t="s">
        <v>269</v>
      </c>
      <c r="Y70" s="78" t="s">
        <v>269</v>
      </c>
      <c r="Z70" s="78" t="s">
        <v>269</v>
      </c>
      <c r="AA70" s="78" t="s">
        <v>269</v>
      </c>
      <c r="AB70" s="78" t="s">
        <v>269</v>
      </c>
      <c r="AC70" s="78" t="s">
        <v>269</v>
      </c>
      <c r="AD70" s="78" t="s">
        <v>269</v>
      </c>
      <c r="AE70" s="78" t="s">
        <v>269</v>
      </c>
      <c r="AF70" s="78" t="s">
        <v>269</v>
      </c>
      <c r="AG70" s="78" t="s">
        <v>269</v>
      </c>
      <c r="AH70" s="78" t="s">
        <v>269</v>
      </c>
      <c r="AI70" s="78" t="s">
        <v>269</v>
      </c>
      <c r="AJ70" s="78" t="s">
        <v>269</v>
      </c>
      <c r="AK70" s="78" t="s">
        <v>269</v>
      </c>
      <c r="AL70" s="78" t="s">
        <v>269</v>
      </c>
      <c r="AM70" s="78" t="s">
        <v>269</v>
      </c>
      <c r="AN70" s="78" t="s">
        <v>269</v>
      </c>
      <c r="AO70" s="78" t="s">
        <v>269</v>
      </c>
      <c r="AP70" s="78" t="s">
        <v>269</v>
      </c>
      <c r="AQ70" s="78" t="s">
        <v>269</v>
      </c>
      <c r="AR70" s="78" t="s">
        <v>269</v>
      </c>
      <c r="AS70" s="78" t="s">
        <v>269</v>
      </c>
      <c r="AT70" s="78" t="s">
        <v>269</v>
      </c>
      <c r="AU70" s="78" t="s">
        <v>269</v>
      </c>
      <c r="AV70" s="78" t="s">
        <v>269</v>
      </c>
      <c r="AW70" s="78"/>
      <c r="AX70" s="78"/>
      <c r="AY70" s="78"/>
      <c r="AZ70" s="78"/>
      <c r="BA70" s="78"/>
      <c r="BB70" s="122"/>
      <c r="BC70" s="122"/>
      <c r="BD70" s="122"/>
      <c r="BE70" s="122"/>
      <c r="BF70" s="122"/>
      <c r="BG70" s="122"/>
      <c r="BH70" s="122"/>
      <c r="BI70" s="122"/>
      <c r="BJ70" s="122"/>
      <c r="BK70" s="122"/>
      <c r="BL70" s="122"/>
      <c r="BM70" s="122"/>
      <c r="BN70" s="122"/>
      <c r="BO70" s="122"/>
      <c r="BP70" s="122"/>
      <c r="BQ70" s="122"/>
      <c r="BR70" s="122"/>
      <c r="BS70" s="122"/>
      <c r="BT70" s="122"/>
      <c r="BU70" s="122"/>
      <c r="BV70" s="122"/>
      <c r="BW70" s="122"/>
      <c r="BX70" s="122"/>
      <c r="BY70" s="122"/>
      <c r="BZ70" s="122"/>
      <c r="CA70" s="122"/>
      <c r="CB70" s="122"/>
      <c r="CC70" s="122"/>
      <c r="CD70" s="122"/>
      <c r="CE70" s="122"/>
      <c r="CF70" s="122"/>
      <c r="CG70" s="122"/>
      <c r="CH70" s="122"/>
      <c r="CI70" s="122"/>
      <c r="CJ70" s="122"/>
      <c r="CK70" s="122"/>
      <c r="CL70" s="122"/>
      <c r="CM70" s="122"/>
      <c r="CN70" s="122"/>
      <c r="CO70" s="122"/>
      <c r="CP70" s="122"/>
      <c r="CQ70" s="122"/>
      <c r="CR70" s="122"/>
      <c r="CS70" s="122"/>
      <c r="CT70" s="122"/>
      <c r="CU70" s="124"/>
      <c r="CV70" s="124"/>
      <c r="CW70" s="124"/>
      <c r="CX70" s="124"/>
      <c r="CY70" s="124"/>
      <c r="CZ70" s="124"/>
      <c r="DA70" s="124"/>
      <c r="DB70" s="124"/>
      <c r="DC70" s="124"/>
      <c r="DD70" s="124"/>
      <c r="DE70" s="124"/>
      <c r="DF70" s="124"/>
      <c r="DG70" s="124"/>
      <c r="DH70" s="124"/>
      <c r="DI70" s="124"/>
      <c r="DJ70" s="124"/>
      <c r="DK70" s="124"/>
      <c r="DL70" s="124"/>
      <c r="DM70" s="124"/>
      <c r="DN70" s="124"/>
      <c r="DO70" s="124"/>
      <c r="DP70" s="124"/>
      <c r="DQ70" s="124"/>
      <c r="DR70" s="124"/>
      <c r="DS70" s="124"/>
      <c r="DT70" s="124"/>
      <c r="DU70" s="124"/>
      <c r="DV70" s="124"/>
      <c r="DW70" s="124"/>
      <c r="DX70" s="124"/>
      <c r="DY70" s="124"/>
      <c r="DZ70" s="124"/>
      <c r="EA70" s="124"/>
      <c r="EB70" s="124"/>
      <c r="EC70" s="124"/>
      <c r="ED70" s="124"/>
      <c r="EE70" s="124"/>
      <c r="EF70" s="124"/>
      <c r="EG70" s="124"/>
      <c r="EH70" s="124"/>
      <c r="EI70" s="124"/>
      <c r="EJ70" s="124"/>
      <c r="EK70" s="124"/>
      <c r="EL70" s="124"/>
      <c r="EM70" s="124"/>
      <c r="EN70" s="118"/>
      <c r="EO70" s="118"/>
      <c r="EP70" s="118"/>
      <c r="EQ70" s="118"/>
      <c r="ER70" s="118"/>
      <c r="ES70" s="118"/>
      <c r="ET70" s="118"/>
      <c r="EU70" s="118"/>
      <c r="EV70" s="118"/>
      <c r="EW70" s="118"/>
      <c r="EX70" s="118"/>
      <c r="EY70" s="118"/>
      <c r="EZ70" s="118"/>
      <c r="FA70" s="118"/>
      <c r="FB70" s="118"/>
      <c r="FC70" s="118"/>
      <c r="FD70" s="118"/>
      <c r="FE70" s="118"/>
      <c r="FF70" s="118"/>
      <c r="FG70" s="118"/>
      <c r="FH70" s="118"/>
      <c r="FI70" s="118"/>
      <c r="FJ70" s="118"/>
      <c r="FK70" s="118"/>
      <c r="FL70" s="118"/>
      <c r="FM70" s="118"/>
      <c r="FN70" s="118"/>
      <c r="FO70" s="118"/>
      <c r="FP70" s="118"/>
      <c r="FQ70" s="118"/>
      <c r="FR70" s="118"/>
      <c r="FS70" s="118"/>
      <c r="FT70" s="118"/>
      <c r="FU70" s="118"/>
      <c r="FV70" s="118"/>
      <c r="FW70" s="118"/>
      <c r="FX70" s="118"/>
      <c r="FY70" s="118"/>
      <c r="FZ70" s="118"/>
      <c r="GA70" s="118"/>
      <c r="GB70" s="118"/>
      <c r="GC70" s="118"/>
      <c r="GD70" s="118"/>
      <c r="GE70" s="118"/>
      <c r="GF70" s="118"/>
      <c r="GG70" s="116"/>
      <c r="GH70" s="116"/>
      <c r="GI70" s="116"/>
      <c r="GJ70" s="116"/>
      <c r="GK70" s="116"/>
      <c r="GL70" s="116"/>
      <c r="GM70" s="116"/>
      <c r="GN70" s="116"/>
      <c r="GO70" s="116"/>
      <c r="GP70" s="116"/>
      <c r="GQ70" s="116"/>
      <c r="GR70" s="116"/>
      <c r="GS70" s="116"/>
      <c r="GT70" s="116"/>
      <c r="GU70" s="116"/>
      <c r="GV70" s="116"/>
      <c r="GW70" s="116"/>
      <c r="GX70" s="116"/>
      <c r="GY70" s="116"/>
      <c r="GZ70" s="116"/>
      <c r="HA70" s="116"/>
      <c r="HB70" s="116"/>
      <c r="HC70" s="116"/>
      <c r="HD70" s="116"/>
      <c r="HE70" s="116"/>
      <c r="HF70" s="116"/>
      <c r="HG70" s="116"/>
      <c r="HH70" s="116"/>
      <c r="HI70" s="116"/>
      <c r="HJ70" s="116"/>
      <c r="HK70" s="116"/>
      <c r="HL70" s="116"/>
      <c r="HM70" s="116"/>
      <c r="HN70" s="116"/>
      <c r="HO70" s="116"/>
      <c r="HP70" s="116"/>
      <c r="HQ70" s="116"/>
      <c r="HR70" s="116"/>
      <c r="HS70" s="116"/>
      <c r="HT70" s="116"/>
      <c r="HU70" s="116"/>
      <c r="HV70" s="116"/>
      <c r="HW70" s="116"/>
      <c r="HX70" s="116"/>
      <c r="HY70" s="116"/>
      <c r="HZ70" s="49"/>
      <c r="IA70" s="49"/>
      <c r="IB70" s="49"/>
      <c r="IC70" s="49"/>
      <c r="ID70" s="49"/>
      <c r="IE70" s="49"/>
      <c r="IF70" s="49"/>
      <c r="IG70" s="49"/>
      <c r="IH70" s="49"/>
      <c r="II70" s="49"/>
      <c r="IJ70" s="49"/>
      <c r="IK70" s="49"/>
      <c r="IL70" s="49"/>
      <c r="IM70" s="49"/>
      <c r="IN70" s="49"/>
      <c r="IO70" s="49"/>
      <c r="IP70" s="49"/>
      <c r="IQ70" s="49"/>
      <c r="IR70" s="49"/>
      <c r="IS70" s="49"/>
      <c r="IT70" s="49"/>
      <c r="IU70" s="49"/>
      <c r="IV70" s="49"/>
      <c r="IW70" s="49"/>
      <c r="IX70" s="49"/>
      <c r="IY70" s="49"/>
      <c r="IZ70" s="49"/>
      <c r="JA70" s="49"/>
      <c r="JB70" s="49"/>
      <c r="JC70" s="49"/>
      <c r="JD70" s="49"/>
      <c r="JE70" s="49"/>
      <c r="JF70" s="49"/>
      <c r="JG70" s="49"/>
      <c r="JH70" s="49"/>
      <c r="JI70" s="49"/>
      <c r="JJ70" s="49"/>
      <c r="JK70" s="49"/>
      <c r="JL70" s="49"/>
      <c r="JM70" s="49"/>
      <c r="JN70" s="49"/>
      <c r="JO70" s="49"/>
      <c r="JP70" s="49"/>
      <c r="JQ70" s="49"/>
      <c r="JR70" s="49"/>
      <c r="JS70" s="49"/>
      <c r="JT70" s="49"/>
      <c r="JU70" s="49"/>
      <c r="JV70" s="49"/>
      <c r="JW70" s="49"/>
      <c r="JX70" s="49"/>
      <c r="JY70" s="49"/>
      <c r="JZ70" s="49"/>
      <c r="KA70" s="49"/>
      <c r="KB70" s="49"/>
      <c r="KC70" s="49"/>
      <c r="KD70" s="49"/>
      <c r="KE70" s="49"/>
      <c r="KF70" s="49"/>
      <c r="KG70" s="49"/>
      <c r="KH70" s="49"/>
      <c r="KI70" s="49"/>
      <c r="KJ70" s="49"/>
      <c r="KK70" s="49"/>
      <c r="KL70" s="49"/>
      <c r="KM70" s="49"/>
      <c r="KN70" s="49"/>
      <c r="KO70" s="49"/>
      <c r="KP70" s="49"/>
      <c r="KQ70" s="49"/>
      <c r="KR70" s="49"/>
      <c r="KS70" s="49"/>
      <c r="KT70" s="49"/>
      <c r="KU70" s="49"/>
      <c r="KV70" s="49"/>
      <c r="KW70" s="49"/>
      <c r="KX70" s="49"/>
      <c r="KY70" s="49"/>
      <c r="KZ70" s="49"/>
      <c r="LA70" s="49"/>
      <c r="LB70" s="49"/>
      <c r="LC70" s="49"/>
      <c r="LD70" s="49"/>
      <c r="LE70" s="49"/>
      <c r="LF70" s="49"/>
    </row>
    <row r="71" spans="1:318" ht="18" x14ac:dyDescent="0.25">
      <c r="A71" s="127"/>
      <c r="B71" s="126"/>
      <c r="C71" s="127">
        <v>5</v>
      </c>
      <c r="D71" s="126" t="s">
        <v>108</v>
      </c>
      <c r="E71" s="129" t="s">
        <v>116</v>
      </c>
      <c r="F71" s="128" t="s">
        <v>141</v>
      </c>
      <c r="G71" s="20" t="s">
        <v>56</v>
      </c>
      <c r="H71" s="23" t="s">
        <v>132</v>
      </c>
      <c r="I71" s="78" t="s">
        <v>269</v>
      </c>
      <c r="J71" s="78" t="s">
        <v>269</v>
      </c>
      <c r="K71" s="78" t="s">
        <v>269</v>
      </c>
      <c r="L71" s="78" t="s">
        <v>269</v>
      </c>
      <c r="M71" s="78" t="s">
        <v>269</v>
      </c>
      <c r="N71" s="78" t="s">
        <v>269</v>
      </c>
      <c r="O71" s="78" t="s">
        <v>269</v>
      </c>
      <c r="P71" s="78" t="s">
        <v>269</v>
      </c>
      <c r="Q71" s="78" t="s">
        <v>269</v>
      </c>
      <c r="R71" s="78" t="s">
        <v>269</v>
      </c>
      <c r="S71" s="78" t="s">
        <v>269</v>
      </c>
      <c r="T71" s="78" t="s">
        <v>269</v>
      </c>
      <c r="U71" s="78" t="s">
        <v>269</v>
      </c>
      <c r="V71" s="78" t="s">
        <v>269</v>
      </c>
      <c r="W71" s="78" t="s">
        <v>269</v>
      </c>
      <c r="X71" s="78" t="s">
        <v>269</v>
      </c>
      <c r="Y71" s="78" t="s">
        <v>269</v>
      </c>
      <c r="Z71" s="78" t="s">
        <v>269</v>
      </c>
      <c r="AA71" s="78" t="s">
        <v>269</v>
      </c>
      <c r="AB71" s="78" t="s">
        <v>269</v>
      </c>
      <c r="AC71" s="78" t="s">
        <v>269</v>
      </c>
      <c r="AD71" s="78" t="s">
        <v>269</v>
      </c>
      <c r="AE71" s="78" t="s">
        <v>269</v>
      </c>
      <c r="AF71" s="78" t="s">
        <v>269</v>
      </c>
      <c r="AG71" s="78" t="s">
        <v>269</v>
      </c>
      <c r="AH71" s="78" t="s">
        <v>269</v>
      </c>
      <c r="AI71" s="78" t="s">
        <v>269</v>
      </c>
      <c r="AJ71" s="78" t="s">
        <v>269</v>
      </c>
      <c r="AK71" s="78" t="s">
        <v>269</v>
      </c>
      <c r="AL71" s="78" t="s">
        <v>269</v>
      </c>
      <c r="AM71" s="78" t="s">
        <v>269</v>
      </c>
      <c r="AN71" s="78" t="s">
        <v>269</v>
      </c>
      <c r="AO71" s="78" t="s">
        <v>269</v>
      </c>
      <c r="AP71" s="78" t="s">
        <v>269</v>
      </c>
      <c r="AQ71" s="78" t="s">
        <v>269</v>
      </c>
      <c r="AR71" s="78" t="s">
        <v>269</v>
      </c>
      <c r="AS71" s="78" t="s">
        <v>269</v>
      </c>
      <c r="AT71" s="78" t="s">
        <v>269</v>
      </c>
      <c r="AU71" s="78" t="s">
        <v>269</v>
      </c>
      <c r="AV71" s="78" t="s">
        <v>269</v>
      </c>
      <c r="AW71" s="78"/>
      <c r="AX71" s="78"/>
      <c r="AY71" s="78"/>
      <c r="AZ71" s="78"/>
      <c r="BA71" s="78"/>
      <c r="BB71" s="122">
        <f t="shared" ref="BB71:CO71" si="178">IF(AND(I71="",I72=""),"",COUNTIF(I71:I72,"v"))</f>
        <v>2</v>
      </c>
      <c r="BC71" s="122">
        <f t="shared" si="178"/>
        <v>2</v>
      </c>
      <c r="BD71" s="122">
        <f t="shared" si="178"/>
        <v>2</v>
      </c>
      <c r="BE71" s="122">
        <f t="shared" si="178"/>
        <v>2</v>
      </c>
      <c r="BF71" s="122">
        <f t="shared" si="178"/>
        <v>2</v>
      </c>
      <c r="BG71" s="122">
        <f t="shared" si="178"/>
        <v>2</v>
      </c>
      <c r="BH71" s="122">
        <f t="shared" si="178"/>
        <v>2</v>
      </c>
      <c r="BI71" s="122">
        <f t="shared" si="178"/>
        <v>2</v>
      </c>
      <c r="BJ71" s="122">
        <f t="shared" si="178"/>
        <v>2</v>
      </c>
      <c r="BK71" s="122">
        <f t="shared" si="178"/>
        <v>2</v>
      </c>
      <c r="BL71" s="122">
        <f t="shared" si="178"/>
        <v>2</v>
      </c>
      <c r="BM71" s="122">
        <f t="shared" si="178"/>
        <v>2</v>
      </c>
      <c r="BN71" s="122">
        <f t="shared" si="178"/>
        <v>2</v>
      </c>
      <c r="BO71" s="122">
        <f t="shared" si="178"/>
        <v>2</v>
      </c>
      <c r="BP71" s="122">
        <f t="shared" si="178"/>
        <v>2</v>
      </c>
      <c r="BQ71" s="122">
        <f t="shared" si="178"/>
        <v>2</v>
      </c>
      <c r="BR71" s="122">
        <f t="shared" si="178"/>
        <v>2</v>
      </c>
      <c r="BS71" s="122">
        <f t="shared" si="178"/>
        <v>2</v>
      </c>
      <c r="BT71" s="122">
        <f t="shared" si="178"/>
        <v>2</v>
      </c>
      <c r="BU71" s="122">
        <f t="shared" si="178"/>
        <v>2</v>
      </c>
      <c r="BV71" s="122">
        <f t="shared" si="178"/>
        <v>2</v>
      </c>
      <c r="BW71" s="122">
        <f t="shared" si="178"/>
        <v>2</v>
      </c>
      <c r="BX71" s="122">
        <f t="shared" si="178"/>
        <v>2</v>
      </c>
      <c r="BY71" s="122">
        <f t="shared" si="178"/>
        <v>2</v>
      </c>
      <c r="BZ71" s="122">
        <f t="shared" si="178"/>
        <v>2</v>
      </c>
      <c r="CA71" s="122">
        <f t="shared" si="178"/>
        <v>2</v>
      </c>
      <c r="CB71" s="122">
        <f t="shared" si="178"/>
        <v>2</v>
      </c>
      <c r="CC71" s="122">
        <f t="shared" si="178"/>
        <v>2</v>
      </c>
      <c r="CD71" s="122">
        <f t="shared" si="178"/>
        <v>2</v>
      </c>
      <c r="CE71" s="122">
        <f t="shared" si="178"/>
        <v>2</v>
      </c>
      <c r="CF71" s="122">
        <f t="shared" si="178"/>
        <v>2</v>
      </c>
      <c r="CG71" s="122">
        <f t="shared" si="178"/>
        <v>2</v>
      </c>
      <c r="CH71" s="122">
        <f t="shared" si="178"/>
        <v>2</v>
      </c>
      <c r="CI71" s="122">
        <f t="shared" si="178"/>
        <v>2</v>
      </c>
      <c r="CJ71" s="122">
        <f t="shared" si="178"/>
        <v>2</v>
      </c>
      <c r="CK71" s="122">
        <f t="shared" si="178"/>
        <v>2</v>
      </c>
      <c r="CL71" s="122">
        <f t="shared" si="178"/>
        <v>2</v>
      </c>
      <c r="CM71" s="122">
        <f t="shared" si="178"/>
        <v>2</v>
      </c>
      <c r="CN71" s="122">
        <f t="shared" si="178"/>
        <v>2</v>
      </c>
      <c r="CO71" s="122">
        <f t="shared" si="178"/>
        <v>2</v>
      </c>
      <c r="CP71" s="122" t="str">
        <f t="shared" ref="CP71:CT71" si="179">IF(AND(AW71="",AW72=""),"",COUNTIF(AW71:AW72,"v"))</f>
        <v/>
      </c>
      <c r="CQ71" s="122" t="str">
        <f t="shared" si="179"/>
        <v/>
      </c>
      <c r="CR71" s="122" t="str">
        <f t="shared" si="179"/>
        <v/>
      </c>
      <c r="CS71" s="122" t="str">
        <f t="shared" si="179"/>
        <v/>
      </c>
      <c r="CT71" s="122" t="str">
        <f t="shared" si="179"/>
        <v/>
      </c>
      <c r="CU71" s="124">
        <f t="shared" ref="CU71:EH71" si="180">IF(BB71="","",IF(BB71&gt;=1,5,0))</f>
        <v>5</v>
      </c>
      <c r="CV71" s="124">
        <f t="shared" si="180"/>
        <v>5</v>
      </c>
      <c r="CW71" s="124">
        <f t="shared" si="180"/>
        <v>5</v>
      </c>
      <c r="CX71" s="124">
        <f t="shared" si="180"/>
        <v>5</v>
      </c>
      <c r="CY71" s="124">
        <f t="shared" si="180"/>
        <v>5</v>
      </c>
      <c r="CZ71" s="124">
        <f t="shared" si="180"/>
        <v>5</v>
      </c>
      <c r="DA71" s="124">
        <f t="shared" si="180"/>
        <v>5</v>
      </c>
      <c r="DB71" s="124">
        <f t="shared" si="180"/>
        <v>5</v>
      </c>
      <c r="DC71" s="124">
        <f t="shared" si="180"/>
        <v>5</v>
      </c>
      <c r="DD71" s="124">
        <f t="shared" si="180"/>
        <v>5</v>
      </c>
      <c r="DE71" s="124">
        <f t="shared" si="180"/>
        <v>5</v>
      </c>
      <c r="DF71" s="124">
        <f t="shared" si="180"/>
        <v>5</v>
      </c>
      <c r="DG71" s="124">
        <f t="shared" si="180"/>
        <v>5</v>
      </c>
      <c r="DH71" s="124">
        <f t="shared" si="180"/>
        <v>5</v>
      </c>
      <c r="DI71" s="124">
        <f t="shared" si="180"/>
        <v>5</v>
      </c>
      <c r="DJ71" s="124">
        <f t="shared" si="180"/>
        <v>5</v>
      </c>
      <c r="DK71" s="124">
        <f t="shared" si="180"/>
        <v>5</v>
      </c>
      <c r="DL71" s="124">
        <f t="shared" si="180"/>
        <v>5</v>
      </c>
      <c r="DM71" s="124">
        <f t="shared" si="180"/>
        <v>5</v>
      </c>
      <c r="DN71" s="124">
        <f t="shared" si="180"/>
        <v>5</v>
      </c>
      <c r="DO71" s="124">
        <f t="shared" si="180"/>
        <v>5</v>
      </c>
      <c r="DP71" s="124">
        <f t="shared" si="180"/>
        <v>5</v>
      </c>
      <c r="DQ71" s="124">
        <f t="shared" si="180"/>
        <v>5</v>
      </c>
      <c r="DR71" s="124">
        <f t="shared" si="180"/>
        <v>5</v>
      </c>
      <c r="DS71" s="124">
        <f t="shared" si="180"/>
        <v>5</v>
      </c>
      <c r="DT71" s="124">
        <f t="shared" si="180"/>
        <v>5</v>
      </c>
      <c r="DU71" s="124">
        <f t="shared" si="180"/>
        <v>5</v>
      </c>
      <c r="DV71" s="124">
        <f t="shared" si="180"/>
        <v>5</v>
      </c>
      <c r="DW71" s="124">
        <f t="shared" si="180"/>
        <v>5</v>
      </c>
      <c r="DX71" s="124">
        <f t="shared" si="180"/>
        <v>5</v>
      </c>
      <c r="DY71" s="124">
        <f t="shared" si="180"/>
        <v>5</v>
      </c>
      <c r="DZ71" s="124">
        <f t="shared" si="180"/>
        <v>5</v>
      </c>
      <c r="EA71" s="124">
        <f t="shared" si="180"/>
        <v>5</v>
      </c>
      <c r="EB71" s="124">
        <f t="shared" si="180"/>
        <v>5</v>
      </c>
      <c r="EC71" s="124">
        <f t="shared" si="180"/>
        <v>5</v>
      </c>
      <c r="ED71" s="124">
        <f t="shared" si="180"/>
        <v>5</v>
      </c>
      <c r="EE71" s="124">
        <f t="shared" si="180"/>
        <v>5</v>
      </c>
      <c r="EF71" s="124">
        <f t="shared" si="180"/>
        <v>5</v>
      </c>
      <c r="EG71" s="124">
        <f t="shared" si="180"/>
        <v>5</v>
      </c>
      <c r="EH71" s="124">
        <f t="shared" si="180"/>
        <v>5</v>
      </c>
      <c r="EI71" s="124" t="str">
        <f t="shared" ref="EI71:EM71" si="181">IF(CP71="","",IF(CP71&gt;=1,5,0))</f>
        <v/>
      </c>
      <c r="EJ71" s="124" t="str">
        <f t="shared" si="181"/>
        <v/>
      </c>
      <c r="EK71" s="124" t="str">
        <f t="shared" si="181"/>
        <v/>
      </c>
      <c r="EL71" s="124" t="str">
        <f t="shared" si="181"/>
        <v/>
      </c>
      <c r="EM71" s="124" t="str">
        <f t="shared" si="181"/>
        <v/>
      </c>
      <c r="EN71" s="118">
        <f t="shared" ref="EN71:FL71" si="182">IF(CU71="","",IF(CU71&gt;=1,5,0))</f>
        <v>5</v>
      </c>
      <c r="EO71" s="118">
        <f t="shared" si="182"/>
        <v>5</v>
      </c>
      <c r="EP71" s="118">
        <f t="shared" si="182"/>
        <v>5</v>
      </c>
      <c r="EQ71" s="118">
        <f t="shared" si="182"/>
        <v>5</v>
      </c>
      <c r="ER71" s="118">
        <f t="shared" si="182"/>
        <v>5</v>
      </c>
      <c r="ES71" s="118">
        <f t="shared" si="182"/>
        <v>5</v>
      </c>
      <c r="ET71" s="118">
        <f t="shared" si="182"/>
        <v>5</v>
      </c>
      <c r="EU71" s="118">
        <f t="shared" si="182"/>
        <v>5</v>
      </c>
      <c r="EV71" s="118">
        <f t="shared" si="182"/>
        <v>5</v>
      </c>
      <c r="EW71" s="118">
        <f t="shared" si="182"/>
        <v>5</v>
      </c>
      <c r="EX71" s="118">
        <f t="shared" si="182"/>
        <v>5</v>
      </c>
      <c r="EY71" s="118">
        <f t="shared" si="182"/>
        <v>5</v>
      </c>
      <c r="EZ71" s="118">
        <f t="shared" si="182"/>
        <v>5</v>
      </c>
      <c r="FA71" s="118">
        <f t="shared" si="182"/>
        <v>5</v>
      </c>
      <c r="FB71" s="118">
        <f t="shared" si="182"/>
        <v>5</v>
      </c>
      <c r="FC71" s="118">
        <f t="shared" si="182"/>
        <v>5</v>
      </c>
      <c r="FD71" s="118">
        <f t="shared" si="182"/>
        <v>5</v>
      </c>
      <c r="FE71" s="118">
        <f t="shared" si="182"/>
        <v>5</v>
      </c>
      <c r="FF71" s="118">
        <f t="shared" si="182"/>
        <v>5</v>
      </c>
      <c r="FG71" s="118">
        <f t="shared" si="182"/>
        <v>5</v>
      </c>
      <c r="FH71" s="118">
        <f t="shared" si="182"/>
        <v>5</v>
      </c>
      <c r="FI71" s="118">
        <f t="shared" si="182"/>
        <v>5</v>
      </c>
      <c r="FJ71" s="118">
        <f t="shared" si="182"/>
        <v>5</v>
      </c>
      <c r="FK71" s="118">
        <f t="shared" si="182"/>
        <v>5</v>
      </c>
      <c r="FL71" s="118">
        <f t="shared" si="182"/>
        <v>5</v>
      </c>
      <c r="FM71" s="118">
        <f t="shared" ref="FM71:GA71" si="183">IF(DT71="","",IF(DT71&gt;=1,5,0))</f>
        <v>5</v>
      </c>
      <c r="FN71" s="118">
        <f t="shared" si="183"/>
        <v>5</v>
      </c>
      <c r="FO71" s="118">
        <f t="shared" si="183"/>
        <v>5</v>
      </c>
      <c r="FP71" s="118">
        <f t="shared" si="183"/>
        <v>5</v>
      </c>
      <c r="FQ71" s="118">
        <f t="shared" si="183"/>
        <v>5</v>
      </c>
      <c r="FR71" s="118">
        <f t="shared" si="183"/>
        <v>5</v>
      </c>
      <c r="FS71" s="118">
        <f t="shared" si="183"/>
        <v>5</v>
      </c>
      <c r="FT71" s="118">
        <f t="shared" si="183"/>
        <v>5</v>
      </c>
      <c r="FU71" s="118">
        <f t="shared" si="183"/>
        <v>5</v>
      </c>
      <c r="FV71" s="118">
        <f t="shared" si="183"/>
        <v>5</v>
      </c>
      <c r="FW71" s="118">
        <f t="shared" si="183"/>
        <v>5</v>
      </c>
      <c r="FX71" s="118">
        <f t="shared" si="183"/>
        <v>5</v>
      </c>
      <c r="FY71" s="118">
        <f t="shared" si="183"/>
        <v>5</v>
      </c>
      <c r="FZ71" s="118">
        <f t="shared" si="183"/>
        <v>5</v>
      </c>
      <c r="GA71" s="118">
        <f t="shared" si="183"/>
        <v>5</v>
      </c>
      <c r="GB71" s="118" t="str">
        <f t="shared" ref="GB71" si="184">IF(EI71="","",IF(EI71&gt;=1,5,0))</f>
        <v/>
      </c>
      <c r="GC71" s="118" t="str">
        <f t="shared" ref="GC71" si="185">IF(EJ71="","",IF(EJ71&gt;=1,5,0))</f>
        <v/>
      </c>
      <c r="GD71" s="118" t="str">
        <f t="shared" ref="GD71" si="186">IF(EK71="","",IF(EK71&gt;=1,5,0))</f>
        <v/>
      </c>
      <c r="GE71" s="118" t="str">
        <f t="shared" ref="GE71" si="187">IF(EL71="","",IF(EL71&gt;=1,5,0))</f>
        <v/>
      </c>
      <c r="GF71" s="118" t="str">
        <f t="shared" ref="GF71" si="188">IF(EM71="","",IF(EM71&gt;=1,5,0))</f>
        <v/>
      </c>
      <c r="GG71" s="116"/>
      <c r="GH71" s="116"/>
      <c r="GI71" s="116"/>
      <c r="GJ71" s="116"/>
      <c r="GK71" s="116"/>
      <c r="GL71" s="116"/>
      <c r="GM71" s="116"/>
      <c r="GN71" s="116"/>
      <c r="GO71" s="116"/>
      <c r="GP71" s="116"/>
      <c r="GQ71" s="116"/>
      <c r="GR71" s="116"/>
      <c r="GS71" s="116"/>
      <c r="GT71" s="116"/>
      <c r="GU71" s="116"/>
      <c r="GV71" s="116"/>
      <c r="GW71" s="116"/>
      <c r="GX71" s="116"/>
      <c r="GY71" s="116"/>
      <c r="GZ71" s="116"/>
      <c r="HA71" s="116"/>
      <c r="HB71" s="116"/>
      <c r="HC71" s="116"/>
      <c r="HD71" s="116"/>
      <c r="HE71" s="116"/>
      <c r="HF71" s="116"/>
      <c r="HG71" s="116"/>
      <c r="HH71" s="116"/>
      <c r="HI71" s="116"/>
      <c r="HJ71" s="116"/>
      <c r="HK71" s="116"/>
      <c r="HL71" s="116"/>
      <c r="HM71" s="116"/>
      <c r="HN71" s="116"/>
      <c r="HO71" s="116"/>
      <c r="HP71" s="116"/>
      <c r="HQ71" s="116"/>
      <c r="HR71" s="116"/>
      <c r="HS71" s="116"/>
      <c r="HT71" s="116"/>
      <c r="HU71" s="116"/>
      <c r="HV71" s="116"/>
      <c r="HW71" s="116"/>
      <c r="HX71" s="116"/>
      <c r="HY71" s="116"/>
      <c r="HZ71" s="49"/>
      <c r="IA71" s="49"/>
      <c r="IB71" s="49"/>
      <c r="IC71" s="49"/>
      <c r="ID71" s="49"/>
      <c r="IE71" s="49"/>
      <c r="IF71" s="49"/>
      <c r="IG71" s="49"/>
      <c r="IH71" s="49"/>
      <c r="II71" s="49"/>
      <c r="IJ71" s="49"/>
      <c r="IK71" s="49"/>
      <c r="IL71" s="49"/>
      <c r="IM71" s="49"/>
      <c r="IN71" s="49"/>
      <c r="IO71" s="49"/>
      <c r="IP71" s="49"/>
      <c r="IQ71" s="49"/>
      <c r="IR71" s="49"/>
      <c r="IS71" s="49"/>
      <c r="IT71" s="49"/>
      <c r="IU71" s="49"/>
      <c r="IV71" s="49"/>
      <c r="IW71" s="49"/>
      <c r="IX71" s="49"/>
      <c r="IY71" s="49"/>
      <c r="IZ71" s="49"/>
      <c r="JA71" s="49"/>
      <c r="JB71" s="49"/>
      <c r="JC71" s="49"/>
      <c r="JD71" s="49"/>
      <c r="JE71" s="49"/>
      <c r="JF71" s="49"/>
      <c r="JG71" s="49"/>
      <c r="JH71" s="49"/>
      <c r="JI71" s="49"/>
      <c r="JJ71" s="49"/>
      <c r="JK71" s="49"/>
      <c r="JL71" s="49"/>
      <c r="JM71" s="49"/>
      <c r="JN71" s="49"/>
      <c r="JO71" s="49"/>
      <c r="JP71" s="49"/>
      <c r="JQ71" s="49"/>
      <c r="JR71" s="49"/>
      <c r="JS71" s="49"/>
      <c r="JT71" s="49"/>
      <c r="JU71" s="49"/>
      <c r="JV71" s="49"/>
      <c r="JW71" s="49"/>
      <c r="JX71" s="49"/>
      <c r="JY71" s="49"/>
      <c r="JZ71" s="49"/>
      <c r="KA71" s="49"/>
      <c r="KB71" s="49"/>
      <c r="KC71" s="49"/>
      <c r="KD71" s="49"/>
      <c r="KE71" s="49"/>
      <c r="KF71" s="49"/>
      <c r="KG71" s="49"/>
      <c r="KH71" s="49"/>
      <c r="KI71" s="49"/>
      <c r="KJ71" s="49"/>
      <c r="KK71" s="49"/>
      <c r="KL71" s="49"/>
      <c r="KM71" s="49"/>
      <c r="KN71" s="49"/>
      <c r="KO71" s="49"/>
      <c r="KP71" s="49"/>
      <c r="KQ71" s="49"/>
      <c r="KR71" s="49"/>
      <c r="KS71" s="49"/>
      <c r="KT71" s="49"/>
      <c r="KU71" s="49"/>
      <c r="KV71" s="49"/>
      <c r="KW71" s="49"/>
      <c r="KX71" s="49"/>
      <c r="KY71" s="49"/>
      <c r="KZ71" s="49"/>
      <c r="LA71" s="49"/>
      <c r="LB71" s="49"/>
      <c r="LC71" s="49"/>
      <c r="LD71" s="49"/>
      <c r="LE71" s="49"/>
      <c r="LF71" s="49"/>
    </row>
    <row r="72" spans="1:318" ht="32.450000000000003" customHeight="1" x14ac:dyDescent="0.25">
      <c r="A72" s="127"/>
      <c r="B72" s="126"/>
      <c r="C72" s="127"/>
      <c r="D72" s="126"/>
      <c r="E72" s="129"/>
      <c r="F72" s="128"/>
      <c r="G72" s="20" t="s">
        <v>56</v>
      </c>
      <c r="H72" s="23" t="s">
        <v>133</v>
      </c>
      <c r="I72" s="78" t="s">
        <v>269</v>
      </c>
      <c r="J72" s="78" t="s">
        <v>269</v>
      </c>
      <c r="K72" s="78" t="s">
        <v>269</v>
      </c>
      <c r="L72" s="78" t="s">
        <v>269</v>
      </c>
      <c r="M72" s="78" t="s">
        <v>269</v>
      </c>
      <c r="N72" s="78" t="s">
        <v>269</v>
      </c>
      <c r="O72" s="78" t="s">
        <v>269</v>
      </c>
      <c r="P72" s="78" t="s">
        <v>269</v>
      </c>
      <c r="Q72" s="78" t="s">
        <v>269</v>
      </c>
      <c r="R72" s="78" t="s">
        <v>269</v>
      </c>
      <c r="S72" s="78" t="s">
        <v>269</v>
      </c>
      <c r="T72" s="78" t="s">
        <v>269</v>
      </c>
      <c r="U72" s="78" t="s">
        <v>269</v>
      </c>
      <c r="V72" s="78" t="s">
        <v>269</v>
      </c>
      <c r="W72" s="78" t="s">
        <v>269</v>
      </c>
      <c r="X72" s="78" t="s">
        <v>269</v>
      </c>
      <c r="Y72" s="78" t="s">
        <v>269</v>
      </c>
      <c r="Z72" s="78" t="s">
        <v>269</v>
      </c>
      <c r="AA72" s="78" t="s">
        <v>269</v>
      </c>
      <c r="AB72" s="78" t="s">
        <v>269</v>
      </c>
      <c r="AC72" s="78" t="s">
        <v>269</v>
      </c>
      <c r="AD72" s="78" t="s">
        <v>269</v>
      </c>
      <c r="AE72" s="78" t="s">
        <v>269</v>
      </c>
      <c r="AF72" s="78" t="s">
        <v>269</v>
      </c>
      <c r="AG72" s="78" t="s">
        <v>269</v>
      </c>
      <c r="AH72" s="78" t="s">
        <v>269</v>
      </c>
      <c r="AI72" s="78" t="s">
        <v>269</v>
      </c>
      <c r="AJ72" s="78" t="s">
        <v>269</v>
      </c>
      <c r="AK72" s="78" t="s">
        <v>269</v>
      </c>
      <c r="AL72" s="78" t="s">
        <v>269</v>
      </c>
      <c r="AM72" s="78" t="s">
        <v>269</v>
      </c>
      <c r="AN72" s="78" t="s">
        <v>269</v>
      </c>
      <c r="AO72" s="78" t="s">
        <v>269</v>
      </c>
      <c r="AP72" s="78" t="s">
        <v>269</v>
      </c>
      <c r="AQ72" s="78" t="s">
        <v>269</v>
      </c>
      <c r="AR72" s="78" t="s">
        <v>269</v>
      </c>
      <c r="AS72" s="78" t="s">
        <v>269</v>
      </c>
      <c r="AT72" s="78" t="s">
        <v>269</v>
      </c>
      <c r="AU72" s="78" t="s">
        <v>269</v>
      </c>
      <c r="AV72" s="78" t="s">
        <v>269</v>
      </c>
      <c r="AW72" s="78"/>
      <c r="AX72" s="78"/>
      <c r="AY72" s="78"/>
      <c r="AZ72" s="78"/>
      <c r="BA72" s="78"/>
      <c r="BB72" s="122"/>
      <c r="BC72" s="122"/>
      <c r="BD72" s="122"/>
      <c r="BE72" s="122"/>
      <c r="BF72" s="122"/>
      <c r="BG72" s="122"/>
      <c r="BH72" s="122"/>
      <c r="BI72" s="122"/>
      <c r="BJ72" s="122"/>
      <c r="BK72" s="122"/>
      <c r="BL72" s="122"/>
      <c r="BM72" s="122"/>
      <c r="BN72" s="122"/>
      <c r="BO72" s="122"/>
      <c r="BP72" s="122"/>
      <c r="BQ72" s="122"/>
      <c r="BR72" s="122"/>
      <c r="BS72" s="122"/>
      <c r="BT72" s="122"/>
      <c r="BU72" s="122"/>
      <c r="BV72" s="122"/>
      <c r="BW72" s="122"/>
      <c r="BX72" s="122"/>
      <c r="BY72" s="122"/>
      <c r="BZ72" s="122"/>
      <c r="CA72" s="122"/>
      <c r="CB72" s="122"/>
      <c r="CC72" s="122"/>
      <c r="CD72" s="122"/>
      <c r="CE72" s="122"/>
      <c r="CF72" s="122"/>
      <c r="CG72" s="122"/>
      <c r="CH72" s="122"/>
      <c r="CI72" s="122"/>
      <c r="CJ72" s="122"/>
      <c r="CK72" s="122"/>
      <c r="CL72" s="122"/>
      <c r="CM72" s="122"/>
      <c r="CN72" s="122"/>
      <c r="CO72" s="122"/>
      <c r="CP72" s="122"/>
      <c r="CQ72" s="122"/>
      <c r="CR72" s="122"/>
      <c r="CS72" s="122"/>
      <c r="CT72" s="122"/>
      <c r="CU72" s="124"/>
      <c r="CV72" s="124"/>
      <c r="CW72" s="124"/>
      <c r="CX72" s="124"/>
      <c r="CY72" s="124"/>
      <c r="CZ72" s="124"/>
      <c r="DA72" s="124"/>
      <c r="DB72" s="124"/>
      <c r="DC72" s="124"/>
      <c r="DD72" s="124"/>
      <c r="DE72" s="124"/>
      <c r="DF72" s="124"/>
      <c r="DG72" s="124"/>
      <c r="DH72" s="124"/>
      <c r="DI72" s="124"/>
      <c r="DJ72" s="124"/>
      <c r="DK72" s="124"/>
      <c r="DL72" s="124"/>
      <c r="DM72" s="124"/>
      <c r="DN72" s="124"/>
      <c r="DO72" s="124"/>
      <c r="DP72" s="124"/>
      <c r="DQ72" s="124"/>
      <c r="DR72" s="124"/>
      <c r="DS72" s="124"/>
      <c r="DT72" s="124"/>
      <c r="DU72" s="124"/>
      <c r="DV72" s="124"/>
      <c r="DW72" s="124"/>
      <c r="DX72" s="124"/>
      <c r="DY72" s="124"/>
      <c r="DZ72" s="124"/>
      <c r="EA72" s="124"/>
      <c r="EB72" s="124"/>
      <c r="EC72" s="124"/>
      <c r="ED72" s="124"/>
      <c r="EE72" s="124"/>
      <c r="EF72" s="124"/>
      <c r="EG72" s="124"/>
      <c r="EH72" s="124"/>
      <c r="EI72" s="124"/>
      <c r="EJ72" s="124"/>
      <c r="EK72" s="124"/>
      <c r="EL72" s="124"/>
      <c r="EM72" s="124"/>
      <c r="EN72" s="118"/>
      <c r="EO72" s="118"/>
      <c r="EP72" s="118"/>
      <c r="EQ72" s="118"/>
      <c r="ER72" s="118"/>
      <c r="ES72" s="118"/>
      <c r="ET72" s="118"/>
      <c r="EU72" s="118"/>
      <c r="EV72" s="118"/>
      <c r="EW72" s="118"/>
      <c r="EX72" s="118"/>
      <c r="EY72" s="118"/>
      <c r="EZ72" s="118"/>
      <c r="FA72" s="118"/>
      <c r="FB72" s="118"/>
      <c r="FC72" s="118"/>
      <c r="FD72" s="118"/>
      <c r="FE72" s="118"/>
      <c r="FF72" s="118"/>
      <c r="FG72" s="118"/>
      <c r="FH72" s="118"/>
      <c r="FI72" s="118"/>
      <c r="FJ72" s="118"/>
      <c r="FK72" s="118"/>
      <c r="FL72" s="118"/>
      <c r="FM72" s="118"/>
      <c r="FN72" s="118"/>
      <c r="FO72" s="118"/>
      <c r="FP72" s="118"/>
      <c r="FQ72" s="118"/>
      <c r="FR72" s="118"/>
      <c r="FS72" s="118"/>
      <c r="FT72" s="118"/>
      <c r="FU72" s="118"/>
      <c r="FV72" s="118"/>
      <c r="FW72" s="118"/>
      <c r="FX72" s="118"/>
      <c r="FY72" s="118"/>
      <c r="FZ72" s="118"/>
      <c r="GA72" s="118"/>
      <c r="GB72" s="118"/>
      <c r="GC72" s="118"/>
      <c r="GD72" s="118"/>
      <c r="GE72" s="118"/>
      <c r="GF72" s="118"/>
      <c r="GG72" s="116"/>
      <c r="GH72" s="116"/>
      <c r="GI72" s="116"/>
      <c r="GJ72" s="116"/>
      <c r="GK72" s="116"/>
      <c r="GL72" s="116"/>
      <c r="GM72" s="116"/>
      <c r="GN72" s="116"/>
      <c r="GO72" s="116"/>
      <c r="GP72" s="116"/>
      <c r="GQ72" s="116"/>
      <c r="GR72" s="116"/>
      <c r="GS72" s="116"/>
      <c r="GT72" s="116"/>
      <c r="GU72" s="116"/>
      <c r="GV72" s="116"/>
      <c r="GW72" s="116"/>
      <c r="GX72" s="116"/>
      <c r="GY72" s="116"/>
      <c r="GZ72" s="116"/>
      <c r="HA72" s="116"/>
      <c r="HB72" s="116"/>
      <c r="HC72" s="116"/>
      <c r="HD72" s="116"/>
      <c r="HE72" s="116"/>
      <c r="HF72" s="116"/>
      <c r="HG72" s="116"/>
      <c r="HH72" s="116"/>
      <c r="HI72" s="116"/>
      <c r="HJ72" s="116"/>
      <c r="HK72" s="116"/>
      <c r="HL72" s="116"/>
      <c r="HM72" s="116"/>
      <c r="HN72" s="116"/>
      <c r="HO72" s="116"/>
      <c r="HP72" s="116"/>
      <c r="HQ72" s="116"/>
      <c r="HR72" s="116"/>
      <c r="HS72" s="116"/>
      <c r="HT72" s="116"/>
      <c r="HU72" s="116"/>
      <c r="HV72" s="116"/>
      <c r="HW72" s="116"/>
      <c r="HX72" s="116"/>
      <c r="HY72" s="116"/>
      <c r="HZ72" s="49"/>
      <c r="IA72" s="49"/>
      <c r="IB72" s="49"/>
      <c r="IC72" s="49"/>
      <c r="ID72" s="49"/>
      <c r="IE72" s="49"/>
      <c r="IF72" s="49"/>
      <c r="IG72" s="49"/>
      <c r="IH72" s="49"/>
      <c r="II72" s="49"/>
      <c r="IJ72" s="49"/>
      <c r="IK72" s="49"/>
      <c r="IL72" s="49"/>
      <c r="IM72" s="49"/>
      <c r="IN72" s="49"/>
      <c r="IO72" s="49"/>
      <c r="IP72" s="49"/>
      <c r="IQ72" s="49"/>
      <c r="IR72" s="49"/>
      <c r="IS72" s="49"/>
      <c r="IT72" s="49"/>
      <c r="IU72" s="49"/>
      <c r="IV72" s="49"/>
      <c r="IW72" s="49"/>
      <c r="IX72" s="49"/>
      <c r="IY72" s="49"/>
      <c r="IZ72" s="49"/>
      <c r="JA72" s="49"/>
      <c r="JB72" s="49"/>
      <c r="JC72" s="49"/>
      <c r="JD72" s="49"/>
      <c r="JE72" s="49"/>
      <c r="JF72" s="49"/>
      <c r="JG72" s="49"/>
      <c r="JH72" s="49"/>
      <c r="JI72" s="49"/>
      <c r="JJ72" s="49"/>
      <c r="JK72" s="49"/>
      <c r="JL72" s="49"/>
      <c r="JM72" s="49"/>
      <c r="JN72" s="49"/>
      <c r="JO72" s="49"/>
      <c r="JP72" s="49"/>
      <c r="JQ72" s="49"/>
      <c r="JR72" s="49"/>
      <c r="JS72" s="49"/>
      <c r="JT72" s="49"/>
      <c r="JU72" s="49"/>
      <c r="JV72" s="49"/>
      <c r="JW72" s="49"/>
      <c r="JX72" s="49"/>
      <c r="JY72" s="49"/>
      <c r="JZ72" s="49"/>
      <c r="KA72" s="49"/>
      <c r="KB72" s="49"/>
      <c r="KC72" s="49"/>
      <c r="KD72" s="49"/>
      <c r="KE72" s="49"/>
      <c r="KF72" s="49"/>
      <c r="KG72" s="49"/>
      <c r="KH72" s="49"/>
      <c r="KI72" s="49"/>
      <c r="KJ72" s="49"/>
      <c r="KK72" s="49"/>
      <c r="KL72" s="49"/>
      <c r="KM72" s="49"/>
      <c r="KN72" s="49"/>
      <c r="KO72" s="49"/>
      <c r="KP72" s="49"/>
      <c r="KQ72" s="49"/>
      <c r="KR72" s="49"/>
      <c r="KS72" s="49"/>
      <c r="KT72" s="49"/>
      <c r="KU72" s="49"/>
      <c r="KV72" s="49"/>
      <c r="KW72" s="49"/>
      <c r="KX72" s="49"/>
      <c r="KY72" s="49"/>
      <c r="KZ72" s="49"/>
      <c r="LA72" s="49"/>
      <c r="LB72" s="49"/>
      <c r="LC72" s="49"/>
      <c r="LD72" s="49"/>
      <c r="LE72" s="49"/>
      <c r="LF72" s="49"/>
    </row>
    <row r="73" spans="1:318" ht="18" x14ac:dyDescent="0.25">
      <c r="A73" s="127"/>
      <c r="B73" s="126"/>
      <c r="C73" s="127">
        <v>6</v>
      </c>
      <c r="D73" s="126" t="s">
        <v>109</v>
      </c>
      <c r="E73" s="129" t="s">
        <v>117</v>
      </c>
      <c r="F73" s="128" t="s">
        <v>142</v>
      </c>
      <c r="G73" s="20" t="s">
        <v>56</v>
      </c>
      <c r="H73" s="23" t="s">
        <v>134</v>
      </c>
      <c r="I73" s="78" t="s">
        <v>269</v>
      </c>
      <c r="J73" s="78" t="s">
        <v>269</v>
      </c>
      <c r="K73" s="78" t="s">
        <v>269</v>
      </c>
      <c r="L73" s="78" t="s">
        <v>269</v>
      </c>
      <c r="M73" s="78" t="s">
        <v>269</v>
      </c>
      <c r="N73" s="78" t="s">
        <v>269</v>
      </c>
      <c r="O73" s="78" t="s">
        <v>269</v>
      </c>
      <c r="P73" s="78" t="s">
        <v>269</v>
      </c>
      <c r="Q73" s="78" t="s">
        <v>269</v>
      </c>
      <c r="R73" s="78" t="s">
        <v>269</v>
      </c>
      <c r="S73" s="78" t="s">
        <v>269</v>
      </c>
      <c r="T73" s="78" t="s">
        <v>269</v>
      </c>
      <c r="U73" s="78" t="s">
        <v>269</v>
      </c>
      <c r="V73" s="78" t="s">
        <v>269</v>
      </c>
      <c r="W73" s="78" t="s">
        <v>269</v>
      </c>
      <c r="X73" s="78" t="s">
        <v>269</v>
      </c>
      <c r="Y73" s="78" t="s">
        <v>269</v>
      </c>
      <c r="Z73" s="78" t="s">
        <v>269</v>
      </c>
      <c r="AA73" s="78" t="s">
        <v>269</v>
      </c>
      <c r="AB73" s="78" t="s">
        <v>269</v>
      </c>
      <c r="AC73" s="78" t="s">
        <v>269</v>
      </c>
      <c r="AD73" s="78" t="s">
        <v>269</v>
      </c>
      <c r="AE73" s="78" t="s">
        <v>269</v>
      </c>
      <c r="AF73" s="78" t="s">
        <v>269</v>
      </c>
      <c r="AG73" s="78" t="s">
        <v>269</v>
      </c>
      <c r="AH73" s="78" t="s">
        <v>269</v>
      </c>
      <c r="AI73" s="78" t="s">
        <v>269</v>
      </c>
      <c r="AJ73" s="78" t="s">
        <v>269</v>
      </c>
      <c r="AK73" s="78" t="s">
        <v>269</v>
      </c>
      <c r="AL73" s="78" t="s">
        <v>269</v>
      </c>
      <c r="AM73" s="78" t="s">
        <v>269</v>
      </c>
      <c r="AN73" s="78" t="s">
        <v>269</v>
      </c>
      <c r="AO73" s="78" t="s">
        <v>269</v>
      </c>
      <c r="AP73" s="78" t="s">
        <v>269</v>
      </c>
      <c r="AQ73" s="78" t="s">
        <v>269</v>
      </c>
      <c r="AR73" s="78" t="s">
        <v>269</v>
      </c>
      <c r="AS73" s="78" t="s">
        <v>269</v>
      </c>
      <c r="AT73" s="78" t="s">
        <v>269</v>
      </c>
      <c r="AU73" s="78" t="s">
        <v>269</v>
      </c>
      <c r="AV73" s="78" t="s">
        <v>269</v>
      </c>
      <c r="AW73" s="78"/>
      <c r="AX73" s="78"/>
      <c r="AY73" s="78"/>
      <c r="AZ73" s="78"/>
      <c r="BA73" s="78"/>
      <c r="BB73" s="122">
        <f t="shared" ref="BB73:CO73" si="189">IF(AND(I73="",I74="",I75=""),"",COUNTIF(I73:I75,"v"))</f>
        <v>3</v>
      </c>
      <c r="BC73" s="122">
        <f t="shared" si="189"/>
        <v>3</v>
      </c>
      <c r="BD73" s="122">
        <f t="shared" si="189"/>
        <v>3</v>
      </c>
      <c r="BE73" s="122">
        <f t="shared" si="189"/>
        <v>3</v>
      </c>
      <c r="BF73" s="122">
        <f t="shared" si="189"/>
        <v>3</v>
      </c>
      <c r="BG73" s="122">
        <f t="shared" si="189"/>
        <v>3</v>
      </c>
      <c r="BH73" s="122">
        <f t="shared" si="189"/>
        <v>3</v>
      </c>
      <c r="BI73" s="122">
        <f t="shared" si="189"/>
        <v>3</v>
      </c>
      <c r="BJ73" s="122">
        <f t="shared" si="189"/>
        <v>3</v>
      </c>
      <c r="BK73" s="122">
        <f t="shared" si="189"/>
        <v>3</v>
      </c>
      <c r="BL73" s="122">
        <f t="shared" si="189"/>
        <v>3</v>
      </c>
      <c r="BM73" s="122">
        <f t="shared" si="189"/>
        <v>3</v>
      </c>
      <c r="BN73" s="122">
        <f t="shared" si="189"/>
        <v>3</v>
      </c>
      <c r="BO73" s="122">
        <f t="shared" si="189"/>
        <v>3</v>
      </c>
      <c r="BP73" s="122">
        <f t="shared" si="189"/>
        <v>3</v>
      </c>
      <c r="BQ73" s="122">
        <f t="shared" si="189"/>
        <v>3</v>
      </c>
      <c r="BR73" s="122">
        <f t="shared" si="189"/>
        <v>3</v>
      </c>
      <c r="BS73" s="122">
        <f t="shared" si="189"/>
        <v>3</v>
      </c>
      <c r="BT73" s="122">
        <f t="shared" si="189"/>
        <v>3</v>
      </c>
      <c r="BU73" s="122">
        <f t="shared" si="189"/>
        <v>3</v>
      </c>
      <c r="BV73" s="122">
        <f t="shared" si="189"/>
        <v>3</v>
      </c>
      <c r="BW73" s="122">
        <f t="shared" si="189"/>
        <v>3</v>
      </c>
      <c r="BX73" s="122">
        <f t="shared" si="189"/>
        <v>3</v>
      </c>
      <c r="BY73" s="122">
        <f t="shared" si="189"/>
        <v>3</v>
      </c>
      <c r="BZ73" s="122">
        <f t="shared" si="189"/>
        <v>3</v>
      </c>
      <c r="CA73" s="122">
        <f t="shared" si="189"/>
        <v>3</v>
      </c>
      <c r="CB73" s="122">
        <f t="shared" si="189"/>
        <v>3</v>
      </c>
      <c r="CC73" s="122">
        <f t="shared" si="189"/>
        <v>3</v>
      </c>
      <c r="CD73" s="122">
        <f t="shared" si="189"/>
        <v>3</v>
      </c>
      <c r="CE73" s="122">
        <f t="shared" si="189"/>
        <v>3</v>
      </c>
      <c r="CF73" s="122">
        <f t="shared" si="189"/>
        <v>3</v>
      </c>
      <c r="CG73" s="122">
        <f t="shared" si="189"/>
        <v>3</v>
      </c>
      <c r="CH73" s="122">
        <f t="shared" si="189"/>
        <v>3</v>
      </c>
      <c r="CI73" s="122">
        <f t="shared" si="189"/>
        <v>3</v>
      </c>
      <c r="CJ73" s="122">
        <f t="shared" si="189"/>
        <v>3</v>
      </c>
      <c r="CK73" s="122">
        <f t="shared" si="189"/>
        <v>3</v>
      </c>
      <c r="CL73" s="122">
        <f t="shared" si="189"/>
        <v>3</v>
      </c>
      <c r="CM73" s="122">
        <f t="shared" si="189"/>
        <v>3</v>
      </c>
      <c r="CN73" s="122">
        <f t="shared" si="189"/>
        <v>3</v>
      </c>
      <c r="CO73" s="122">
        <f t="shared" si="189"/>
        <v>3</v>
      </c>
      <c r="CP73" s="122" t="str">
        <f t="shared" ref="CP73:CT73" si="190">IF(AND(AW73="",AW74="",AW75=""),"",COUNTIF(AW73:AW75,"v"))</f>
        <v/>
      </c>
      <c r="CQ73" s="122" t="str">
        <f t="shared" si="190"/>
        <v/>
      </c>
      <c r="CR73" s="122" t="str">
        <f t="shared" si="190"/>
        <v/>
      </c>
      <c r="CS73" s="122" t="str">
        <f t="shared" si="190"/>
        <v/>
      </c>
      <c r="CT73" s="122" t="str">
        <f t="shared" si="190"/>
        <v/>
      </c>
      <c r="CU73" s="124">
        <f t="shared" ref="CU73:EH73" si="191">IF(BB73="","",IF(BB73&gt;=1,6,0))</f>
        <v>6</v>
      </c>
      <c r="CV73" s="124">
        <f t="shared" si="191"/>
        <v>6</v>
      </c>
      <c r="CW73" s="124">
        <f t="shared" si="191"/>
        <v>6</v>
      </c>
      <c r="CX73" s="124">
        <f t="shared" si="191"/>
        <v>6</v>
      </c>
      <c r="CY73" s="124">
        <f t="shared" si="191"/>
        <v>6</v>
      </c>
      <c r="CZ73" s="124">
        <f t="shared" si="191"/>
        <v>6</v>
      </c>
      <c r="DA73" s="124">
        <f t="shared" si="191"/>
        <v>6</v>
      </c>
      <c r="DB73" s="124">
        <f t="shared" si="191"/>
        <v>6</v>
      </c>
      <c r="DC73" s="124">
        <f t="shared" si="191"/>
        <v>6</v>
      </c>
      <c r="DD73" s="124">
        <f t="shared" si="191"/>
        <v>6</v>
      </c>
      <c r="DE73" s="124">
        <f t="shared" si="191"/>
        <v>6</v>
      </c>
      <c r="DF73" s="124">
        <f t="shared" si="191"/>
        <v>6</v>
      </c>
      <c r="DG73" s="124">
        <f t="shared" si="191"/>
        <v>6</v>
      </c>
      <c r="DH73" s="124">
        <f t="shared" si="191"/>
        <v>6</v>
      </c>
      <c r="DI73" s="124">
        <f t="shared" si="191"/>
        <v>6</v>
      </c>
      <c r="DJ73" s="124">
        <f t="shared" si="191"/>
        <v>6</v>
      </c>
      <c r="DK73" s="124">
        <f t="shared" si="191"/>
        <v>6</v>
      </c>
      <c r="DL73" s="124">
        <f t="shared" si="191"/>
        <v>6</v>
      </c>
      <c r="DM73" s="124">
        <f t="shared" si="191"/>
        <v>6</v>
      </c>
      <c r="DN73" s="124">
        <f t="shared" si="191"/>
        <v>6</v>
      </c>
      <c r="DO73" s="124">
        <f t="shared" si="191"/>
        <v>6</v>
      </c>
      <c r="DP73" s="124">
        <f t="shared" si="191"/>
        <v>6</v>
      </c>
      <c r="DQ73" s="124">
        <f t="shared" si="191"/>
        <v>6</v>
      </c>
      <c r="DR73" s="124">
        <f t="shared" si="191"/>
        <v>6</v>
      </c>
      <c r="DS73" s="124">
        <f t="shared" si="191"/>
        <v>6</v>
      </c>
      <c r="DT73" s="124">
        <f t="shared" si="191"/>
        <v>6</v>
      </c>
      <c r="DU73" s="124">
        <f t="shared" si="191"/>
        <v>6</v>
      </c>
      <c r="DV73" s="124">
        <f t="shared" si="191"/>
        <v>6</v>
      </c>
      <c r="DW73" s="124">
        <f t="shared" si="191"/>
        <v>6</v>
      </c>
      <c r="DX73" s="124">
        <f t="shared" si="191"/>
        <v>6</v>
      </c>
      <c r="DY73" s="124">
        <f t="shared" si="191"/>
        <v>6</v>
      </c>
      <c r="DZ73" s="124">
        <f t="shared" si="191"/>
        <v>6</v>
      </c>
      <c r="EA73" s="124">
        <f t="shared" si="191"/>
        <v>6</v>
      </c>
      <c r="EB73" s="124">
        <f t="shared" si="191"/>
        <v>6</v>
      </c>
      <c r="EC73" s="124">
        <f t="shared" si="191"/>
        <v>6</v>
      </c>
      <c r="ED73" s="124">
        <f t="shared" si="191"/>
        <v>6</v>
      </c>
      <c r="EE73" s="124">
        <f t="shared" si="191"/>
        <v>6</v>
      </c>
      <c r="EF73" s="124">
        <f t="shared" si="191"/>
        <v>6</v>
      </c>
      <c r="EG73" s="124">
        <f t="shared" si="191"/>
        <v>6</v>
      </c>
      <c r="EH73" s="124">
        <f t="shared" si="191"/>
        <v>6</v>
      </c>
      <c r="EI73" s="124" t="str">
        <f t="shared" ref="EI73:EM73" si="192">IF(CP73="","",IF(CP73&gt;=1,6,0))</f>
        <v/>
      </c>
      <c r="EJ73" s="124" t="str">
        <f t="shared" si="192"/>
        <v/>
      </c>
      <c r="EK73" s="124" t="str">
        <f t="shared" si="192"/>
        <v/>
      </c>
      <c r="EL73" s="124" t="str">
        <f t="shared" si="192"/>
        <v/>
      </c>
      <c r="EM73" s="124" t="str">
        <f t="shared" si="192"/>
        <v/>
      </c>
      <c r="EN73" s="118">
        <f t="shared" ref="EN73:FL73" si="193">IF(CU73="","",IF(CU73&gt;=1,6,0))</f>
        <v>6</v>
      </c>
      <c r="EO73" s="118">
        <f t="shared" si="193"/>
        <v>6</v>
      </c>
      <c r="EP73" s="118">
        <f t="shared" si="193"/>
        <v>6</v>
      </c>
      <c r="EQ73" s="118">
        <f t="shared" si="193"/>
        <v>6</v>
      </c>
      <c r="ER73" s="118">
        <f t="shared" si="193"/>
        <v>6</v>
      </c>
      <c r="ES73" s="118">
        <f t="shared" si="193"/>
        <v>6</v>
      </c>
      <c r="ET73" s="118">
        <f t="shared" si="193"/>
        <v>6</v>
      </c>
      <c r="EU73" s="118">
        <f t="shared" si="193"/>
        <v>6</v>
      </c>
      <c r="EV73" s="118">
        <f t="shared" si="193"/>
        <v>6</v>
      </c>
      <c r="EW73" s="118">
        <f t="shared" si="193"/>
        <v>6</v>
      </c>
      <c r="EX73" s="118">
        <f t="shared" si="193"/>
        <v>6</v>
      </c>
      <c r="EY73" s="118">
        <f t="shared" si="193"/>
        <v>6</v>
      </c>
      <c r="EZ73" s="118">
        <f t="shared" si="193"/>
        <v>6</v>
      </c>
      <c r="FA73" s="118">
        <f t="shared" si="193"/>
        <v>6</v>
      </c>
      <c r="FB73" s="118">
        <f t="shared" si="193"/>
        <v>6</v>
      </c>
      <c r="FC73" s="118">
        <f t="shared" si="193"/>
        <v>6</v>
      </c>
      <c r="FD73" s="118">
        <f t="shared" si="193"/>
        <v>6</v>
      </c>
      <c r="FE73" s="118">
        <f t="shared" si="193"/>
        <v>6</v>
      </c>
      <c r="FF73" s="118">
        <f t="shared" si="193"/>
        <v>6</v>
      </c>
      <c r="FG73" s="118">
        <f t="shared" si="193"/>
        <v>6</v>
      </c>
      <c r="FH73" s="118">
        <f t="shared" si="193"/>
        <v>6</v>
      </c>
      <c r="FI73" s="118">
        <f t="shared" si="193"/>
        <v>6</v>
      </c>
      <c r="FJ73" s="118">
        <f t="shared" si="193"/>
        <v>6</v>
      </c>
      <c r="FK73" s="118">
        <f t="shared" si="193"/>
        <v>6</v>
      </c>
      <c r="FL73" s="118">
        <f t="shared" si="193"/>
        <v>6</v>
      </c>
      <c r="FM73" s="118">
        <f t="shared" ref="FM73:GA73" si="194">IF(DT73="","",IF(DT73&gt;=1,6,0))</f>
        <v>6</v>
      </c>
      <c r="FN73" s="118">
        <f t="shared" si="194"/>
        <v>6</v>
      </c>
      <c r="FO73" s="118">
        <f t="shared" si="194"/>
        <v>6</v>
      </c>
      <c r="FP73" s="118">
        <f t="shared" si="194"/>
        <v>6</v>
      </c>
      <c r="FQ73" s="118">
        <f t="shared" si="194"/>
        <v>6</v>
      </c>
      <c r="FR73" s="118">
        <f t="shared" si="194"/>
        <v>6</v>
      </c>
      <c r="FS73" s="118">
        <f t="shared" si="194"/>
        <v>6</v>
      </c>
      <c r="FT73" s="118">
        <f t="shared" si="194"/>
        <v>6</v>
      </c>
      <c r="FU73" s="118">
        <f t="shared" si="194"/>
        <v>6</v>
      </c>
      <c r="FV73" s="118">
        <f t="shared" si="194"/>
        <v>6</v>
      </c>
      <c r="FW73" s="118">
        <f t="shared" si="194"/>
        <v>6</v>
      </c>
      <c r="FX73" s="118">
        <f t="shared" si="194"/>
        <v>6</v>
      </c>
      <c r="FY73" s="118">
        <f t="shared" si="194"/>
        <v>6</v>
      </c>
      <c r="FZ73" s="118">
        <f t="shared" si="194"/>
        <v>6</v>
      </c>
      <c r="GA73" s="118">
        <f t="shared" si="194"/>
        <v>6</v>
      </c>
      <c r="GB73" s="118" t="str">
        <f t="shared" ref="GB73" si="195">IF(EI73="","",IF(EI73&gt;=1,6,0))</f>
        <v/>
      </c>
      <c r="GC73" s="118" t="str">
        <f t="shared" ref="GC73" si="196">IF(EJ73="","",IF(EJ73&gt;=1,6,0))</f>
        <v/>
      </c>
      <c r="GD73" s="118" t="str">
        <f t="shared" ref="GD73" si="197">IF(EK73="","",IF(EK73&gt;=1,6,0))</f>
        <v/>
      </c>
      <c r="GE73" s="118" t="str">
        <f t="shared" ref="GE73" si="198">IF(EL73="","",IF(EL73&gt;=1,6,0))</f>
        <v/>
      </c>
      <c r="GF73" s="118" t="str">
        <f t="shared" ref="GF73" si="199">IF(EM73="","",IF(EM73&gt;=1,6,0))</f>
        <v/>
      </c>
      <c r="GG73" s="116"/>
      <c r="GH73" s="116"/>
      <c r="GI73" s="116"/>
      <c r="GJ73" s="116"/>
      <c r="GK73" s="116"/>
      <c r="GL73" s="116"/>
      <c r="GM73" s="116"/>
      <c r="GN73" s="116"/>
      <c r="GO73" s="116"/>
      <c r="GP73" s="116"/>
      <c r="GQ73" s="116"/>
      <c r="GR73" s="116"/>
      <c r="GS73" s="116"/>
      <c r="GT73" s="116"/>
      <c r="GU73" s="116"/>
      <c r="GV73" s="116"/>
      <c r="GW73" s="116"/>
      <c r="GX73" s="116"/>
      <c r="GY73" s="116"/>
      <c r="GZ73" s="116"/>
      <c r="HA73" s="116"/>
      <c r="HB73" s="116"/>
      <c r="HC73" s="116"/>
      <c r="HD73" s="116"/>
      <c r="HE73" s="116"/>
      <c r="HF73" s="116"/>
      <c r="HG73" s="116"/>
      <c r="HH73" s="116"/>
      <c r="HI73" s="116"/>
      <c r="HJ73" s="116"/>
      <c r="HK73" s="116"/>
      <c r="HL73" s="116"/>
      <c r="HM73" s="116"/>
      <c r="HN73" s="116"/>
      <c r="HO73" s="116"/>
      <c r="HP73" s="116"/>
      <c r="HQ73" s="116"/>
      <c r="HR73" s="116"/>
      <c r="HS73" s="116"/>
      <c r="HT73" s="116"/>
      <c r="HU73" s="116"/>
      <c r="HV73" s="116"/>
      <c r="HW73" s="116"/>
      <c r="HX73" s="116"/>
      <c r="HY73" s="116"/>
      <c r="HZ73" s="49"/>
      <c r="IA73" s="49"/>
      <c r="IB73" s="49"/>
      <c r="IC73" s="49"/>
      <c r="ID73" s="49"/>
      <c r="IE73" s="49"/>
      <c r="IF73" s="49"/>
      <c r="IG73" s="49"/>
      <c r="IH73" s="49"/>
      <c r="II73" s="49"/>
      <c r="IJ73" s="49"/>
      <c r="IK73" s="49"/>
      <c r="IL73" s="49"/>
      <c r="IM73" s="49"/>
      <c r="IN73" s="49"/>
      <c r="IO73" s="49"/>
      <c r="IP73" s="49"/>
      <c r="IQ73" s="49"/>
      <c r="IR73" s="49"/>
      <c r="IS73" s="49"/>
      <c r="IT73" s="49"/>
      <c r="IU73" s="49"/>
      <c r="IV73" s="49"/>
      <c r="IW73" s="49"/>
      <c r="IX73" s="49"/>
      <c r="IY73" s="49"/>
      <c r="IZ73" s="49"/>
      <c r="JA73" s="49"/>
      <c r="JB73" s="49"/>
      <c r="JC73" s="49"/>
      <c r="JD73" s="49"/>
      <c r="JE73" s="49"/>
      <c r="JF73" s="49"/>
      <c r="JG73" s="49"/>
      <c r="JH73" s="49"/>
      <c r="JI73" s="49"/>
      <c r="JJ73" s="49"/>
      <c r="JK73" s="49"/>
      <c r="JL73" s="49"/>
      <c r="JM73" s="49"/>
      <c r="JN73" s="49"/>
      <c r="JO73" s="49"/>
      <c r="JP73" s="49"/>
      <c r="JQ73" s="49"/>
      <c r="JR73" s="49"/>
      <c r="JS73" s="49"/>
      <c r="JT73" s="49"/>
      <c r="JU73" s="49"/>
      <c r="JV73" s="49"/>
      <c r="JW73" s="49"/>
      <c r="JX73" s="49"/>
      <c r="JY73" s="49"/>
      <c r="JZ73" s="49"/>
      <c r="KA73" s="49"/>
      <c r="KB73" s="49"/>
      <c r="KC73" s="49"/>
      <c r="KD73" s="49"/>
      <c r="KE73" s="49"/>
      <c r="KF73" s="49"/>
      <c r="KG73" s="49"/>
      <c r="KH73" s="49"/>
      <c r="KI73" s="49"/>
      <c r="KJ73" s="49"/>
      <c r="KK73" s="49"/>
      <c r="KL73" s="49"/>
      <c r="KM73" s="49"/>
      <c r="KN73" s="49"/>
      <c r="KO73" s="49"/>
      <c r="KP73" s="49"/>
      <c r="KQ73" s="49"/>
      <c r="KR73" s="49"/>
      <c r="KS73" s="49"/>
      <c r="KT73" s="49"/>
      <c r="KU73" s="49"/>
      <c r="KV73" s="49"/>
      <c r="KW73" s="49"/>
      <c r="KX73" s="49"/>
      <c r="KY73" s="49"/>
      <c r="KZ73" s="49"/>
      <c r="LA73" s="49"/>
      <c r="LB73" s="49"/>
      <c r="LC73" s="49"/>
      <c r="LD73" s="49"/>
      <c r="LE73" s="49"/>
      <c r="LF73" s="49"/>
    </row>
    <row r="74" spans="1:318" ht="18" x14ac:dyDescent="0.25">
      <c r="A74" s="127"/>
      <c r="B74" s="126"/>
      <c r="C74" s="127"/>
      <c r="D74" s="126"/>
      <c r="E74" s="129"/>
      <c r="F74" s="128"/>
      <c r="G74" s="20" t="s">
        <v>56</v>
      </c>
      <c r="H74" s="23" t="s">
        <v>135</v>
      </c>
      <c r="I74" s="78" t="s">
        <v>269</v>
      </c>
      <c r="J74" s="78" t="s">
        <v>269</v>
      </c>
      <c r="K74" s="78" t="s">
        <v>269</v>
      </c>
      <c r="L74" s="78" t="s">
        <v>269</v>
      </c>
      <c r="M74" s="78" t="s">
        <v>269</v>
      </c>
      <c r="N74" s="78" t="s">
        <v>269</v>
      </c>
      <c r="O74" s="78" t="s">
        <v>269</v>
      </c>
      <c r="P74" s="78" t="s">
        <v>269</v>
      </c>
      <c r="Q74" s="78" t="s">
        <v>269</v>
      </c>
      <c r="R74" s="78" t="s">
        <v>269</v>
      </c>
      <c r="S74" s="78" t="s">
        <v>269</v>
      </c>
      <c r="T74" s="78" t="s">
        <v>269</v>
      </c>
      <c r="U74" s="78" t="s">
        <v>269</v>
      </c>
      <c r="V74" s="78" t="s">
        <v>269</v>
      </c>
      <c r="W74" s="78" t="s">
        <v>269</v>
      </c>
      <c r="X74" s="78" t="s">
        <v>269</v>
      </c>
      <c r="Y74" s="78" t="s">
        <v>269</v>
      </c>
      <c r="Z74" s="78" t="s">
        <v>269</v>
      </c>
      <c r="AA74" s="78" t="s">
        <v>269</v>
      </c>
      <c r="AB74" s="78" t="s">
        <v>269</v>
      </c>
      <c r="AC74" s="78" t="s">
        <v>269</v>
      </c>
      <c r="AD74" s="78" t="s">
        <v>269</v>
      </c>
      <c r="AE74" s="78" t="s">
        <v>269</v>
      </c>
      <c r="AF74" s="78" t="s">
        <v>269</v>
      </c>
      <c r="AG74" s="78" t="s">
        <v>269</v>
      </c>
      <c r="AH74" s="78" t="s">
        <v>269</v>
      </c>
      <c r="AI74" s="78" t="s">
        <v>269</v>
      </c>
      <c r="AJ74" s="78" t="s">
        <v>269</v>
      </c>
      <c r="AK74" s="78" t="s">
        <v>269</v>
      </c>
      <c r="AL74" s="78" t="s">
        <v>269</v>
      </c>
      <c r="AM74" s="78" t="s">
        <v>269</v>
      </c>
      <c r="AN74" s="78" t="s">
        <v>269</v>
      </c>
      <c r="AO74" s="78" t="s">
        <v>269</v>
      </c>
      <c r="AP74" s="78" t="s">
        <v>269</v>
      </c>
      <c r="AQ74" s="78" t="s">
        <v>269</v>
      </c>
      <c r="AR74" s="78" t="s">
        <v>269</v>
      </c>
      <c r="AS74" s="78" t="s">
        <v>269</v>
      </c>
      <c r="AT74" s="78" t="s">
        <v>269</v>
      </c>
      <c r="AU74" s="78" t="s">
        <v>269</v>
      </c>
      <c r="AV74" s="78" t="s">
        <v>269</v>
      </c>
      <c r="AW74" s="78"/>
      <c r="AX74" s="78"/>
      <c r="AY74" s="78"/>
      <c r="AZ74" s="78"/>
      <c r="BA74" s="78"/>
      <c r="BB74" s="122"/>
      <c r="BC74" s="122"/>
      <c r="BD74" s="122"/>
      <c r="BE74" s="122"/>
      <c r="BF74" s="122"/>
      <c r="BG74" s="122"/>
      <c r="BH74" s="122"/>
      <c r="BI74" s="122"/>
      <c r="BJ74" s="122"/>
      <c r="BK74" s="122"/>
      <c r="BL74" s="122"/>
      <c r="BM74" s="122"/>
      <c r="BN74" s="122"/>
      <c r="BO74" s="122"/>
      <c r="BP74" s="122"/>
      <c r="BQ74" s="122"/>
      <c r="BR74" s="122"/>
      <c r="BS74" s="122"/>
      <c r="BT74" s="122"/>
      <c r="BU74" s="122"/>
      <c r="BV74" s="122"/>
      <c r="BW74" s="122"/>
      <c r="BX74" s="122"/>
      <c r="BY74" s="122"/>
      <c r="BZ74" s="122"/>
      <c r="CA74" s="122"/>
      <c r="CB74" s="122"/>
      <c r="CC74" s="122"/>
      <c r="CD74" s="122"/>
      <c r="CE74" s="122"/>
      <c r="CF74" s="122"/>
      <c r="CG74" s="122"/>
      <c r="CH74" s="122"/>
      <c r="CI74" s="122"/>
      <c r="CJ74" s="122"/>
      <c r="CK74" s="122"/>
      <c r="CL74" s="122"/>
      <c r="CM74" s="122"/>
      <c r="CN74" s="122"/>
      <c r="CO74" s="122"/>
      <c r="CP74" s="122"/>
      <c r="CQ74" s="122"/>
      <c r="CR74" s="122"/>
      <c r="CS74" s="122"/>
      <c r="CT74" s="122"/>
      <c r="CU74" s="124"/>
      <c r="CV74" s="124"/>
      <c r="CW74" s="124"/>
      <c r="CX74" s="124"/>
      <c r="CY74" s="124"/>
      <c r="CZ74" s="124"/>
      <c r="DA74" s="124"/>
      <c r="DB74" s="124"/>
      <c r="DC74" s="124"/>
      <c r="DD74" s="124"/>
      <c r="DE74" s="124"/>
      <c r="DF74" s="124"/>
      <c r="DG74" s="124"/>
      <c r="DH74" s="124"/>
      <c r="DI74" s="124"/>
      <c r="DJ74" s="124"/>
      <c r="DK74" s="124"/>
      <c r="DL74" s="124"/>
      <c r="DM74" s="124"/>
      <c r="DN74" s="124"/>
      <c r="DO74" s="124"/>
      <c r="DP74" s="124"/>
      <c r="DQ74" s="124"/>
      <c r="DR74" s="124"/>
      <c r="DS74" s="124"/>
      <c r="DT74" s="124"/>
      <c r="DU74" s="124"/>
      <c r="DV74" s="124"/>
      <c r="DW74" s="124"/>
      <c r="DX74" s="124"/>
      <c r="DY74" s="124"/>
      <c r="DZ74" s="124"/>
      <c r="EA74" s="124"/>
      <c r="EB74" s="124"/>
      <c r="EC74" s="124"/>
      <c r="ED74" s="124"/>
      <c r="EE74" s="124"/>
      <c r="EF74" s="124"/>
      <c r="EG74" s="124"/>
      <c r="EH74" s="124"/>
      <c r="EI74" s="124"/>
      <c r="EJ74" s="124"/>
      <c r="EK74" s="124"/>
      <c r="EL74" s="124"/>
      <c r="EM74" s="124"/>
      <c r="EN74" s="118"/>
      <c r="EO74" s="118"/>
      <c r="EP74" s="118"/>
      <c r="EQ74" s="118"/>
      <c r="ER74" s="118"/>
      <c r="ES74" s="118"/>
      <c r="ET74" s="118"/>
      <c r="EU74" s="118"/>
      <c r="EV74" s="118"/>
      <c r="EW74" s="118"/>
      <c r="EX74" s="118"/>
      <c r="EY74" s="118"/>
      <c r="EZ74" s="118"/>
      <c r="FA74" s="118"/>
      <c r="FB74" s="118"/>
      <c r="FC74" s="118"/>
      <c r="FD74" s="118"/>
      <c r="FE74" s="118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6"/>
      <c r="GH74" s="116"/>
      <c r="GI74" s="116"/>
      <c r="GJ74" s="116"/>
      <c r="GK74" s="116"/>
      <c r="GL74" s="116"/>
      <c r="GM74" s="116"/>
      <c r="GN74" s="116"/>
      <c r="GO74" s="116"/>
      <c r="GP74" s="116"/>
      <c r="GQ74" s="116"/>
      <c r="GR74" s="116"/>
      <c r="GS74" s="116"/>
      <c r="GT74" s="116"/>
      <c r="GU74" s="116"/>
      <c r="GV74" s="116"/>
      <c r="GW74" s="116"/>
      <c r="GX74" s="116"/>
      <c r="GY74" s="116"/>
      <c r="GZ74" s="116"/>
      <c r="HA74" s="116"/>
      <c r="HB74" s="116"/>
      <c r="HC74" s="116"/>
      <c r="HD74" s="116"/>
      <c r="HE74" s="116"/>
      <c r="HF74" s="116"/>
      <c r="HG74" s="116"/>
      <c r="HH74" s="116"/>
      <c r="HI74" s="116"/>
      <c r="HJ74" s="116"/>
      <c r="HK74" s="116"/>
      <c r="HL74" s="116"/>
      <c r="HM74" s="116"/>
      <c r="HN74" s="116"/>
      <c r="HO74" s="116"/>
      <c r="HP74" s="116"/>
      <c r="HQ74" s="116"/>
      <c r="HR74" s="116"/>
      <c r="HS74" s="116"/>
      <c r="HT74" s="116"/>
      <c r="HU74" s="116"/>
      <c r="HV74" s="116"/>
      <c r="HW74" s="116"/>
      <c r="HX74" s="116"/>
      <c r="HY74" s="116"/>
      <c r="HZ74" s="49"/>
      <c r="IA74" s="49"/>
      <c r="IB74" s="49"/>
      <c r="IC74" s="49"/>
      <c r="ID74" s="49"/>
      <c r="IE74" s="49"/>
      <c r="IF74" s="49"/>
      <c r="IG74" s="49"/>
      <c r="IH74" s="49"/>
      <c r="II74" s="49"/>
      <c r="IJ74" s="49"/>
      <c r="IK74" s="49"/>
      <c r="IL74" s="49"/>
      <c r="IM74" s="49"/>
      <c r="IN74" s="49"/>
      <c r="IO74" s="49"/>
      <c r="IP74" s="49"/>
      <c r="IQ74" s="49"/>
      <c r="IR74" s="49"/>
      <c r="IS74" s="49"/>
      <c r="IT74" s="49"/>
      <c r="IU74" s="49"/>
      <c r="IV74" s="49"/>
      <c r="IW74" s="49"/>
      <c r="IX74" s="49"/>
      <c r="IY74" s="49"/>
      <c r="IZ74" s="49"/>
      <c r="JA74" s="49"/>
      <c r="JB74" s="49"/>
      <c r="JC74" s="49"/>
      <c r="JD74" s="49"/>
      <c r="JE74" s="49"/>
      <c r="JF74" s="49"/>
      <c r="JG74" s="49"/>
      <c r="JH74" s="49"/>
      <c r="JI74" s="49"/>
      <c r="JJ74" s="49"/>
      <c r="JK74" s="49"/>
      <c r="JL74" s="49"/>
      <c r="JM74" s="49"/>
      <c r="JN74" s="49"/>
      <c r="JO74" s="49"/>
      <c r="JP74" s="49"/>
      <c r="JQ74" s="49"/>
      <c r="JR74" s="49"/>
      <c r="JS74" s="49"/>
      <c r="JT74" s="49"/>
      <c r="JU74" s="49"/>
      <c r="JV74" s="49"/>
      <c r="JW74" s="49"/>
      <c r="JX74" s="49"/>
      <c r="JY74" s="49"/>
      <c r="JZ74" s="49"/>
      <c r="KA74" s="49"/>
      <c r="KB74" s="49"/>
      <c r="KC74" s="49"/>
      <c r="KD74" s="49"/>
      <c r="KE74" s="49"/>
      <c r="KF74" s="49"/>
      <c r="KG74" s="49"/>
      <c r="KH74" s="49"/>
      <c r="KI74" s="49"/>
      <c r="KJ74" s="49"/>
      <c r="KK74" s="49"/>
      <c r="KL74" s="49"/>
      <c r="KM74" s="49"/>
      <c r="KN74" s="49"/>
      <c r="KO74" s="49"/>
      <c r="KP74" s="49"/>
      <c r="KQ74" s="49"/>
      <c r="KR74" s="49"/>
      <c r="KS74" s="49"/>
      <c r="KT74" s="49"/>
      <c r="KU74" s="49"/>
      <c r="KV74" s="49"/>
      <c r="KW74" s="49"/>
      <c r="KX74" s="49"/>
      <c r="KY74" s="49"/>
      <c r="KZ74" s="49"/>
      <c r="LA74" s="49"/>
      <c r="LB74" s="49"/>
      <c r="LC74" s="49"/>
      <c r="LD74" s="49"/>
      <c r="LE74" s="49"/>
      <c r="LF74" s="49"/>
    </row>
    <row r="75" spans="1:318" ht="77.45" customHeight="1" x14ac:dyDescent="0.25">
      <c r="A75" s="127"/>
      <c r="B75" s="126"/>
      <c r="C75" s="127"/>
      <c r="D75" s="126"/>
      <c r="E75" s="129"/>
      <c r="F75" s="128"/>
      <c r="G75" s="20" t="s">
        <v>56</v>
      </c>
      <c r="H75" s="23" t="s">
        <v>136</v>
      </c>
      <c r="I75" s="78" t="s">
        <v>269</v>
      </c>
      <c r="J75" s="78" t="s">
        <v>269</v>
      </c>
      <c r="K75" s="78" t="s">
        <v>269</v>
      </c>
      <c r="L75" s="78" t="s">
        <v>269</v>
      </c>
      <c r="M75" s="78" t="s">
        <v>269</v>
      </c>
      <c r="N75" s="78" t="s">
        <v>269</v>
      </c>
      <c r="O75" s="78" t="s">
        <v>269</v>
      </c>
      <c r="P75" s="78" t="s">
        <v>269</v>
      </c>
      <c r="Q75" s="78" t="s">
        <v>269</v>
      </c>
      <c r="R75" s="78" t="s">
        <v>269</v>
      </c>
      <c r="S75" s="78" t="s">
        <v>269</v>
      </c>
      <c r="T75" s="78" t="s">
        <v>269</v>
      </c>
      <c r="U75" s="78" t="s">
        <v>269</v>
      </c>
      <c r="V75" s="78" t="s">
        <v>269</v>
      </c>
      <c r="W75" s="78" t="s">
        <v>269</v>
      </c>
      <c r="X75" s="78" t="s">
        <v>269</v>
      </c>
      <c r="Y75" s="78" t="s">
        <v>269</v>
      </c>
      <c r="Z75" s="78" t="s">
        <v>269</v>
      </c>
      <c r="AA75" s="78" t="s">
        <v>269</v>
      </c>
      <c r="AB75" s="78" t="s">
        <v>269</v>
      </c>
      <c r="AC75" s="78" t="s">
        <v>269</v>
      </c>
      <c r="AD75" s="78" t="s">
        <v>269</v>
      </c>
      <c r="AE75" s="78" t="s">
        <v>269</v>
      </c>
      <c r="AF75" s="78" t="s">
        <v>269</v>
      </c>
      <c r="AG75" s="78" t="s">
        <v>269</v>
      </c>
      <c r="AH75" s="78" t="s">
        <v>269</v>
      </c>
      <c r="AI75" s="78" t="s">
        <v>269</v>
      </c>
      <c r="AJ75" s="78" t="s">
        <v>269</v>
      </c>
      <c r="AK75" s="78" t="s">
        <v>269</v>
      </c>
      <c r="AL75" s="78" t="s">
        <v>269</v>
      </c>
      <c r="AM75" s="78" t="s">
        <v>269</v>
      </c>
      <c r="AN75" s="78" t="s">
        <v>269</v>
      </c>
      <c r="AO75" s="78" t="s">
        <v>269</v>
      </c>
      <c r="AP75" s="78" t="s">
        <v>269</v>
      </c>
      <c r="AQ75" s="78" t="s">
        <v>269</v>
      </c>
      <c r="AR75" s="78" t="s">
        <v>269</v>
      </c>
      <c r="AS75" s="78" t="s">
        <v>269</v>
      </c>
      <c r="AT75" s="78" t="s">
        <v>269</v>
      </c>
      <c r="AU75" s="78" t="s">
        <v>269</v>
      </c>
      <c r="AV75" s="78" t="s">
        <v>269</v>
      </c>
      <c r="AW75" s="78"/>
      <c r="AX75" s="78"/>
      <c r="AY75" s="78"/>
      <c r="AZ75" s="78"/>
      <c r="BA75" s="78"/>
      <c r="BB75" s="122"/>
      <c r="BC75" s="122"/>
      <c r="BD75" s="122"/>
      <c r="BE75" s="122"/>
      <c r="BF75" s="122"/>
      <c r="BG75" s="122"/>
      <c r="BH75" s="122"/>
      <c r="BI75" s="122"/>
      <c r="BJ75" s="122"/>
      <c r="BK75" s="122"/>
      <c r="BL75" s="122"/>
      <c r="BM75" s="122"/>
      <c r="BN75" s="122"/>
      <c r="BO75" s="122"/>
      <c r="BP75" s="122"/>
      <c r="BQ75" s="122"/>
      <c r="BR75" s="122"/>
      <c r="BS75" s="122"/>
      <c r="BT75" s="122"/>
      <c r="BU75" s="122"/>
      <c r="BV75" s="122"/>
      <c r="BW75" s="122"/>
      <c r="BX75" s="122"/>
      <c r="BY75" s="122"/>
      <c r="BZ75" s="122"/>
      <c r="CA75" s="122"/>
      <c r="CB75" s="122"/>
      <c r="CC75" s="122"/>
      <c r="CD75" s="122"/>
      <c r="CE75" s="122"/>
      <c r="CF75" s="122"/>
      <c r="CG75" s="122"/>
      <c r="CH75" s="122"/>
      <c r="CI75" s="122"/>
      <c r="CJ75" s="122"/>
      <c r="CK75" s="122"/>
      <c r="CL75" s="122"/>
      <c r="CM75" s="122"/>
      <c r="CN75" s="122"/>
      <c r="CO75" s="122"/>
      <c r="CP75" s="122"/>
      <c r="CQ75" s="122"/>
      <c r="CR75" s="122"/>
      <c r="CS75" s="122"/>
      <c r="CT75" s="122"/>
      <c r="CU75" s="124"/>
      <c r="CV75" s="124"/>
      <c r="CW75" s="124"/>
      <c r="CX75" s="124"/>
      <c r="CY75" s="124"/>
      <c r="CZ75" s="124"/>
      <c r="DA75" s="124"/>
      <c r="DB75" s="124"/>
      <c r="DC75" s="124"/>
      <c r="DD75" s="124"/>
      <c r="DE75" s="124"/>
      <c r="DF75" s="124"/>
      <c r="DG75" s="124"/>
      <c r="DH75" s="124"/>
      <c r="DI75" s="124"/>
      <c r="DJ75" s="124"/>
      <c r="DK75" s="124"/>
      <c r="DL75" s="124"/>
      <c r="DM75" s="124"/>
      <c r="DN75" s="124"/>
      <c r="DO75" s="124"/>
      <c r="DP75" s="124"/>
      <c r="DQ75" s="124"/>
      <c r="DR75" s="124"/>
      <c r="DS75" s="124"/>
      <c r="DT75" s="124"/>
      <c r="DU75" s="124"/>
      <c r="DV75" s="124"/>
      <c r="DW75" s="124"/>
      <c r="DX75" s="124"/>
      <c r="DY75" s="124"/>
      <c r="DZ75" s="124"/>
      <c r="EA75" s="124"/>
      <c r="EB75" s="124"/>
      <c r="EC75" s="124"/>
      <c r="ED75" s="124"/>
      <c r="EE75" s="124"/>
      <c r="EF75" s="124"/>
      <c r="EG75" s="124"/>
      <c r="EH75" s="124"/>
      <c r="EI75" s="124"/>
      <c r="EJ75" s="124"/>
      <c r="EK75" s="124"/>
      <c r="EL75" s="124"/>
      <c r="EM75" s="124"/>
      <c r="EN75" s="118"/>
      <c r="EO75" s="118"/>
      <c r="EP75" s="118"/>
      <c r="EQ75" s="118"/>
      <c r="ER75" s="118"/>
      <c r="ES75" s="118"/>
      <c r="ET75" s="118"/>
      <c r="EU75" s="118"/>
      <c r="EV75" s="118"/>
      <c r="EW75" s="118"/>
      <c r="EX75" s="118"/>
      <c r="EY75" s="118"/>
      <c r="EZ75" s="118"/>
      <c r="FA75" s="118"/>
      <c r="FB75" s="118"/>
      <c r="FC75" s="118"/>
      <c r="FD75" s="118"/>
      <c r="FE75" s="118"/>
      <c r="FF75" s="118"/>
      <c r="FG75" s="118"/>
      <c r="FH75" s="118"/>
      <c r="FI75" s="118"/>
      <c r="FJ75" s="118"/>
      <c r="FK75" s="118"/>
      <c r="FL75" s="118"/>
      <c r="FM75" s="118"/>
      <c r="FN75" s="118"/>
      <c r="FO75" s="118"/>
      <c r="FP75" s="118"/>
      <c r="FQ75" s="118"/>
      <c r="FR75" s="118"/>
      <c r="FS75" s="118"/>
      <c r="FT75" s="118"/>
      <c r="FU75" s="118"/>
      <c r="FV75" s="118"/>
      <c r="FW75" s="118"/>
      <c r="FX75" s="118"/>
      <c r="FY75" s="118"/>
      <c r="FZ75" s="118"/>
      <c r="GA75" s="118"/>
      <c r="GB75" s="118"/>
      <c r="GC75" s="118"/>
      <c r="GD75" s="118"/>
      <c r="GE75" s="118"/>
      <c r="GF75" s="118"/>
      <c r="GG75" s="116"/>
      <c r="GH75" s="116"/>
      <c r="GI75" s="116"/>
      <c r="GJ75" s="116"/>
      <c r="GK75" s="116"/>
      <c r="GL75" s="116"/>
      <c r="GM75" s="116"/>
      <c r="GN75" s="116"/>
      <c r="GO75" s="116"/>
      <c r="GP75" s="116"/>
      <c r="GQ75" s="116"/>
      <c r="GR75" s="116"/>
      <c r="GS75" s="116"/>
      <c r="GT75" s="116"/>
      <c r="GU75" s="116"/>
      <c r="GV75" s="116"/>
      <c r="GW75" s="116"/>
      <c r="GX75" s="116"/>
      <c r="GY75" s="116"/>
      <c r="GZ75" s="116"/>
      <c r="HA75" s="116"/>
      <c r="HB75" s="116"/>
      <c r="HC75" s="116"/>
      <c r="HD75" s="116"/>
      <c r="HE75" s="116"/>
      <c r="HF75" s="116"/>
      <c r="HG75" s="116"/>
      <c r="HH75" s="116"/>
      <c r="HI75" s="116"/>
      <c r="HJ75" s="116"/>
      <c r="HK75" s="116"/>
      <c r="HL75" s="116"/>
      <c r="HM75" s="116"/>
      <c r="HN75" s="116"/>
      <c r="HO75" s="116"/>
      <c r="HP75" s="116"/>
      <c r="HQ75" s="116"/>
      <c r="HR75" s="116"/>
      <c r="HS75" s="116"/>
      <c r="HT75" s="116"/>
      <c r="HU75" s="116"/>
      <c r="HV75" s="116"/>
      <c r="HW75" s="116"/>
      <c r="HX75" s="116"/>
      <c r="HY75" s="116"/>
      <c r="HZ75" s="49"/>
      <c r="IA75" s="49"/>
      <c r="IB75" s="49"/>
      <c r="IC75" s="49"/>
      <c r="ID75" s="49"/>
      <c r="IE75" s="49"/>
      <c r="IF75" s="49"/>
      <c r="IG75" s="49"/>
      <c r="IH75" s="49"/>
      <c r="II75" s="49"/>
      <c r="IJ75" s="49"/>
      <c r="IK75" s="49"/>
      <c r="IL75" s="49"/>
      <c r="IM75" s="49"/>
      <c r="IN75" s="49"/>
      <c r="IO75" s="49"/>
      <c r="IP75" s="49"/>
      <c r="IQ75" s="49"/>
      <c r="IR75" s="49"/>
      <c r="IS75" s="49"/>
      <c r="IT75" s="49"/>
      <c r="IU75" s="49"/>
      <c r="IV75" s="49"/>
      <c r="IW75" s="49"/>
      <c r="IX75" s="49"/>
      <c r="IY75" s="49"/>
      <c r="IZ75" s="49"/>
      <c r="JA75" s="49"/>
      <c r="JB75" s="49"/>
      <c r="JC75" s="49"/>
      <c r="JD75" s="49"/>
      <c r="JE75" s="49"/>
      <c r="JF75" s="49"/>
      <c r="JG75" s="49"/>
      <c r="JH75" s="49"/>
      <c r="JI75" s="49"/>
      <c r="JJ75" s="49"/>
      <c r="JK75" s="49"/>
      <c r="JL75" s="49"/>
      <c r="JM75" s="49"/>
      <c r="JN75" s="49"/>
      <c r="JO75" s="49"/>
      <c r="JP75" s="49"/>
      <c r="JQ75" s="49"/>
      <c r="JR75" s="49"/>
      <c r="JS75" s="49"/>
      <c r="JT75" s="49"/>
      <c r="JU75" s="49"/>
      <c r="JV75" s="49"/>
      <c r="JW75" s="49"/>
      <c r="JX75" s="49"/>
      <c r="JY75" s="49"/>
      <c r="JZ75" s="49"/>
      <c r="KA75" s="49"/>
      <c r="KB75" s="49"/>
      <c r="KC75" s="49"/>
      <c r="KD75" s="49"/>
      <c r="KE75" s="49"/>
      <c r="KF75" s="49"/>
      <c r="KG75" s="49"/>
      <c r="KH75" s="49"/>
      <c r="KI75" s="49"/>
      <c r="KJ75" s="49"/>
      <c r="KK75" s="49"/>
      <c r="KL75" s="49"/>
      <c r="KM75" s="49"/>
      <c r="KN75" s="49"/>
      <c r="KO75" s="49"/>
      <c r="KP75" s="49"/>
      <c r="KQ75" s="49"/>
      <c r="KR75" s="49"/>
      <c r="KS75" s="49"/>
      <c r="KT75" s="49"/>
      <c r="KU75" s="49"/>
      <c r="KV75" s="49"/>
      <c r="KW75" s="49"/>
      <c r="KX75" s="49"/>
      <c r="KY75" s="49"/>
      <c r="KZ75" s="49"/>
      <c r="LA75" s="49"/>
      <c r="LB75" s="49"/>
      <c r="LC75" s="49"/>
      <c r="LD75" s="49"/>
      <c r="LE75" s="49"/>
      <c r="LF75" s="49"/>
    </row>
  </sheetData>
  <mergeCells count="3283">
    <mergeCell ref="A4:A5"/>
    <mergeCell ref="B4:B5"/>
    <mergeCell ref="C4:F5"/>
    <mergeCell ref="G4:H5"/>
    <mergeCell ref="FK73:FK75"/>
    <mergeCell ref="FL73:FL75"/>
    <mergeCell ref="FM73:FM75"/>
    <mergeCell ref="FN73:FN75"/>
    <mergeCell ref="FO73:FO75"/>
    <mergeCell ref="FP73:FP75"/>
    <mergeCell ref="FQ73:FQ75"/>
    <mergeCell ref="FR73:FR75"/>
    <mergeCell ref="FS73:FS75"/>
    <mergeCell ref="FT73:FT75"/>
    <mergeCell ref="FU73:FU75"/>
    <mergeCell ref="FV73:FV75"/>
    <mergeCell ref="FW73:FW75"/>
    <mergeCell ref="DX73:DX75"/>
    <mergeCell ref="DY73:DY75"/>
    <mergeCell ref="DZ73:DZ75"/>
    <mergeCell ref="EA73:EA75"/>
    <mergeCell ref="EB73:EB75"/>
    <mergeCell ref="EC73:EC75"/>
    <mergeCell ref="ED73:ED75"/>
    <mergeCell ref="EE73:EE75"/>
    <mergeCell ref="EF73:EF75"/>
    <mergeCell ref="EG73:EG75"/>
    <mergeCell ref="EH73:EH75"/>
    <mergeCell ref="EN73:EN75"/>
    <mergeCell ref="EO73:EO75"/>
    <mergeCell ref="EP73:EP75"/>
    <mergeCell ref="EQ73:EQ75"/>
    <mergeCell ref="FZ73:FZ75"/>
    <mergeCell ref="GA73:GA75"/>
    <mergeCell ref="ET73:ET75"/>
    <mergeCell ref="EU73:EU75"/>
    <mergeCell ref="EV73:EV75"/>
    <mergeCell ref="EW73:EW75"/>
    <mergeCell ref="EX73:EX75"/>
    <mergeCell ref="EY73:EY75"/>
    <mergeCell ref="EZ73:EZ75"/>
    <mergeCell ref="FA73:FA75"/>
    <mergeCell ref="FB73:FB75"/>
    <mergeCell ref="FC73:FC75"/>
    <mergeCell ref="FD73:FD75"/>
    <mergeCell ref="FE73:FE75"/>
    <mergeCell ref="FF73:FF75"/>
    <mergeCell ref="FG73:FG75"/>
    <mergeCell ref="FH73:FH75"/>
    <mergeCell ref="FI73:FI75"/>
    <mergeCell ref="FJ73:FJ75"/>
    <mergeCell ref="FX71:FX72"/>
    <mergeCell ref="FY71:FY72"/>
    <mergeCell ref="FZ71:FZ72"/>
    <mergeCell ref="GA71:GA72"/>
    <mergeCell ref="CV73:CV75"/>
    <mergeCell ref="CW73:CW75"/>
    <mergeCell ref="CX73:CX75"/>
    <mergeCell ref="CY73:CY75"/>
    <mergeCell ref="CZ73:CZ75"/>
    <mergeCell ref="DA73:DA75"/>
    <mergeCell ref="DB73:DB75"/>
    <mergeCell ref="DC73:DC75"/>
    <mergeCell ref="DD73:DD75"/>
    <mergeCell ref="DE73:DE75"/>
    <mergeCell ref="DF73:DF75"/>
    <mergeCell ref="DG73:DG75"/>
    <mergeCell ref="DH73:DH75"/>
    <mergeCell ref="DI73:DI75"/>
    <mergeCell ref="DJ73:DJ75"/>
    <mergeCell ref="DK73:DK75"/>
    <mergeCell ref="DL73:DL75"/>
    <mergeCell ref="DM73:DM75"/>
    <mergeCell ref="DN73:DN75"/>
    <mergeCell ref="DO73:DO75"/>
    <mergeCell ref="DP73:DP75"/>
    <mergeCell ref="DQ73:DQ75"/>
    <mergeCell ref="DR73:DR75"/>
    <mergeCell ref="DS73:DS75"/>
    <mergeCell ref="DT73:DT75"/>
    <mergeCell ref="DU73:DU75"/>
    <mergeCell ref="FX73:FX75"/>
    <mergeCell ref="FY73:FY75"/>
    <mergeCell ref="DV73:DV75"/>
    <mergeCell ref="DW73:DW75"/>
    <mergeCell ref="FG71:FG72"/>
    <mergeCell ref="FH71:FH72"/>
    <mergeCell ref="FI71:FI72"/>
    <mergeCell ref="FJ71:FJ72"/>
    <mergeCell ref="FK71:FK72"/>
    <mergeCell ref="FL71:FL72"/>
    <mergeCell ref="FM71:FM72"/>
    <mergeCell ref="FN71:FN72"/>
    <mergeCell ref="FO71:FO72"/>
    <mergeCell ref="FP71:FP72"/>
    <mergeCell ref="FQ71:FQ72"/>
    <mergeCell ref="FR71:FR72"/>
    <mergeCell ref="FS71:FS72"/>
    <mergeCell ref="FT71:FT72"/>
    <mergeCell ref="FU71:FU72"/>
    <mergeCell ref="EI73:EI75"/>
    <mergeCell ref="EJ73:EJ75"/>
    <mergeCell ref="EK73:EK75"/>
    <mergeCell ref="EL73:EL75"/>
    <mergeCell ref="EM73:EM75"/>
    <mergeCell ref="ER73:ER75"/>
    <mergeCell ref="ES73:ES75"/>
    <mergeCell ref="FV71:FV72"/>
    <mergeCell ref="FW71:FW72"/>
    <mergeCell ref="EP71:EP72"/>
    <mergeCell ref="EQ71:EQ72"/>
    <mergeCell ref="ER71:ER72"/>
    <mergeCell ref="ES71:ES72"/>
    <mergeCell ref="ET71:ET72"/>
    <mergeCell ref="EU71:EU72"/>
    <mergeCell ref="EV71:EV72"/>
    <mergeCell ref="EW71:EW72"/>
    <mergeCell ref="EX71:EX72"/>
    <mergeCell ref="EY71:EY72"/>
    <mergeCell ref="EZ71:EZ72"/>
    <mergeCell ref="FA71:FA72"/>
    <mergeCell ref="FB71:FB72"/>
    <mergeCell ref="FC71:FC72"/>
    <mergeCell ref="FD71:FD72"/>
    <mergeCell ref="FE71:FE72"/>
    <mergeCell ref="FF71:FF72"/>
    <mergeCell ref="DT71:DT72"/>
    <mergeCell ref="DU71:DU72"/>
    <mergeCell ref="DV71:DV72"/>
    <mergeCell ref="DW71:DW72"/>
    <mergeCell ref="DX71:DX72"/>
    <mergeCell ref="DY71:DY72"/>
    <mergeCell ref="DZ71:DZ72"/>
    <mergeCell ref="EA71:EA72"/>
    <mergeCell ref="EB71:EB72"/>
    <mergeCell ref="EC71:EC72"/>
    <mergeCell ref="ED71:ED72"/>
    <mergeCell ref="EE71:EE72"/>
    <mergeCell ref="EF71:EF72"/>
    <mergeCell ref="EG71:EG72"/>
    <mergeCell ref="EH71:EH72"/>
    <mergeCell ref="EN71:EN72"/>
    <mergeCell ref="EO71:EO72"/>
    <mergeCell ref="EI71:EI72"/>
    <mergeCell ref="EJ71:EJ72"/>
    <mergeCell ref="EK71:EK72"/>
    <mergeCell ref="EL71:EL72"/>
    <mergeCell ref="EM71:EM72"/>
    <mergeCell ref="FT68:FT70"/>
    <mergeCell ref="FU68:FU70"/>
    <mergeCell ref="FV68:FV70"/>
    <mergeCell ref="FW68:FW70"/>
    <mergeCell ref="FX68:FX70"/>
    <mergeCell ref="FY68:FY70"/>
    <mergeCell ref="FZ68:FZ70"/>
    <mergeCell ref="GA68:GA70"/>
    <mergeCell ref="CV71:CV72"/>
    <mergeCell ref="CW71:CW72"/>
    <mergeCell ref="CX71:CX72"/>
    <mergeCell ref="CY71:CY72"/>
    <mergeCell ref="CZ71:CZ72"/>
    <mergeCell ref="DA71:DA72"/>
    <mergeCell ref="DB71:DB72"/>
    <mergeCell ref="DC71:DC72"/>
    <mergeCell ref="DD71:DD72"/>
    <mergeCell ref="DE71:DE72"/>
    <mergeCell ref="DF71:DF72"/>
    <mergeCell ref="DG71:DG72"/>
    <mergeCell ref="DH71:DH72"/>
    <mergeCell ref="DI71:DI72"/>
    <mergeCell ref="DJ71:DJ72"/>
    <mergeCell ref="DK71:DK72"/>
    <mergeCell ref="DL71:DL72"/>
    <mergeCell ref="DM71:DM72"/>
    <mergeCell ref="DN71:DN72"/>
    <mergeCell ref="DO71:DO72"/>
    <mergeCell ref="DP71:DP72"/>
    <mergeCell ref="DQ71:DQ72"/>
    <mergeCell ref="DR71:DR72"/>
    <mergeCell ref="DS71:DS72"/>
    <mergeCell ref="FC68:FC70"/>
    <mergeCell ref="FD68:FD70"/>
    <mergeCell ref="FE68:FE70"/>
    <mergeCell ref="FF68:FF70"/>
    <mergeCell ref="FG68:FG70"/>
    <mergeCell ref="FH68:FH70"/>
    <mergeCell ref="FI68:FI70"/>
    <mergeCell ref="FJ68:FJ70"/>
    <mergeCell ref="FK68:FK70"/>
    <mergeCell ref="FL68:FL70"/>
    <mergeCell ref="FM68:FM70"/>
    <mergeCell ref="FN68:FN70"/>
    <mergeCell ref="FO68:FO70"/>
    <mergeCell ref="FP68:FP70"/>
    <mergeCell ref="FQ68:FQ70"/>
    <mergeCell ref="FR68:FR70"/>
    <mergeCell ref="FS68:FS70"/>
    <mergeCell ref="EG68:EG70"/>
    <mergeCell ref="EH68:EH70"/>
    <mergeCell ref="EN68:EN70"/>
    <mergeCell ref="EO68:EO70"/>
    <mergeCell ref="EP68:EP70"/>
    <mergeCell ref="EQ68:EQ70"/>
    <mergeCell ref="ER68:ER70"/>
    <mergeCell ref="ES68:ES70"/>
    <mergeCell ref="ET68:ET70"/>
    <mergeCell ref="EU68:EU70"/>
    <mergeCell ref="EV68:EV70"/>
    <mergeCell ref="EW68:EW70"/>
    <mergeCell ref="EX68:EX70"/>
    <mergeCell ref="EY68:EY70"/>
    <mergeCell ref="EZ68:EZ70"/>
    <mergeCell ref="FA68:FA70"/>
    <mergeCell ref="FB68:FB70"/>
    <mergeCell ref="EI68:EI70"/>
    <mergeCell ref="EJ68:EJ70"/>
    <mergeCell ref="EK68:EK70"/>
    <mergeCell ref="EL68:EL70"/>
    <mergeCell ref="EM68:EM70"/>
    <mergeCell ref="FY66:FY67"/>
    <mergeCell ref="FZ66:FZ67"/>
    <mergeCell ref="GA66:GA67"/>
    <mergeCell ref="CV68:CV70"/>
    <mergeCell ref="CW68:CW70"/>
    <mergeCell ref="CX68:CX70"/>
    <mergeCell ref="CY68:CY70"/>
    <mergeCell ref="CZ68:CZ70"/>
    <mergeCell ref="DA68:DA70"/>
    <mergeCell ref="DB68:DB70"/>
    <mergeCell ref="DC68:DC70"/>
    <mergeCell ref="DD68:DD70"/>
    <mergeCell ref="DE68:DE70"/>
    <mergeCell ref="DF68:DF70"/>
    <mergeCell ref="DG68:DG70"/>
    <mergeCell ref="DH68:DH70"/>
    <mergeCell ref="DI68:DI70"/>
    <mergeCell ref="DJ68:DJ70"/>
    <mergeCell ref="DK68:DK70"/>
    <mergeCell ref="DL68:DL70"/>
    <mergeCell ref="DM68:DM70"/>
    <mergeCell ref="DN68:DN70"/>
    <mergeCell ref="DO68:DO70"/>
    <mergeCell ref="DP68:DP70"/>
    <mergeCell ref="DQ68:DQ70"/>
    <mergeCell ref="DR68:DR70"/>
    <mergeCell ref="DS68:DS70"/>
    <mergeCell ref="DT68:DT70"/>
    <mergeCell ref="DU68:DU70"/>
    <mergeCell ref="DV68:DV70"/>
    <mergeCell ref="DW68:DW70"/>
    <mergeCell ref="DX68:DX70"/>
    <mergeCell ref="FH66:FH67"/>
    <mergeCell ref="FI66:FI67"/>
    <mergeCell ref="FJ66:FJ67"/>
    <mergeCell ref="FK66:FK67"/>
    <mergeCell ref="FL66:FL67"/>
    <mergeCell ref="FM66:FM67"/>
    <mergeCell ref="FN66:FN67"/>
    <mergeCell ref="FO66:FO67"/>
    <mergeCell ref="FP66:FP67"/>
    <mergeCell ref="FQ66:FQ67"/>
    <mergeCell ref="FR66:FR67"/>
    <mergeCell ref="FS66:FS67"/>
    <mergeCell ref="FT66:FT67"/>
    <mergeCell ref="FU66:FU67"/>
    <mergeCell ref="FV66:FV67"/>
    <mergeCell ref="FW66:FW67"/>
    <mergeCell ref="FX66:FX67"/>
    <mergeCell ref="EQ66:EQ67"/>
    <mergeCell ref="ER66:ER67"/>
    <mergeCell ref="ES66:ES67"/>
    <mergeCell ref="ET66:ET67"/>
    <mergeCell ref="EU66:EU67"/>
    <mergeCell ref="EV66:EV67"/>
    <mergeCell ref="EW66:EW67"/>
    <mergeCell ref="EX66:EX67"/>
    <mergeCell ref="EY66:EY67"/>
    <mergeCell ref="EZ66:EZ67"/>
    <mergeCell ref="FA66:FA67"/>
    <mergeCell ref="FB66:FB67"/>
    <mergeCell ref="FC66:FC67"/>
    <mergeCell ref="FD66:FD67"/>
    <mergeCell ref="FE66:FE67"/>
    <mergeCell ref="FF66:FF67"/>
    <mergeCell ref="FG66:FG67"/>
    <mergeCell ref="DY66:DY67"/>
    <mergeCell ref="DZ66:DZ67"/>
    <mergeCell ref="EA66:EA67"/>
    <mergeCell ref="EB66:EB67"/>
    <mergeCell ref="EC66:EC67"/>
    <mergeCell ref="ED66:ED67"/>
    <mergeCell ref="EE66:EE67"/>
    <mergeCell ref="EF66:EF67"/>
    <mergeCell ref="EG66:EG67"/>
    <mergeCell ref="EH66:EH67"/>
    <mergeCell ref="EN66:EN67"/>
    <mergeCell ref="EO66:EO67"/>
    <mergeCell ref="EP66:EP67"/>
    <mergeCell ref="EI66:EI67"/>
    <mergeCell ref="EJ66:EJ67"/>
    <mergeCell ref="EK66:EK67"/>
    <mergeCell ref="EL66:EL67"/>
    <mergeCell ref="EM66:EM67"/>
    <mergeCell ref="FP59:FP65"/>
    <mergeCell ref="FQ59:FQ65"/>
    <mergeCell ref="FR59:FR65"/>
    <mergeCell ref="FS59:FS65"/>
    <mergeCell ref="FT59:FT65"/>
    <mergeCell ref="FU59:FU65"/>
    <mergeCell ref="FV59:FV65"/>
    <mergeCell ref="FW59:FW65"/>
    <mergeCell ref="FX59:FX65"/>
    <mergeCell ref="FY59:FY65"/>
    <mergeCell ref="FZ59:FZ65"/>
    <mergeCell ref="GA59:GA65"/>
    <mergeCell ref="CV66:CV67"/>
    <mergeCell ref="CW66:CW67"/>
    <mergeCell ref="CX66:CX67"/>
    <mergeCell ref="CY66:CY67"/>
    <mergeCell ref="CZ66:CZ67"/>
    <mergeCell ref="DA66:DA67"/>
    <mergeCell ref="DB66:DB67"/>
    <mergeCell ref="DC66:DC67"/>
    <mergeCell ref="DD66:DD67"/>
    <mergeCell ref="DE66:DE67"/>
    <mergeCell ref="DF66:DF67"/>
    <mergeCell ref="DG66:DG67"/>
    <mergeCell ref="DH66:DH67"/>
    <mergeCell ref="DI66:DI67"/>
    <mergeCell ref="DJ66:DJ67"/>
    <mergeCell ref="DK66:DK67"/>
    <mergeCell ref="DU66:DU67"/>
    <mergeCell ref="DV66:DV67"/>
    <mergeCell ref="DW66:DW67"/>
    <mergeCell ref="DX66:DX67"/>
    <mergeCell ref="EY59:EY65"/>
    <mergeCell ref="EZ59:EZ65"/>
    <mergeCell ref="FA59:FA65"/>
    <mergeCell ref="FB59:FB65"/>
    <mergeCell ref="FC59:FC65"/>
    <mergeCell ref="FD59:FD65"/>
    <mergeCell ref="FE59:FE65"/>
    <mergeCell ref="FF59:FF65"/>
    <mergeCell ref="FG59:FG65"/>
    <mergeCell ref="FH59:FH65"/>
    <mergeCell ref="FI59:FI65"/>
    <mergeCell ref="FJ59:FJ65"/>
    <mergeCell ref="FK59:FK65"/>
    <mergeCell ref="FL59:FL65"/>
    <mergeCell ref="FM59:FM65"/>
    <mergeCell ref="FN59:FN65"/>
    <mergeCell ref="FO59:FO65"/>
    <mergeCell ref="EH59:EH65"/>
    <mergeCell ref="EN59:EN65"/>
    <mergeCell ref="EO59:EO65"/>
    <mergeCell ref="EP59:EP65"/>
    <mergeCell ref="EQ59:EQ65"/>
    <mergeCell ref="ER59:ER65"/>
    <mergeCell ref="ES59:ES65"/>
    <mergeCell ref="ET59:ET65"/>
    <mergeCell ref="EI59:EI65"/>
    <mergeCell ref="EJ59:EJ65"/>
    <mergeCell ref="EK59:EK65"/>
    <mergeCell ref="EL59:EL65"/>
    <mergeCell ref="EM59:EM65"/>
    <mergeCell ref="EU59:EU65"/>
    <mergeCell ref="EV59:EV65"/>
    <mergeCell ref="EW59:EW65"/>
    <mergeCell ref="EX59:EX65"/>
    <mergeCell ref="FZ57:FZ58"/>
    <mergeCell ref="GA57:GA58"/>
    <mergeCell ref="CV59:CV65"/>
    <mergeCell ref="CW59:CW65"/>
    <mergeCell ref="CX59:CX65"/>
    <mergeCell ref="CY59:CY65"/>
    <mergeCell ref="CZ59:CZ65"/>
    <mergeCell ref="DA59:DA65"/>
    <mergeCell ref="DB59:DB65"/>
    <mergeCell ref="DC59:DC65"/>
    <mergeCell ref="DD59:DD65"/>
    <mergeCell ref="DE59:DE65"/>
    <mergeCell ref="DF59:DF65"/>
    <mergeCell ref="DG59:DG65"/>
    <mergeCell ref="DH59:DH65"/>
    <mergeCell ref="DI59:DI65"/>
    <mergeCell ref="DJ59:DJ65"/>
    <mergeCell ref="DK59:DK65"/>
    <mergeCell ref="DL59:DL65"/>
    <mergeCell ref="DM59:DM65"/>
    <mergeCell ref="DN59:DN65"/>
    <mergeCell ref="DO59:DO65"/>
    <mergeCell ref="DP59:DP65"/>
    <mergeCell ref="DY59:DY65"/>
    <mergeCell ref="DZ59:DZ65"/>
    <mergeCell ref="EA59:EA65"/>
    <mergeCell ref="EB59:EB65"/>
    <mergeCell ref="EC59:EC65"/>
    <mergeCell ref="ED59:ED65"/>
    <mergeCell ref="EE59:EE65"/>
    <mergeCell ref="EF59:EF65"/>
    <mergeCell ref="EG59:EG65"/>
    <mergeCell ref="FC57:FC58"/>
    <mergeCell ref="FD57:FD58"/>
    <mergeCell ref="FE57:FE58"/>
    <mergeCell ref="FF57:FF58"/>
    <mergeCell ref="FG57:FG58"/>
    <mergeCell ref="FH57:FH58"/>
    <mergeCell ref="FI57:FI58"/>
    <mergeCell ref="FJ57:FJ58"/>
    <mergeCell ref="FQ57:FQ58"/>
    <mergeCell ref="FR57:FR58"/>
    <mergeCell ref="FS57:FS58"/>
    <mergeCell ref="FT57:FT58"/>
    <mergeCell ref="FU57:FU58"/>
    <mergeCell ref="FV57:FV58"/>
    <mergeCell ref="FW57:FW58"/>
    <mergeCell ref="FX57:FX58"/>
    <mergeCell ref="FY57:FY58"/>
    <mergeCell ref="EQ57:EQ58"/>
    <mergeCell ref="ER57:ER58"/>
    <mergeCell ref="ES57:ES58"/>
    <mergeCell ref="EI57:EI58"/>
    <mergeCell ref="EJ57:EJ58"/>
    <mergeCell ref="EK57:EK58"/>
    <mergeCell ref="EL57:EL58"/>
    <mergeCell ref="EM57:EM58"/>
    <mergeCell ref="ET57:ET58"/>
    <mergeCell ref="EU57:EU58"/>
    <mergeCell ref="EV57:EV58"/>
    <mergeCell ref="EW57:EW58"/>
    <mergeCell ref="EX57:EX58"/>
    <mergeCell ref="EY57:EY58"/>
    <mergeCell ref="EZ57:EZ58"/>
    <mergeCell ref="FA57:FA58"/>
    <mergeCell ref="FB57:FB58"/>
    <mergeCell ref="EG52:EG56"/>
    <mergeCell ref="EH52:EH56"/>
    <mergeCell ref="DG52:DG56"/>
    <mergeCell ref="DH52:DH56"/>
    <mergeCell ref="DI52:DI56"/>
    <mergeCell ref="DJ52:DJ56"/>
    <mergeCell ref="DK52:DK56"/>
    <mergeCell ref="DL52:DL56"/>
    <mergeCell ref="DM52:DM56"/>
    <mergeCell ref="DN52:DN56"/>
    <mergeCell ref="DO52:DO56"/>
    <mergeCell ref="DP52:DP56"/>
    <mergeCell ref="DQ52:DQ56"/>
    <mergeCell ref="DR52:DR56"/>
    <mergeCell ref="DS52:DS56"/>
    <mergeCell ref="DT52:DT56"/>
    <mergeCell ref="DU52:DU56"/>
    <mergeCell ref="DV52:DV56"/>
    <mergeCell ref="DW52:DW56"/>
    <mergeCell ref="ED52:ED56"/>
    <mergeCell ref="EE52:EE56"/>
    <mergeCell ref="DX52:DX56"/>
    <mergeCell ref="DY52:DY56"/>
    <mergeCell ref="DZ52:DZ56"/>
    <mergeCell ref="EA52:EA56"/>
    <mergeCell ref="EB52:EB56"/>
    <mergeCell ref="EC52:EC56"/>
    <mergeCell ref="CV52:CV56"/>
    <mergeCell ref="CW52:CW56"/>
    <mergeCell ref="CX52:CX56"/>
    <mergeCell ref="CY52:CY56"/>
    <mergeCell ref="CZ52:CZ56"/>
    <mergeCell ref="DA52:DA56"/>
    <mergeCell ref="DB52:DB56"/>
    <mergeCell ref="DC52:DC56"/>
    <mergeCell ref="DD52:DD56"/>
    <mergeCell ref="DE52:DE56"/>
    <mergeCell ref="DF52:DF56"/>
    <mergeCell ref="CK52:CK56"/>
    <mergeCell ref="CL52:CL56"/>
    <mergeCell ref="CM52:CM56"/>
    <mergeCell ref="CN52:CN56"/>
    <mergeCell ref="CO52:CO56"/>
    <mergeCell ref="EF52:EF56"/>
    <mergeCell ref="BS52:BS56"/>
    <mergeCell ref="BT52:BT56"/>
    <mergeCell ref="BU52:BU56"/>
    <mergeCell ref="BV52:BV56"/>
    <mergeCell ref="BW52:BW56"/>
    <mergeCell ref="BX52:BX56"/>
    <mergeCell ref="BY52:BY56"/>
    <mergeCell ref="BZ52:BZ56"/>
    <mergeCell ref="CA52:CA56"/>
    <mergeCell ref="CB52:CB56"/>
    <mergeCell ref="CC52:CC56"/>
    <mergeCell ref="CD52:CD56"/>
    <mergeCell ref="CE52:CE56"/>
    <mergeCell ref="CF52:CF56"/>
    <mergeCell ref="CG52:CG56"/>
    <mergeCell ref="CH52:CH56"/>
    <mergeCell ref="CU52:CU56"/>
    <mergeCell ref="BB52:BB56"/>
    <mergeCell ref="BC52:BC56"/>
    <mergeCell ref="BD52:BD56"/>
    <mergeCell ref="BE52:BE56"/>
    <mergeCell ref="BF52:BF56"/>
    <mergeCell ref="BG52:BG56"/>
    <mergeCell ref="BH52:BH56"/>
    <mergeCell ref="BI52:BI56"/>
    <mergeCell ref="BJ52:BJ56"/>
    <mergeCell ref="BK52:BK56"/>
    <mergeCell ref="BL52:BL56"/>
    <mergeCell ref="BM52:BM56"/>
    <mergeCell ref="BN52:BN56"/>
    <mergeCell ref="BO52:BO56"/>
    <mergeCell ref="BP52:BP56"/>
    <mergeCell ref="BQ52:BQ56"/>
    <mergeCell ref="BR52:BR56"/>
    <mergeCell ref="KF6:KF56"/>
    <mergeCell ref="KG6:KG56"/>
    <mergeCell ref="KH6:KH56"/>
    <mergeCell ref="KI6:KI56"/>
    <mergeCell ref="JS6:JS56"/>
    <mergeCell ref="LB6:LB56"/>
    <mergeCell ref="LC6:LC56"/>
    <mergeCell ref="LD6:LD56"/>
    <mergeCell ref="LE6:LE56"/>
    <mergeCell ref="LF6:LF56"/>
    <mergeCell ref="KS6:KS56"/>
    <mergeCell ref="KT6:KT56"/>
    <mergeCell ref="KU6:KU56"/>
    <mergeCell ref="KV6:KV56"/>
    <mergeCell ref="KW6:KW56"/>
    <mergeCell ref="KX6:KX56"/>
    <mergeCell ref="KY6:KY56"/>
    <mergeCell ref="KZ6:KZ56"/>
    <mergeCell ref="LA6:LA56"/>
    <mergeCell ref="KJ6:KJ56"/>
    <mergeCell ref="KK6:KK56"/>
    <mergeCell ref="KL6:KL56"/>
    <mergeCell ref="KM6:KM56"/>
    <mergeCell ref="KN6:KN56"/>
    <mergeCell ref="KO6:KO56"/>
    <mergeCell ref="KP6:KP56"/>
    <mergeCell ref="KQ6:KQ56"/>
    <mergeCell ref="KR6:KR56"/>
    <mergeCell ref="IO6:IO56"/>
    <mergeCell ref="IP6:IP56"/>
    <mergeCell ref="IQ6:IQ56"/>
    <mergeCell ref="IR6:IR56"/>
    <mergeCell ref="IS6:IS56"/>
    <mergeCell ref="IT6:IT56"/>
    <mergeCell ref="JU6:JU56"/>
    <mergeCell ref="JV6:JV56"/>
    <mergeCell ref="JW6:JW56"/>
    <mergeCell ref="JX6:JX56"/>
    <mergeCell ref="JY6:JY56"/>
    <mergeCell ref="JZ6:JZ56"/>
    <mergeCell ref="KA6:KA56"/>
    <mergeCell ref="KB6:KB56"/>
    <mergeCell ref="KC6:KC56"/>
    <mergeCell ref="KD6:KD56"/>
    <mergeCell ref="KE6:KE56"/>
    <mergeCell ref="JG6:JG56"/>
    <mergeCell ref="JH6:JH56"/>
    <mergeCell ref="JI6:JI56"/>
    <mergeCell ref="JJ6:JJ56"/>
    <mergeCell ref="JK6:JK56"/>
    <mergeCell ref="JL6:JL56"/>
    <mergeCell ref="JM6:JM56"/>
    <mergeCell ref="JT6:JT56"/>
    <mergeCell ref="IX6:IX56"/>
    <mergeCell ref="IY6:IY56"/>
    <mergeCell ref="IZ6:IZ56"/>
    <mergeCell ref="JA6:JA56"/>
    <mergeCell ref="JB6:JB56"/>
    <mergeCell ref="JC6:JC56"/>
    <mergeCell ref="JD6:JD56"/>
    <mergeCell ref="JE6:JE56"/>
    <mergeCell ref="JF6:JF56"/>
    <mergeCell ref="HR39:HR46"/>
    <mergeCell ref="HS39:HS46"/>
    <mergeCell ref="HT39:HT46"/>
    <mergeCell ref="HT21:HT38"/>
    <mergeCell ref="HR15:HR20"/>
    <mergeCell ref="HS15:HS20"/>
    <mergeCell ref="HT15:HT20"/>
    <mergeCell ref="HI15:HI20"/>
    <mergeCell ref="HJ15:HJ20"/>
    <mergeCell ref="HK15:HK20"/>
    <mergeCell ref="HL15:HL20"/>
    <mergeCell ref="IL6:IL56"/>
    <mergeCell ref="IM6:IM56"/>
    <mergeCell ref="IN6:IN56"/>
    <mergeCell ref="HR47:HR56"/>
    <mergeCell ref="HS47:HS56"/>
    <mergeCell ref="HT47:HT56"/>
    <mergeCell ref="IA6:IA56"/>
    <mergeCell ref="IB6:IB56"/>
    <mergeCell ref="IC6:IC56"/>
    <mergeCell ref="HL21:HL38"/>
    <mergeCell ref="HM21:HM38"/>
    <mergeCell ref="HN21:HN38"/>
    <mergeCell ref="HO21:HO38"/>
    <mergeCell ref="HP21:HP38"/>
    <mergeCell ref="HQ21:HQ38"/>
    <mergeCell ref="HR21:HR38"/>
    <mergeCell ref="HS21:HS38"/>
    <mergeCell ref="HP15:HP20"/>
    <mergeCell ref="HQ15:HQ20"/>
    <mergeCell ref="HF39:HF46"/>
    <mergeCell ref="HG39:HG46"/>
    <mergeCell ref="HH39:HH46"/>
    <mergeCell ref="HI39:HI46"/>
    <mergeCell ref="HJ39:HJ46"/>
    <mergeCell ref="HK39:HK46"/>
    <mergeCell ref="HL39:HL46"/>
    <mergeCell ref="HM39:HM46"/>
    <mergeCell ref="HN39:HN46"/>
    <mergeCell ref="GW39:GW46"/>
    <mergeCell ref="GX39:GX46"/>
    <mergeCell ref="IU6:IU56"/>
    <mergeCell ref="IV6:IV56"/>
    <mergeCell ref="IW6:IW56"/>
    <mergeCell ref="ID6:ID56"/>
    <mergeCell ref="IE6:IE56"/>
    <mergeCell ref="HI47:HI56"/>
    <mergeCell ref="HJ47:HJ56"/>
    <mergeCell ref="HK47:HK56"/>
    <mergeCell ref="HL47:HL56"/>
    <mergeCell ref="HM47:HM56"/>
    <mergeCell ref="HN47:HN56"/>
    <mergeCell ref="HO47:HO56"/>
    <mergeCell ref="HP47:HP56"/>
    <mergeCell ref="HQ47:HQ56"/>
    <mergeCell ref="HE47:HE56"/>
    <mergeCell ref="HF47:HF56"/>
    <mergeCell ref="HG47:HG56"/>
    <mergeCell ref="HH47:HH56"/>
    <mergeCell ref="HO39:HO46"/>
    <mergeCell ref="HP39:HP46"/>
    <mergeCell ref="HQ39:HQ46"/>
    <mergeCell ref="GH47:GH56"/>
    <mergeCell ref="GI47:GI56"/>
    <mergeCell ref="GJ47:GJ56"/>
    <mergeCell ref="GK47:GK56"/>
    <mergeCell ref="GL47:GL56"/>
    <mergeCell ref="GM47:GM56"/>
    <mergeCell ref="GN47:GN56"/>
    <mergeCell ref="GO47:GO56"/>
    <mergeCell ref="GP47:GP56"/>
    <mergeCell ref="GQ47:GQ56"/>
    <mergeCell ref="GR47:GR56"/>
    <mergeCell ref="GS47:GS56"/>
    <mergeCell ref="GT47:GT56"/>
    <mergeCell ref="GU47:GU56"/>
    <mergeCell ref="GV47:GV56"/>
    <mergeCell ref="GW47:GW56"/>
    <mergeCell ref="GX47:GX56"/>
    <mergeCell ref="GY39:GY46"/>
    <mergeCell ref="GZ39:GZ46"/>
    <mergeCell ref="HA39:HA46"/>
    <mergeCell ref="HB39:HB46"/>
    <mergeCell ref="HC39:HC46"/>
    <mergeCell ref="HD39:HD46"/>
    <mergeCell ref="HE39:HE46"/>
    <mergeCell ref="GZ47:GZ56"/>
    <mergeCell ref="HA47:HA56"/>
    <mergeCell ref="HB47:HB56"/>
    <mergeCell ref="HC47:HC56"/>
    <mergeCell ref="HD47:HD56"/>
    <mergeCell ref="GN39:GN46"/>
    <mergeCell ref="GO39:GO46"/>
    <mergeCell ref="GP39:GP46"/>
    <mergeCell ref="GQ39:GQ46"/>
    <mergeCell ref="GR39:GR46"/>
    <mergeCell ref="GS39:GS46"/>
    <mergeCell ref="GT39:GT46"/>
    <mergeCell ref="GU39:GU46"/>
    <mergeCell ref="GV39:GV46"/>
    <mergeCell ref="GY47:GY56"/>
    <mergeCell ref="GY21:GY38"/>
    <mergeCell ref="GZ21:GZ38"/>
    <mergeCell ref="HA21:HA38"/>
    <mergeCell ref="HB21:HB38"/>
    <mergeCell ref="GH21:GH38"/>
    <mergeCell ref="GI21:GI38"/>
    <mergeCell ref="GJ21:GJ38"/>
    <mergeCell ref="GK21:GK38"/>
    <mergeCell ref="GL21:GL38"/>
    <mergeCell ref="GM21:GM38"/>
    <mergeCell ref="GN21:GN38"/>
    <mergeCell ref="GO21:GO38"/>
    <mergeCell ref="GP21:GP38"/>
    <mergeCell ref="GQ21:GQ38"/>
    <mergeCell ref="GR21:GR38"/>
    <mergeCell ref="GS21:GS38"/>
    <mergeCell ref="GT21:GT38"/>
    <mergeCell ref="GU21:GU38"/>
    <mergeCell ref="GV21:GV38"/>
    <mergeCell ref="GW21:GW38"/>
    <mergeCell ref="GX21:GX38"/>
    <mergeCell ref="HO6:HO14"/>
    <mergeCell ref="HP6:HP14"/>
    <mergeCell ref="HQ6:HQ14"/>
    <mergeCell ref="HR6:HR14"/>
    <mergeCell ref="HS6:HS14"/>
    <mergeCell ref="HT6:HT14"/>
    <mergeCell ref="HM15:HM20"/>
    <mergeCell ref="HN15:HN20"/>
    <mergeCell ref="HO15:HO20"/>
    <mergeCell ref="HC21:HC38"/>
    <mergeCell ref="HD21:HD38"/>
    <mergeCell ref="HE21:HE38"/>
    <mergeCell ref="HF21:HF38"/>
    <mergeCell ref="HG21:HG38"/>
    <mergeCell ref="HH21:HH38"/>
    <mergeCell ref="HI21:HI38"/>
    <mergeCell ref="HJ21:HJ38"/>
    <mergeCell ref="HK21:HK38"/>
    <mergeCell ref="GH15:GH20"/>
    <mergeCell ref="GI15:GI20"/>
    <mergeCell ref="GJ15:GJ20"/>
    <mergeCell ref="GK15:GK20"/>
    <mergeCell ref="GL15:GL20"/>
    <mergeCell ref="GM15:GM20"/>
    <mergeCell ref="GN15:GN20"/>
    <mergeCell ref="GO15:GO20"/>
    <mergeCell ref="GP15:GP20"/>
    <mergeCell ref="GQ15:GQ20"/>
    <mergeCell ref="GR15:GR20"/>
    <mergeCell ref="GS15:GS20"/>
    <mergeCell ref="GT15:GT20"/>
    <mergeCell ref="GU15:GU20"/>
    <mergeCell ref="GV15:GV20"/>
    <mergeCell ref="GW15:GW20"/>
    <mergeCell ref="GX15:GX20"/>
    <mergeCell ref="GY15:GY20"/>
    <mergeCell ref="HF6:HF14"/>
    <mergeCell ref="HG6:HG14"/>
    <mergeCell ref="HH6:HH14"/>
    <mergeCell ref="HI6:HI14"/>
    <mergeCell ref="HJ6:HJ14"/>
    <mergeCell ref="HK6:HK14"/>
    <mergeCell ref="HL6:HL14"/>
    <mergeCell ref="HM6:HM14"/>
    <mergeCell ref="HN6:HN14"/>
    <mergeCell ref="GW6:GW14"/>
    <mergeCell ref="GX6:GX14"/>
    <mergeCell ref="GY6:GY14"/>
    <mergeCell ref="GZ6:GZ14"/>
    <mergeCell ref="HA6:HA14"/>
    <mergeCell ref="HB6:HB14"/>
    <mergeCell ref="HC6:HC14"/>
    <mergeCell ref="HD6:HD14"/>
    <mergeCell ref="HE6:HE14"/>
    <mergeCell ref="GZ15:GZ20"/>
    <mergeCell ref="HA15:HA20"/>
    <mergeCell ref="HB15:HB20"/>
    <mergeCell ref="HC15:HC20"/>
    <mergeCell ref="HD15:HD20"/>
    <mergeCell ref="HE15:HE20"/>
    <mergeCell ref="HF15:HF20"/>
    <mergeCell ref="HG15:HG20"/>
    <mergeCell ref="HH15:HH20"/>
    <mergeCell ref="GN6:GN14"/>
    <mergeCell ref="GO6:GO14"/>
    <mergeCell ref="GP6:GP14"/>
    <mergeCell ref="GQ6:GQ14"/>
    <mergeCell ref="GR6:GR14"/>
    <mergeCell ref="GS6:GS14"/>
    <mergeCell ref="GT6:GT14"/>
    <mergeCell ref="GU6:GU14"/>
    <mergeCell ref="GV6:GV14"/>
    <mergeCell ref="FY47:FY56"/>
    <mergeCell ref="FZ47:FZ56"/>
    <mergeCell ref="GA47:GA56"/>
    <mergeCell ref="GH6:GH14"/>
    <mergeCell ref="GI6:GI14"/>
    <mergeCell ref="GJ6:GJ14"/>
    <mergeCell ref="GK6:GK14"/>
    <mergeCell ref="GL6:GL14"/>
    <mergeCell ref="GM6:GM14"/>
    <mergeCell ref="GH39:GH46"/>
    <mergeCell ref="GI39:GI46"/>
    <mergeCell ref="GJ39:GJ46"/>
    <mergeCell ref="GK39:GK46"/>
    <mergeCell ref="GL39:GL46"/>
    <mergeCell ref="GM39:GM46"/>
    <mergeCell ref="FY21:FY38"/>
    <mergeCell ref="FZ21:FZ38"/>
    <mergeCell ref="GA21:GA38"/>
    <mergeCell ref="FY6:FY14"/>
    <mergeCell ref="FZ6:FZ14"/>
    <mergeCell ref="GA6:GA14"/>
    <mergeCell ref="FY39:FY46"/>
    <mergeCell ref="FZ39:FZ46"/>
    <mergeCell ref="EO47:EO56"/>
    <mergeCell ref="EP47:EP56"/>
    <mergeCell ref="EQ47:EQ56"/>
    <mergeCell ref="ER47:ER56"/>
    <mergeCell ref="ES47:ES56"/>
    <mergeCell ref="ET47:ET56"/>
    <mergeCell ref="EU47:EU56"/>
    <mergeCell ref="EV47:EV56"/>
    <mergeCell ref="EW47:EW56"/>
    <mergeCell ref="FP47:FP56"/>
    <mergeCell ref="FQ47:FQ56"/>
    <mergeCell ref="FR47:FR56"/>
    <mergeCell ref="FS47:FS56"/>
    <mergeCell ref="FT47:FT56"/>
    <mergeCell ref="FU47:FU56"/>
    <mergeCell ref="FV47:FV56"/>
    <mergeCell ref="FW47:FW56"/>
    <mergeCell ref="FG47:FG56"/>
    <mergeCell ref="FH47:FH56"/>
    <mergeCell ref="FI47:FI56"/>
    <mergeCell ref="FJ47:FJ56"/>
    <mergeCell ref="FK47:FK56"/>
    <mergeCell ref="FL47:FL56"/>
    <mergeCell ref="FM47:FM56"/>
    <mergeCell ref="FN47:FN56"/>
    <mergeCell ref="FO47:FO56"/>
    <mergeCell ref="GA39:GA46"/>
    <mergeCell ref="FJ39:FJ46"/>
    <mergeCell ref="FK39:FK46"/>
    <mergeCell ref="FL39:FL46"/>
    <mergeCell ref="FM39:FM46"/>
    <mergeCell ref="FN39:FN46"/>
    <mergeCell ref="FO39:FO46"/>
    <mergeCell ref="FP39:FP46"/>
    <mergeCell ref="FQ39:FQ46"/>
    <mergeCell ref="FR39:FR46"/>
    <mergeCell ref="EX47:EX56"/>
    <mergeCell ref="EY47:EY56"/>
    <mergeCell ref="EZ47:EZ56"/>
    <mergeCell ref="FA47:FA56"/>
    <mergeCell ref="FB47:FB56"/>
    <mergeCell ref="FC47:FC56"/>
    <mergeCell ref="FD47:FD56"/>
    <mergeCell ref="FE47:FE56"/>
    <mergeCell ref="FF47:FF56"/>
    <mergeCell ref="FX47:FX56"/>
    <mergeCell ref="FF39:FF46"/>
    <mergeCell ref="FG39:FG46"/>
    <mergeCell ref="FH39:FH46"/>
    <mergeCell ref="FI39:FI46"/>
    <mergeCell ref="FS39:FS46"/>
    <mergeCell ref="FT39:FT46"/>
    <mergeCell ref="FU39:FU46"/>
    <mergeCell ref="FV39:FV46"/>
    <mergeCell ref="FW39:FW46"/>
    <mergeCell ref="FX39:FX46"/>
    <mergeCell ref="EO39:EO46"/>
    <mergeCell ref="EP39:EP46"/>
    <mergeCell ref="EQ39:EQ46"/>
    <mergeCell ref="ER39:ER46"/>
    <mergeCell ref="ES39:ES46"/>
    <mergeCell ref="ET39:ET46"/>
    <mergeCell ref="EU39:EU46"/>
    <mergeCell ref="EV39:EV46"/>
    <mergeCell ref="EW39:EW46"/>
    <mergeCell ref="EX39:EX46"/>
    <mergeCell ref="EY39:EY46"/>
    <mergeCell ref="EZ39:EZ46"/>
    <mergeCell ref="FA39:FA46"/>
    <mergeCell ref="FB39:FB46"/>
    <mergeCell ref="FC39:FC46"/>
    <mergeCell ref="FD39:FD46"/>
    <mergeCell ref="FE39:FE46"/>
    <mergeCell ref="FP21:FP38"/>
    <mergeCell ref="FQ21:FQ38"/>
    <mergeCell ref="FR21:FR38"/>
    <mergeCell ref="FS21:FS38"/>
    <mergeCell ref="FT21:FT38"/>
    <mergeCell ref="FU21:FU38"/>
    <mergeCell ref="FV21:FV38"/>
    <mergeCell ref="FW21:FW38"/>
    <mergeCell ref="FX21:FX38"/>
    <mergeCell ref="FG21:FG38"/>
    <mergeCell ref="FH21:FH38"/>
    <mergeCell ref="FI21:FI38"/>
    <mergeCell ref="FJ21:FJ38"/>
    <mergeCell ref="FK21:FK38"/>
    <mergeCell ref="FL21:FL38"/>
    <mergeCell ref="FM21:FM38"/>
    <mergeCell ref="FN21:FN38"/>
    <mergeCell ref="FO21:FO38"/>
    <mergeCell ref="EX21:EX38"/>
    <mergeCell ref="EY21:EY38"/>
    <mergeCell ref="EZ21:EZ38"/>
    <mergeCell ref="FA21:FA38"/>
    <mergeCell ref="FB21:FB38"/>
    <mergeCell ref="FC21:FC38"/>
    <mergeCell ref="FD21:FD38"/>
    <mergeCell ref="FE21:FE38"/>
    <mergeCell ref="FF21:FF38"/>
    <mergeCell ref="EO21:EO38"/>
    <mergeCell ref="EP21:EP38"/>
    <mergeCell ref="EQ21:EQ38"/>
    <mergeCell ref="ER21:ER38"/>
    <mergeCell ref="ES21:ES38"/>
    <mergeCell ref="ET21:ET38"/>
    <mergeCell ref="EU21:EU38"/>
    <mergeCell ref="EV21:EV38"/>
    <mergeCell ref="EW21:EW38"/>
    <mergeCell ref="FT15:FT20"/>
    <mergeCell ref="FU15:FU20"/>
    <mergeCell ref="FV15:FV20"/>
    <mergeCell ref="FW15:FW20"/>
    <mergeCell ref="FX15:FX20"/>
    <mergeCell ref="FY15:FY20"/>
    <mergeCell ref="FZ15:FZ20"/>
    <mergeCell ref="GA15:GA20"/>
    <mergeCell ref="FJ15:FJ20"/>
    <mergeCell ref="FK15:FK20"/>
    <mergeCell ref="FL15:FL20"/>
    <mergeCell ref="FM15:FM20"/>
    <mergeCell ref="FN15:FN20"/>
    <mergeCell ref="FO15:FO20"/>
    <mergeCell ref="FP15:FP20"/>
    <mergeCell ref="FQ15:FQ20"/>
    <mergeCell ref="FR15:FR20"/>
    <mergeCell ref="EP15:EP20"/>
    <mergeCell ref="EQ15:EQ20"/>
    <mergeCell ref="ER15:ER20"/>
    <mergeCell ref="ES15:ES20"/>
    <mergeCell ref="ET15:ET20"/>
    <mergeCell ref="EU15:EU20"/>
    <mergeCell ref="EV15:EV20"/>
    <mergeCell ref="EW15:EW20"/>
    <mergeCell ref="EX15:EX20"/>
    <mergeCell ref="EY15:EY20"/>
    <mergeCell ref="EZ15:EZ20"/>
    <mergeCell ref="FA15:FA20"/>
    <mergeCell ref="FB15:FB20"/>
    <mergeCell ref="FC15:FC20"/>
    <mergeCell ref="FD15:FD20"/>
    <mergeCell ref="FE15:FE20"/>
    <mergeCell ref="FS15:FS20"/>
    <mergeCell ref="FG15:FG20"/>
    <mergeCell ref="FH15:FH20"/>
    <mergeCell ref="FI15:FI20"/>
    <mergeCell ref="DV33:DV34"/>
    <mergeCell ref="EO6:EO14"/>
    <mergeCell ref="EP6:EP14"/>
    <mergeCell ref="EQ6:EQ14"/>
    <mergeCell ref="ER6:ER14"/>
    <mergeCell ref="ES6:ES14"/>
    <mergeCell ref="ET6:ET14"/>
    <mergeCell ref="EU6:EU14"/>
    <mergeCell ref="EV6:EV14"/>
    <mergeCell ref="EW6:EW14"/>
    <mergeCell ref="EX6:EX14"/>
    <mergeCell ref="EY6:EY14"/>
    <mergeCell ref="EZ6:EZ14"/>
    <mergeCell ref="FA6:FA14"/>
    <mergeCell ref="FB6:FB14"/>
    <mergeCell ref="FC6:FC14"/>
    <mergeCell ref="FD6:FD14"/>
    <mergeCell ref="EG21:EG22"/>
    <mergeCell ref="EA21:EA22"/>
    <mergeCell ref="EB21:EB22"/>
    <mergeCell ref="EC21:EC22"/>
    <mergeCell ref="ED21:ED22"/>
    <mergeCell ref="EE21:EE22"/>
    <mergeCell ref="EF21:EF22"/>
    <mergeCell ref="EC19:EC20"/>
    <mergeCell ref="ED19:ED20"/>
    <mergeCell ref="EE19:EE20"/>
    <mergeCell ref="EF19:EF20"/>
    <mergeCell ref="EG19:EG20"/>
    <mergeCell ref="EH19:EH20"/>
    <mergeCell ref="DY17:DY18"/>
    <mergeCell ref="DZ17:DZ18"/>
    <mergeCell ref="FE6:FE14"/>
    <mergeCell ref="FF6:FF14"/>
    <mergeCell ref="FG6:FG14"/>
    <mergeCell ref="FH6:FH14"/>
    <mergeCell ref="FI6:FI14"/>
    <mergeCell ref="EF33:EF34"/>
    <mergeCell ref="EG33:EG34"/>
    <mergeCell ref="EH33:EH34"/>
    <mergeCell ref="EB31:EB32"/>
    <mergeCell ref="EC31:EC32"/>
    <mergeCell ref="ED31:ED32"/>
    <mergeCell ref="EO15:EO20"/>
    <mergeCell ref="FJ6:FJ14"/>
    <mergeCell ref="DV21:DV22"/>
    <mergeCell ref="DW21:DW22"/>
    <mergeCell ref="DX21:DX22"/>
    <mergeCell ref="DV25:DV26"/>
    <mergeCell ref="DW25:DW26"/>
    <mergeCell ref="DX25:DX26"/>
    <mergeCell ref="DV29:DV30"/>
    <mergeCell ref="DW29:DW30"/>
    <mergeCell ref="DX29:DX30"/>
    <mergeCell ref="FF15:FF20"/>
    <mergeCell ref="DW33:DW34"/>
    <mergeCell ref="DX33:DX34"/>
    <mergeCell ref="DY33:DY34"/>
    <mergeCell ref="DZ33:DZ34"/>
    <mergeCell ref="EA33:EA34"/>
    <mergeCell ref="EB33:EB34"/>
    <mergeCell ref="EC33:EC34"/>
    <mergeCell ref="ED33:ED34"/>
    <mergeCell ref="EE33:EE34"/>
    <mergeCell ref="CV6:CV9"/>
    <mergeCell ref="CW6:CW9"/>
    <mergeCell ref="CX6:CX9"/>
    <mergeCell ref="CY6:CY9"/>
    <mergeCell ref="CZ6:CZ9"/>
    <mergeCell ref="DA6:DA9"/>
    <mergeCell ref="DB6:DB9"/>
    <mergeCell ref="DC6:DC9"/>
    <mergeCell ref="DD6:DD9"/>
    <mergeCell ref="DE6:DE9"/>
    <mergeCell ref="DF6:DF9"/>
    <mergeCell ref="DG6:DG9"/>
    <mergeCell ref="DH6:DH9"/>
    <mergeCell ref="DI6:DI9"/>
    <mergeCell ref="DJ6:DJ9"/>
    <mergeCell ref="EH29:EH30"/>
    <mergeCell ref="EB27:EB28"/>
    <mergeCell ref="EC27:EC28"/>
    <mergeCell ref="ED27:ED28"/>
    <mergeCell ref="EE27:EE28"/>
    <mergeCell ref="EF27:EF28"/>
    <mergeCell ref="DZ27:DZ28"/>
    <mergeCell ref="EA27:EA28"/>
    <mergeCell ref="DZ29:DZ30"/>
    <mergeCell ref="EA29:EA30"/>
    <mergeCell ref="CV29:CV30"/>
    <mergeCell ref="CW29:CW30"/>
    <mergeCell ref="CX29:CX30"/>
    <mergeCell ref="CY29:CY30"/>
    <mergeCell ref="CZ29:CZ30"/>
    <mergeCell ref="DA29:DA30"/>
    <mergeCell ref="DB29:DB30"/>
    <mergeCell ref="DZ47:DZ51"/>
    <mergeCell ref="EA47:EA51"/>
    <mergeCell ref="EB47:EB51"/>
    <mergeCell ref="EC47:EC51"/>
    <mergeCell ref="ED47:ED51"/>
    <mergeCell ref="EE47:EE51"/>
    <mergeCell ref="EF47:EF51"/>
    <mergeCell ref="EG47:EG51"/>
    <mergeCell ref="DO47:DO51"/>
    <mergeCell ref="DP47:DP51"/>
    <mergeCell ref="EH47:EH51"/>
    <mergeCell ref="DQ47:DQ51"/>
    <mergeCell ref="DR47:DR51"/>
    <mergeCell ref="DS47:DS51"/>
    <mergeCell ref="DT47:DT51"/>
    <mergeCell ref="DU47:DU51"/>
    <mergeCell ref="DV47:DV51"/>
    <mergeCell ref="DW47:DW51"/>
    <mergeCell ref="DX47:DX51"/>
    <mergeCell ref="DY47:DY51"/>
    <mergeCell ref="EF45:EF46"/>
    <mergeCell ref="EG45:EG46"/>
    <mergeCell ref="EH45:EH46"/>
    <mergeCell ref="CV47:CV51"/>
    <mergeCell ref="CW47:CW51"/>
    <mergeCell ref="CX47:CX51"/>
    <mergeCell ref="CY47:CY51"/>
    <mergeCell ref="CZ47:CZ51"/>
    <mergeCell ref="DA47:DA51"/>
    <mergeCell ref="DB47:DB51"/>
    <mergeCell ref="DC47:DC51"/>
    <mergeCell ref="DD47:DD51"/>
    <mergeCell ref="DE47:DE51"/>
    <mergeCell ref="DF47:DF51"/>
    <mergeCell ref="DG47:DG51"/>
    <mergeCell ref="DH47:DH51"/>
    <mergeCell ref="DI47:DI51"/>
    <mergeCell ref="DJ47:DJ51"/>
    <mergeCell ref="DK47:DK51"/>
    <mergeCell ref="DL47:DL51"/>
    <mergeCell ref="DM47:DM51"/>
    <mergeCell ref="DN47:DN51"/>
    <mergeCell ref="DW45:DW46"/>
    <mergeCell ref="DX45:DX46"/>
    <mergeCell ref="DY45:DY46"/>
    <mergeCell ref="DZ45:DZ46"/>
    <mergeCell ref="EA45:EA46"/>
    <mergeCell ref="EB45:EB46"/>
    <mergeCell ref="EC45:EC46"/>
    <mergeCell ref="ED45:ED46"/>
    <mergeCell ref="EE45:EE46"/>
    <mergeCell ref="DN45:DN46"/>
    <mergeCell ref="DO45:DO46"/>
    <mergeCell ref="DP45:DP46"/>
    <mergeCell ref="DQ45:DQ46"/>
    <mergeCell ref="DR45:DR46"/>
    <mergeCell ref="DS45:DS46"/>
    <mergeCell ref="DT45:DT46"/>
    <mergeCell ref="DU45:DU46"/>
    <mergeCell ref="DV45:DV46"/>
    <mergeCell ref="DE45:DE46"/>
    <mergeCell ref="DF45:DF46"/>
    <mergeCell ref="DG45:DG46"/>
    <mergeCell ref="DH45:DH46"/>
    <mergeCell ref="DI45:DI46"/>
    <mergeCell ref="DJ45:DJ46"/>
    <mergeCell ref="DK45:DK46"/>
    <mergeCell ref="DL45:DL46"/>
    <mergeCell ref="DM45:DM46"/>
    <mergeCell ref="CV45:CV46"/>
    <mergeCell ref="CW45:CW46"/>
    <mergeCell ref="CX45:CX46"/>
    <mergeCell ref="CY45:CY46"/>
    <mergeCell ref="CZ45:CZ46"/>
    <mergeCell ref="DA45:DA46"/>
    <mergeCell ref="DB45:DB46"/>
    <mergeCell ref="DC45:DC46"/>
    <mergeCell ref="DD45:DD46"/>
    <mergeCell ref="DY41:DY42"/>
    <mergeCell ref="DZ41:DZ42"/>
    <mergeCell ref="EA41:EA42"/>
    <mergeCell ref="EB41:EB42"/>
    <mergeCell ref="EC41:EC42"/>
    <mergeCell ref="ED41:ED42"/>
    <mergeCell ref="DZ43:DZ44"/>
    <mergeCell ref="EA43:EA44"/>
    <mergeCell ref="EB43:EB44"/>
    <mergeCell ref="EC43:EC44"/>
    <mergeCell ref="ED43:ED44"/>
    <mergeCell ref="CV43:CV44"/>
    <mergeCell ref="CW43:CW44"/>
    <mergeCell ref="CX43:CX44"/>
    <mergeCell ref="CY43:CY44"/>
    <mergeCell ref="CZ43:CZ44"/>
    <mergeCell ref="DA43:DA44"/>
    <mergeCell ref="DB43:DB44"/>
    <mergeCell ref="DC43:DC44"/>
    <mergeCell ref="DD43:DD44"/>
    <mergeCell ref="DE43:DE44"/>
    <mergeCell ref="DF43:DF44"/>
    <mergeCell ref="DG43:DG44"/>
    <mergeCell ref="EG43:EG44"/>
    <mergeCell ref="EH43:EH44"/>
    <mergeCell ref="DQ43:DQ44"/>
    <mergeCell ref="DR43:DR44"/>
    <mergeCell ref="DS43:DS44"/>
    <mergeCell ref="DT43:DT44"/>
    <mergeCell ref="DU43:DU44"/>
    <mergeCell ref="DV43:DV44"/>
    <mergeCell ref="DW43:DW44"/>
    <mergeCell ref="DX43:DX44"/>
    <mergeCell ref="DY43:DY44"/>
    <mergeCell ref="DH41:DH42"/>
    <mergeCell ref="DI41:DI42"/>
    <mergeCell ref="DJ41:DJ42"/>
    <mergeCell ref="DK41:DK42"/>
    <mergeCell ref="DL41:DL42"/>
    <mergeCell ref="DM41:DM42"/>
    <mergeCell ref="EF41:EF42"/>
    <mergeCell ref="EG41:EG42"/>
    <mergeCell ref="EH41:EH42"/>
    <mergeCell ref="DH43:DH44"/>
    <mergeCell ref="DI43:DI44"/>
    <mergeCell ref="DJ43:DJ44"/>
    <mergeCell ref="DK43:DK44"/>
    <mergeCell ref="DL43:DL44"/>
    <mergeCell ref="DM43:DM44"/>
    <mergeCell ref="DN43:DN44"/>
    <mergeCell ref="DO43:DO44"/>
    <mergeCell ref="DP43:DP44"/>
    <mergeCell ref="DW41:DW42"/>
    <mergeCell ref="CV41:CV42"/>
    <mergeCell ref="CW41:CW42"/>
    <mergeCell ref="CX41:CX42"/>
    <mergeCell ref="CY41:CY42"/>
    <mergeCell ref="CZ41:CZ42"/>
    <mergeCell ref="DA41:DA42"/>
    <mergeCell ref="DB41:DB42"/>
    <mergeCell ref="DC41:DC42"/>
    <mergeCell ref="DD41:DD42"/>
    <mergeCell ref="DZ39:DZ40"/>
    <mergeCell ref="EA39:EA40"/>
    <mergeCell ref="EB39:EB40"/>
    <mergeCell ref="EC39:EC40"/>
    <mergeCell ref="ED39:ED40"/>
    <mergeCell ref="EE39:EE40"/>
    <mergeCell ref="EF39:EF40"/>
    <mergeCell ref="EE43:EE44"/>
    <mergeCell ref="EF43:EF44"/>
    <mergeCell ref="DO39:DO40"/>
    <mergeCell ref="DP39:DP40"/>
    <mergeCell ref="EE41:EE42"/>
    <mergeCell ref="DN41:DN42"/>
    <mergeCell ref="DO41:DO42"/>
    <mergeCell ref="DP41:DP42"/>
    <mergeCell ref="DQ41:DQ42"/>
    <mergeCell ref="DR41:DR42"/>
    <mergeCell ref="DS41:DS42"/>
    <mergeCell ref="DT41:DT42"/>
    <mergeCell ref="DU41:DU42"/>
    <mergeCell ref="DV41:DV42"/>
    <mergeCell ref="DE41:DE42"/>
    <mergeCell ref="DF41:DF42"/>
    <mergeCell ref="DG41:DG42"/>
    <mergeCell ref="EH39:EH40"/>
    <mergeCell ref="DQ39:DQ40"/>
    <mergeCell ref="DR39:DR40"/>
    <mergeCell ref="DS39:DS40"/>
    <mergeCell ref="DT39:DT40"/>
    <mergeCell ref="DU39:DU40"/>
    <mergeCell ref="DV39:DV40"/>
    <mergeCell ref="DW39:DW40"/>
    <mergeCell ref="DX39:DX40"/>
    <mergeCell ref="DY39:DY40"/>
    <mergeCell ref="DX41:DX42"/>
    <mergeCell ref="EG37:EG38"/>
    <mergeCell ref="EH37:EH38"/>
    <mergeCell ref="CV39:CV40"/>
    <mergeCell ref="CW39:CW40"/>
    <mergeCell ref="CX39:CX40"/>
    <mergeCell ref="CY39:CY40"/>
    <mergeCell ref="CZ39:CZ40"/>
    <mergeCell ref="DA39:DA40"/>
    <mergeCell ref="DB39:DB40"/>
    <mergeCell ref="DC39:DC40"/>
    <mergeCell ref="DD39:DD40"/>
    <mergeCell ref="DE39:DE40"/>
    <mergeCell ref="DF39:DF40"/>
    <mergeCell ref="DG39:DG40"/>
    <mergeCell ref="DH39:DH40"/>
    <mergeCell ref="DI39:DI40"/>
    <mergeCell ref="DJ39:DJ40"/>
    <mergeCell ref="DK39:DK40"/>
    <mergeCell ref="DL39:DL40"/>
    <mergeCell ref="DM39:DM40"/>
    <mergeCell ref="DN39:DN40"/>
    <mergeCell ref="CV37:CV38"/>
    <mergeCell ref="CW37:CW38"/>
    <mergeCell ref="CX37:CX38"/>
    <mergeCell ref="CY37:CY38"/>
    <mergeCell ref="CZ37:CZ38"/>
    <mergeCell ref="DA37:DA38"/>
    <mergeCell ref="DB37:DB38"/>
    <mergeCell ref="DC37:DC38"/>
    <mergeCell ref="DD37:DD38"/>
    <mergeCell ref="DW37:DW38"/>
    <mergeCell ref="EG39:EG40"/>
    <mergeCell ref="DY37:DY38"/>
    <mergeCell ref="DZ37:DZ38"/>
    <mergeCell ref="EA37:EA38"/>
    <mergeCell ref="EB37:EB38"/>
    <mergeCell ref="EC37:EC38"/>
    <mergeCell ref="ED37:ED38"/>
    <mergeCell ref="DN37:DN38"/>
    <mergeCell ref="DO37:DO38"/>
    <mergeCell ref="DP37:DP38"/>
    <mergeCell ref="DQ37:DQ38"/>
    <mergeCell ref="DR37:DR38"/>
    <mergeCell ref="DS37:DS38"/>
    <mergeCell ref="DT37:DT38"/>
    <mergeCell ref="DU37:DU38"/>
    <mergeCell ref="DV37:DV38"/>
    <mergeCell ref="EF35:EF36"/>
    <mergeCell ref="EF37:EF38"/>
    <mergeCell ref="EG35:EG36"/>
    <mergeCell ref="EH35:EH36"/>
    <mergeCell ref="DQ35:DQ36"/>
    <mergeCell ref="DR35:DR36"/>
    <mergeCell ref="DS35:DS36"/>
    <mergeCell ref="DT35:DT36"/>
    <mergeCell ref="DU35:DU36"/>
    <mergeCell ref="DV35:DV36"/>
    <mergeCell ref="DW35:DW36"/>
    <mergeCell ref="DX35:DX36"/>
    <mergeCell ref="DY35:DY36"/>
    <mergeCell ref="DE37:DE38"/>
    <mergeCell ref="DF37:DF38"/>
    <mergeCell ref="DG37:DG38"/>
    <mergeCell ref="DH37:DH38"/>
    <mergeCell ref="DI37:DI38"/>
    <mergeCell ref="DJ37:DJ38"/>
    <mergeCell ref="DK37:DK38"/>
    <mergeCell ref="DL37:DL38"/>
    <mergeCell ref="DM37:DM38"/>
    <mergeCell ref="EE37:EE38"/>
    <mergeCell ref="DM35:DM36"/>
    <mergeCell ref="DN35:DN36"/>
    <mergeCell ref="DO35:DO36"/>
    <mergeCell ref="DP35:DP36"/>
    <mergeCell ref="DZ35:DZ36"/>
    <mergeCell ref="EA35:EA36"/>
    <mergeCell ref="EB35:EB36"/>
    <mergeCell ref="EC35:EC36"/>
    <mergeCell ref="ED35:ED36"/>
    <mergeCell ref="EE35:EE36"/>
    <mergeCell ref="DX37:DX38"/>
    <mergeCell ref="CV35:CV36"/>
    <mergeCell ref="CW35:CW36"/>
    <mergeCell ref="CX35:CX36"/>
    <mergeCell ref="CY35:CY36"/>
    <mergeCell ref="CZ35:CZ36"/>
    <mergeCell ref="DA35:DA36"/>
    <mergeCell ref="DB35:DB36"/>
    <mergeCell ref="DC35:DC36"/>
    <mergeCell ref="DD35:DD36"/>
    <mergeCell ref="DE35:DE36"/>
    <mergeCell ref="DF35:DF36"/>
    <mergeCell ref="DG35:DG36"/>
    <mergeCell ref="DH35:DH36"/>
    <mergeCell ref="DI35:DI36"/>
    <mergeCell ref="DJ35:DJ36"/>
    <mergeCell ref="DK35:DK36"/>
    <mergeCell ref="DL35:DL36"/>
    <mergeCell ref="DM33:DM34"/>
    <mergeCell ref="DN33:DN34"/>
    <mergeCell ref="DO33:DO34"/>
    <mergeCell ref="DP33:DP34"/>
    <mergeCell ref="DQ33:DQ34"/>
    <mergeCell ref="DR33:DR34"/>
    <mergeCell ref="DS33:DS34"/>
    <mergeCell ref="DT33:DT34"/>
    <mergeCell ref="DU33:DU34"/>
    <mergeCell ref="EE31:EE32"/>
    <mergeCell ref="EF31:EF32"/>
    <mergeCell ref="EG31:EG32"/>
    <mergeCell ref="EH31:EH32"/>
    <mergeCell ref="CV33:CV34"/>
    <mergeCell ref="CW33:CW34"/>
    <mergeCell ref="CX33:CX34"/>
    <mergeCell ref="CY33:CY34"/>
    <mergeCell ref="CZ33:CZ34"/>
    <mergeCell ref="DA33:DA34"/>
    <mergeCell ref="DB33:DB34"/>
    <mergeCell ref="DC33:DC34"/>
    <mergeCell ref="DD33:DD34"/>
    <mergeCell ref="DE33:DE34"/>
    <mergeCell ref="DF33:DF34"/>
    <mergeCell ref="DG33:DG34"/>
    <mergeCell ref="DH33:DH34"/>
    <mergeCell ref="DI33:DI34"/>
    <mergeCell ref="DJ33:DJ34"/>
    <mergeCell ref="DK33:DK34"/>
    <mergeCell ref="DL33:DL34"/>
    <mergeCell ref="DS31:DS32"/>
    <mergeCell ref="DT31:DT32"/>
    <mergeCell ref="DZ31:DZ32"/>
    <mergeCell ref="EA31:EA32"/>
    <mergeCell ref="CV31:CV32"/>
    <mergeCell ref="CW31:CW32"/>
    <mergeCell ref="EB29:EB30"/>
    <mergeCell ref="EC29:EC30"/>
    <mergeCell ref="ED29:ED30"/>
    <mergeCell ref="EE29:EE30"/>
    <mergeCell ref="EF29:EF30"/>
    <mergeCell ref="EG29:EG30"/>
    <mergeCell ref="DM29:DM30"/>
    <mergeCell ref="DN29:DN30"/>
    <mergeCell ref="DO29:DO30"/>
    <mergeCell ref="DP29:DP30"/>
    <mergeCell ref="DQ29:DQ30"/>
    <mergeCell ref="DR29:DR30"/>
    <mergeCell ref="DS29:DS30"/>
    <mergeCell ref="DT29:DT30"/>
    <mergeCell ref="DU29:DU30"/>
    <mergeCell ref="CX31:CX32"/>
    <mergeCell ref="CY31:CY32"/>
    <mergeCell ref="CZ31:CZ32"/>
    <mergeCell ref="DA31:DA32"/>
    <mergeCell ref="DB31:DB32"/>
    <mergeCell ref="DC31:DC32"/>
    <mergeCell ref="DD31:DD32"/>
    <mergeCell ref="DE31:DE32"/>
    <mergeCell ref="DF31:DF32"/>
    <mergeCell ref="DG31:DG32"/>
    <mergeCell ref="DH31:DH32"/>
    <mergeCell ref="DI31:DI32"/>
    <mergeCell ref="DJ31:DJ32"/>
    <mergeCell ref="DK31:DK32"/>
    <mergeCell ref="DL31:DL32"/>
    <mergeCell ref="DM31:DM32"/>
    <mergeCell ref="DN31:DN32"/>
    <mergeCell ref="DL29:DL30"/>
    <mergeCell ref="DS27:DS28"/>
    <mergeCell ref="DT27:DT28"/>
    <mergeCell ref="DU27:DU28"/>
    <mergeCell ref="DV27:DV28"/>
    <mergeCell ref="DW27:DW28"/>
    <mergeCell ref="DX27:DX28"/>
    <mergeCell ref="DY27:DY28"/>
    <mergeCell ref="DO31:DO32"/>
    <mergeCell ref="DP31:DP32"/>
    <mergeCell ref="DQ31:DQ32"/>
    <mergeCell ref="DR31:DR32"/>
    <mergeCell ref="DY29:DY30"/>
    <mergeCell ref="DM27:DM28"/>
    <mergeCell ref="DN27:DN28"/>
    <mergeCell ref="DO27:DO28"/>
    <mergeCell ref="DP27:DP28"/>
    <mergeCell ref="DQ27:DQ28"/>
    <mergeCell ref="DR27:DR28"/>
    <mergeCell ref="DU31:DU32"/>
    <mergeCell ref="DV31:DV32"/>
    <mergeCell ref="DW31:DW32"/>
    <mergeCell ref="DX31:DX32"/>
    <mergeCell ref="DY31:DY32"/>
    <mergeCell ref="DC29:DC30"/>
    <mergeCell ref="DD29:DD30"/>
    <mergeCell ref="DE29:DE30"/>
    <mergeCell ref="DF29:DF30"/>
    <mergeCell ref="DG29:DG30"/>
    <mergeCell ref="DH29:DH30"/>
    <mergeCell ref="DI29:DI30"/>
    <mergeCell ref="DJ29:DJ30"/>
    <mergeCell ref="DK29:DK30"/>
    <mergeCell ref="CV27:CV28"/>
    <mergeCell ref="CW27:CW28"/>
    <mergeCell ref="CX27:CX28"/>
    <mergeCell ref="CY27:CY28"/>
    <mergeCell ref="CZ27:CZ28"/>
    <mergeCell ref="DA27:DA28"/>
    <mergeCell ref="EH25:EH26"/>
    <mergeCell ref="DB27:DB28"/>
    <mergeCell ref="DC27:DC28"/>
    <mergeCell ref="DD27:DD28"/>
    <mergeCell ref="DE27:DE28"/>
    <mergeCell ref="DF27:DF28"/>
    <mergeCell ref="DG27:DG28"/>
    <mergeCell ref="DH27:DH28"/>
    <mergeCell ref="DI27:DI28"/>
    <mergeCell ref="DJ27:DJ28"/>
    <mergeCell ref="DK27:DK28"/>
    <mergeCell ref="DL27:DL28"/>
    <mergeCell ref="EG25:EG26"/>
    <mergeCell ref="DM25:DM26"/>
    <mergeCell ref="DN25:DN26"/>
    <mergeCell ref="DO25:DO26"/>
    <mergeCell ref="DP25:DP26"/>
    <mergeCell ref="DQ25:DQ26"/>
    <mergeCell ref="DR25:DR26"/>
    <mergeCell ref="DS25:DS26"/>
    <mergeCell ref="DT25:DT26"/>
    <mergeCell ref="DU25:DU26"/>
    <mergeCell ref="DY25:DY26"/>
    <mergeCell ref="DZ25:DZ26"/>
    <mergeCell ref="EA25:EA26"/>
    <mergeCell ref="EB25:EB26"/>
    <mergeCell ref="EC25:EC26"/>
    <mergeCell ref="ED25:ED26"/>
    <mergeCell ref="EE25:EE26"/>
    <mergeCell ref="EF25:EF26"/>
    <mergeCell ref="EG27:EG28"/>
    <mergeCell ref="EH27:EH28"/>
    <mergeCell ref="CV23:CV24"/>
    <mergeCell ref="EB23:EB24"/>
    <mergeCell ref="EC23:EC24"/>
    <mergeCell ref="ED23:ED24"/>
    <mergeCell ref="EE23:EE24"/>
    <mergeCell ref="EF23:EF24"/>
    <mergeCell ref="EG23:EG24"/>
    <mergeCell ref="EH23:EH24"/>
    <mergeCell ref="DS23:DS24"/>
    <mergeCell ref="DT23:DT24"/>
    <mergeCell ref="DU23:DU24"/>
    <mergeCell ref="DV23:DV24"/>
    <mergeCell ref="DW23:DW24"/>
    <mergeCell ref="DX23:DX24"/>
    <mergeCell ref="DY23:DY24"/>
    <mergeCell ref="DZ23:DZ24"/>
    <mergeCell ref="EA23:EA24"/>
    <mergeCell ref="CV25:CV26"/>
    <mergeCell ref="CW25:CW26"/>
    <mergeCell ref="CX25:CX26"/>
    <mergeCell ref="CY25:CY26"/>
    <mergeCell ref="CZ25:CZ26"/>
    <mergeCell ref="DA25:DA26"/>
    <mergeCell ref="DB25:DB26"/>
    <mergeCell ref="DC25:DC26"/>
    <mergeCell ref="DD25:DD26"/>
    <mergeCell ref="DE25:DE26"/>
    <mergeCell ref="DF25:DF26"/>
    <mergeCell ref="DG25:DG26"/>
    <mergeCell ref="DH25:DH26"/>
    <mergeCell ref="DI25:DI26"/>
    <mergeCell ref="DJ25:DJ26"/>
    <mergeCell ref="DK25:DK26"/>
    <mergeCell ref="DL25:DL26"/>
    <mergeCell ref="EH21:EH22"/>
    <mergeCell ref="CW23:CW24"/>
    <mergeCell ref="CX23:CX24"/>
    <mergeCell ref="CY23:CY24"/>
    <mergeCell ref="CZ23:CZ24"/>
    <mergeCell ref="DA23:DA24"/>
    <mergeCell ref="DB23:DB24"/>
    <mergeCell ref="DC23:DC24"/>
    <mergeCell ref="DD23:DD24"/>
    <mergeCell ref="DE23:DE24"/>
    <mergeCell ref="DF23:DF24"/>
    <mergeCell ref="DG23:DG24"/>
    <mergeCell ref="DH23:DH24"/>
    <mergeCell ref="DI23:DI24"/>
    <mergeCell ref="DJ23:DJ24"/>
    <mergeCell ref="DK23:DK24"/>
    <mergeCell ref="DL23:DL24"/>
    <mergeCell ref="DM21:DM22"/>
    <mergeCell ref="DN21:DN22"/>
    <mergeCell ref="DO21:DO22"/>
    <mergeCell ref="DP21:DP22"/>
    <mergeCell ref="DQ21:DQ22"/>
    <mergeCell ref="DR21:DR22"/>
    <mergeCell ref="DS21:DS22"/>
    <mergeCell ref="DT21:DT22"/>
    <mergeCell ref="DU21:DU22"/>
    <mergeCell ref="DM23:DM24"/>
    <mergeCell ref="DN23:DN24"/>
    <mergeCell ref="DO23:DO24"/>
    <mergeCell ref="DP23:DP24"/>
    <mergeCell ref="DQ23:DQ24"/>
    <mergeCell ref="DR23:DR24"/>
    <mergeCell ref="EA17:EA18"/>
    <mergeCell ref="EB17:EB18"/>
    <mergeCell ref="CV21:CV22"/>
    <mergeCell ref="CW21:CW22"/>
    <mergeCell ref="CX21:CX22"/>
    <mergeCell ref="CY21:CY22"/>
    <mergeCell ref="CZ21:CZ22"/>
    <mergeCell ref="DA21:DA22"/>
    <mergeCell ref="DB21:DB22"/>
    <mergeCell ref="DC21:DC22"/>
    <mergeCell ref="DD21:DD22"/>
    <mergeCell ref="DE21:DE22"/>
    <mergeCell ref="DF21:DF22"/>
    <mergeCell ref="DG21:DG22"/>
    <mergeCell ref="DH21:DH22"/>
    <mergeCell ref="DI21:DI22"/>
    <mergeCell ref="DJ21:DJ22"/>
    <mergeCell ref="DK21:DK22"/>
    <mergeCell ref="DL21:DL22"/>
    <mergeCell ref="EB19:EB20"/>
    <mergeCell ref="DS19:DS20"/>
    <mergeCell ref="DT19:DT20"/>
    <mergeCell ref="DU19:DU20"/>
    <mergeCell ref="DV19:DV20"/>
    <mergeCell ref="DW19:DW20"/>
    <mergeCell ref="DX19:DX20"/>
    <mergeCell ref="DY19:DY20"/>
    <mergeCell ref="DZ19:DZ20"/>
    <mergeCell ref="EA19:EA20"/>
    <mergeCell ref="DY21:DY22"/>
    <mergeCell ref="DZ21:DZ22"/>
    <mergeCell ref="DO15:DO16"/>
    <mergeCell ref="DP15:DP16"/>
    <mergeCell ref="DQ15:DQ16"/>
    <mergeCell ref="DR15:DR16"/>
    <mergeCell ref="EN15:EN20"/>
    <mergeCell ref="DV17:DV18"/>
    <mergeCell ref="DW17:DW18"/>
    <mergeCell ref="DX17:DX18"/>
    <mergeCell ref="EH17:EH18"/>
    <mergeCell ref="CV19:CV20"/>
    <mergeCell ref="CW19:CW20"/>
    <mergeCell ref="CX19:CX20"/>
    <mergeCell ref="CY19:CY20"/>
    <mergeCell ref="CZ19:CZ20"/>
    <mergeCell ref="DA19:DA20"/>
    <mergeCell ref="DB19:DB20"/>
    <mergeCell ref="DC19:DC20"/>
    <mergeCell ref="DD19:DD20"/>
    <mergeCell ref="DE19:DE20"/>
    <mergeCell ref="DF19:DF20"/>
    <mergeCell ref="DG19:DG20"/>
    <mergeCell ref="DH19:DH20"/>
    <mergeCell ref="DI19:DI20"/>
    <mergeCell ref="DJ19:DJ20"/>
    <mergeCell ref="DK19:DK20"/>
    <mergeCell ref="DL19:DL20"/>
    <mergeCell ref="DM19:DM20"/>
    <mergeCell ref="DN19:DN20"/>
    <mergeCell ref="DO19:DO20"/>
    <mergeCell ref="DP19:DP20"/>
    <mergeCell ref="DQ19:DQ20"/>
    <mergeCell ref="DR19:DR20"/>
    <mergeCell ref="DT15:DT16"/>
    <mergeCell ref="DT10:DT14"/>
    <mergeCell ref="DU10:DU14"/>
    <mergeCell ref="DV10:DV14"/>
    <mergeCell ref="CY10:CY14"/>
    <mergeCell ref="DU15:DU16"/>
    <mergeCell ref="DV15:DV16"/>
    <mergeCell ref="DW15:DW16"/>
    <mergeCell ref="DX15:DX16"/>
    <mergeCell ref="DY15:DY16"/>
    <mergeCell ref="DZ15:DZ16"/>
    <mergeCell ref="EA15:EA16"/>
    <mergeCell ref="EC17:EC18"/>
    <mergeCell ref="ED17:ED18"/>
    <mergeCell ref="EE17:EE18"/>
    <mergeCell ref="EF17:EF18"/>
    <mergeCell ref="EG17:EG18"/>
    <mergeCell ref="DM17:DM18"/>
    <mergeCell ref="DN17:DN18"/>
    <mergeCell ref="DO17:DO18"/>
    <mergeCell ref="DP17:DP18"/>
    <mergeCell ref="DQ17:DQ18"/>
    <mergeCell ref="DR17:DR18"/>
    <mergeCell ref="DS17:DS18"/>
    <mergeCell ref="DT17:DT18"/>
    <mergeCell ref="DU17:DU18"/>
    <mergeCell ref="EB15:EB16"/>
    <mergeCell ref="EC15:EC16"/>
    <mergeCell ref="ED15:ED16"/>
    <mergeCell ref="EE15:EE16"/>
    <mergeCell ref="EF15:EF16"/>
    <mergeCell ref="EG15:EG16"/>
    <mergeCell ref="DM15:DM16"/>
    <mergeCell ref="DN15:DN16"/>
    <mergeCell ref="CV10:CV14"/>
    <mergeCell ref="CW10:CW14"/>
    <mergeCell ref="CX10:CX14"/>
    <mergeCell ref="DY10:DY14"/>
    <mergeCell ref="DZ10:DZ14"/>
    <mergeCell ref="EA10:EA14"/>
    <mergeCell ref="EB10:EB14"/>
    <mergeCell ref="EC10:EC14"/>
    <mergeCell ref="ED10:ED14"/>
    <mergeCell ref="EE10:EE14"/>
    <mergeCell ref="EF10:EF14"/>
    <mergeCell ref="EH15:EH16"/>
    <mergeCell ref="CV17:CV18"/>
    <mergeCell ref="CW17:CW18"/>
    <mergeCell ref="CX17:CX18"/>
    <mergeCell ref="CY17:CY18"/>
    <mergeCell ref="CZ17:CZ18"/>
    <mergeCell ref="DA17:DA18"/>
    <mergeCell ref="DB17:DB18"/>
    <mergeCell ref="DC17:DC18"/>
    <mergeCell ref="DD17:DD18"/>
    <mergeCell ref="DE17:DE18"/>
    <mergeCell ref="DF17:DF18"/>
    <mergeCell ref="DG17:DG18"/>
    <mergeCell ref="DH17:DH18"/>
    <mergeCell ref="DI17:DI18"/>
    <mergeCell ref="DJ17:DJ18"/>
    <mergeCell ref="DK17:DK18"/>
    <mergeCell ref="DL17:DL18"/>
    <mergeCell ref="DS15:DS16"/>
    <mergeCell ref="CV15:CV16"/>
    <mergeCell ref="CW15:CW16"/>
    <mergeCell ref="CX15:CX16"/>
    <mergeCell ref="CY15:CY16"/>
    <mergeCell ref="CZ15:CZ16"/>
    <mergeCell ref="DA15:DA16"/>
    <mergeCell ref="DB15:DB16"/>
    <mergeCell ref="DC15:DC16"/>
    <mergeCell ref="DD15:DD16"/>
    <mergeCell ref="DE15:DE16"/>
    <mergeCell ref="DF15:DF16"/>
    <mergeCell ref="DG15:DG16"/>
    <mergeCell ref="DH15:DH16"/>
    <mergeCell ref="DI15:DI16"/>
    <mergeCell ref="DJ15:DJ16"/>
    <mergeCell ref="DK15:DK16"/>
    <mergeCell ref="DL15:DL16"/>
    <mergeCell ref="CZ10:CZ14"/>
    <mergeCell ref="DA10:DA14"/>
    <mergeCell ref="DB10:DB14"/>
    <mergeCell ref="DC10:DC14"/>
    <mergeCell ref="DD10:DD14"/>
    <mergeCell ref="DE10:DE14"/>
    <mergeCell ref="DF10:DF14"/>
    <mergeCell ref="DG10:DG14"/>
    <mergeCell ref="DH10:DH14"/>
    <mergeCell ref="DI10:DI14"/>
    <mergeCell ref="DJ10:DJ14"/>
    <mergeCell ref="DK10:DK14"/>
    <mergeCell ref="DL10:DL14"/>
    <mergeCell ref="DM10:DM14"/>
    <mergeCell ref="DT6:DT9"/>
    <mergeCell ref="DU6:DU9"/>
    <mergeCell ref="DV6:DV9"/>
    <mergeCell ref="DN10:DN14"/>
    <mergeCell ref="DO10:DO14"/>
    <mergeCell ref="DP10:DP14"/>
    <mergeCell ref="DQ10:DQ14"/>
    <mergeCell ref="DR10:DR14"/>
    <mergeCell ref="DS10:DS14"/>
    <mergeCell ref="DK6:DK9"/>
    <mergeCell ref="DL6:DL9"/>
    <mergeCell ref="DM6:DM9"/>
    <mergeCell ref="DN6:DN9"/>
    <mergeCell ref="DO6:DO9"/>
    <mergeCell ref="DP6:DP9"/>
    <mergeCell ref="DQ6:DQ9"/>
    <mergeCell ref="DR6:DR9"/>
    <mergeCell ref="DS6:DS9"/>
    <mergeCell ref="DW6:DW9"/>
    <mergeCell ref="DX6:DX9"/>
    <mergeCell ref="DY6:DY9"/>
    <mergeCell ref="DZ6:DZ9"/>
    <mergeCell ref="EA6:EA9"/>
    <mergeCell ref="EB6:EB9"/>
    <mergeCell ref="GG6:GG14"/>
    <mergeCell ref="FK6:FK14"/>
    <mergeCell ref="FL6:FL14"/>
    <mergeCell ref="FM6:FM14"/>
    <mergeCell ref="FN6:FN14"/>
    <mergeCell ref="FO6:FO14"/>
    <mergeCell ref="FP6:FP14"/>
    <mergeCell ref="FQ6:FQ14"/>
    <mergeCell ref="FR6:FR14"/>
    <mergeCell ref="FS6:FS14"/>
    <mergeCell ref="FT6:FT14"/>
    <mergeCell ref="FU6:FU14"/>
    <mergeCell ref="FV6:FV14"/>
    <mergeCell ref="FW6:FW14"/>
    <mergeCell ref="FX6:FX14"/>
    <mergeCell ref="EG10:EG14"/>
    <mergeCell ref="EN6:EN14"/>
    <mergeCell ref="DW10:DW14"/>
    <mergeCell ref="DX10:DX14"/>
    <mergeCell ref="EC6:EC9"/>
    <mergeCell ref="ED6:ED9"/>
    <mergeCell ref="EE6:EE9"/>
    <mergeCell ref="EF6:EF9"/>
    <mergeCell ref="EG6:EG9"/>
    <mergeCell ref="EH6:EH9"/>
    <mergeCell ref="EH10:EH14"/>
    <mergeCell ref="CL47:CL51"/>
    <mergeCell ref="CM47:CM51"/>
    <mergeCell ref="CL41:CL42"/>
    <mergeCell ref="CM41:CM42"/>
    <mergeCell ref="CL35:CL36"/>
    <mergeCell ref="CM35:CM36"/>
    <mergeCell ref="CL29:CL30"/>
    <mergeCell ref="CI52:CI56"/>
    <mergeCell ref="CJ52:CJ56"/>
    <mergeCell ref="CN47:CN51"/>
    <mergeCell ref="CO47:CO51"/>
    <mergeCell ref="CE47:CE51"/>
    <mergeCell ref="CF47:CF51"/>
    <mergeCell ref="CG47:CG51"/>
    <mergeCell ref="CH47:CH51"/>
    <mergeCell ref="CI47:CI51"/>
    <mergeCell ref="CJ47:CJ51"/>
    <mergeCell ref="CK47:CK51"/>
    <mergeCell ref="CK45:CK46"/>
    <mergeCell ref="CL45:CL46"/>
    <mergeCell ref="CM45:CM46"/>
    <mergeCell ref="CN45:CN46"/>
    <mergeCell ref="CO45:CO46"/>
    <mergeCell ref="CH43:CH44"/>
    <mergeCell ref="CI43:CI44"/>
    <mergeCell ref="CJ43:CJ44"/>
    <mergeCell ref="CK43:CK44"/>
    <mergeCell ref="CL43:CL44"/>
    <mergeCell ref="CM43:CM44"/>
    <mergeCell ref="CN43:CN44"/>
    <mergeCell ref="CO43:CO44"/>
    <mergeCell ref="CE41:CE42"/>
    <mergeCell ref="BC47:BC51"/>
    <mergeCell ref="BD47:BD51"/>
    <mergeCell ref="BE47:BE51"/>
    <mergeCell ref="BF47:BF51"/>
    <mergeCell ref="BG47:BG51"/>
    <mergeCell ref="BH47:BH51"/>
    <mergeCell ref="BI47:BI51"/>
    <mergeCell ref="BJ47:BJ51"/>
    <mergeCell ref="BK47:BK51"/>
    <mergeCell ref="BL47:BL51"/>
    <mergeCell ref="BM47:BM51"/>
    <mergeCell ref="BN47:BN51"/>
    <mergeCell ref="BO47:BO51"/>
    <mergeCell ref="BP47:BP51"/>
    <mergeCell ref="BQ47:BQ51"/>
    <mergeCell ref="BR47:BR51"/>
    <mergeCell ref="BS47:BS51"/>
    <mergeCell ref="BT47:BT51"/>
    <mergeCell ref="BU47:BU51"/>
    <mergeCell ref="CB45:CB46"/>
    <mergeCell ref="CC45:CC46"/>
    <mergeCell ref="CD45:CD46"/>
    <mergeCell ref="CE45:CE46"/>
    <mergeCell ref="CF45:CF46"/>
    <mergeCell ref="CG45:CG46"/>
    <mergeCell ref="CH45:CH46"/>
    <mergeCell ref="CI45:CI46"/>
    <mergeCell ref="CJ45:CJ46"/>
    <mergeCell ref="BS45:BS46"/>
    <mergeCell ref="BT45:BT46"/>
    <mergeCell ref="BU45:BU46"/>
    <mergeCell ref="BV45:BV46"/>
    <mergeCell ref="BW45:BW46"/>
    <mergeCell ref="BX45:BX46"/>
    <mergeCell ref="BY45:BY46"/>
    <mergeCell ref="BZ45:BZ46"/>
    <mergeCell ref="CA45:CA46"/>
    <mergeCell ref="BV47:BV51"/>
    <mergeCell ref="BW47:BW51"/>
    <mergeCell ref="BX47:BX51"/>
    <mergeCell ref="BY47:BY51"/>
    <mergeCell ref="BZ47:BZ51"/>
    <mergeCell ref="CA47:CA51"/>
    <mergeCell ref="CB47:CB51"/>
    <mergeCell ref="CC47:CC51"/>
    <mergeCell ref="CD47:CD51"/>
    <mergeCell ref="BC45:BC46"/>
    <mergeCell ref="BD45:BD46"/>
    <mergeCell ref="BE45:BE46"/>
    <mergeCell ref="BF45:BF46"/>
    <mergeCell ref="BG45:BG46"/>
    <mergeCell ref="BH45:BH46"/>
    <mergeCell ref="BI45:BI46"/>
    <mergeCell ref="BJ45:BJ46"/>
    <mergeCell ref="BK45:BK46"/>
    <mergeCell ref="BL45:BL46"/>
    <mergeCell ref="BM45:BM46"/>
    <mergeCell ref="BN45:BN46"/>
    <mergeCell ref="BO45:BO46"/>
    <mergeCell ref="BP45:BP46"/>
    <mergeCell ref="BQ45:BQ46"/>
    <mergeCell ref="BR45:BR46"/>
    <mergeCell ref="BY43:BY44"/>
    <mergeCell ref="BZ43:BZ44"/>
    <mergeCell ref="CA43:CA44"/>
    <mergeCell ref="CB43:CB44"/>
    <mergeCell ref="CC43:CC44"/>
    <mergeCell ref="CD43:CD44"/>
    <mergeCell ref="CE43:CE44"/>
    <mergeCell ref="CF43:CF44"/>
    <mergeCell ref="CG43:CG44"/>
    <mergeCell ref="CN41:CN42"/>
    <mergeCell ref="CO41:CO42"/>
    <mergeCell ref="BC43:BC44"/>
    <mergeCell ref="BD43:BD44"/>
    <mergeCell ref="BE43:BE44"/>
    <mergeCell ref="BF43:BF44"/>
    <mergeCell ref="BG43:BG44"/>
    <mergeCell ref="BH43:BH44"/>
    <mergeCell ref="BI43:BI44"/>
    <mergeCell ref="BJ43:BJ44"/>
    <mergeCell ref="BK43:BK44"/>
    <mergeCell ref="BL43:BL44"/>
    <mergeCell ref="BM43:BM44"/>
    <mergeCell ref="BN43:BN44"/>
    <mergeCell ref="BO43:BO44"/>
    <mergeCell ref="BP43:BP44"/>
    <mergeCell ref="BQ43:BQ44"/>
    <mergeCell ref="BR43:BR44"/>
    <mergeCell ref="BS43:BS44"/>
    <mergeCell ref="BT43:BT44"/>
    <mergeCell ref="BU43:BU44"/>
    <mergeCell ref="BV43:BV44"/>
    <mergeCell ref="BW43:BW44"/>
    <mergeCell ref="BX43:BX44"/>
    <mergeCell ref="CK41:CK42"/>
    <mergeCell ref="CK39:CK40"/>
    <mergeCell ref="CL39:CL40"/>
    <mergeCell ref="CM39:CM40"/>
    <mergeCell ref="CN39:CN40"/>
    <mergeCell ref="CO39:CO40"/>
    <mergeCell ref="BC41:BC42"/>
    <mergeCell ref="BD41:BD42"/>
    <mergeCell ref="BE41:BE42"/>
    <mergeCell ref="BF41:BF42"/>
    <mergeCell ref="BG41:BG42"/>
    <mergeCell ref="BH41:BH42"/>
    <mergeCell ref="BI41:BI42"/>
    <mergeCell ref="BJ41:BJ42"/>
    <mergeCell ref="BK41:BK42"/>
    <mergeCell ref="BL41:BL42"/>
    <mergeCell ref="BM41:BM42"/>
    <mergeCell ref="BN41:BN42"/>
    <mergeCell ref="BO41:BO42"/>
    <mergeCell ref="BP41:BP42"/>
    <mergeCell ref="BQ41:BQ42"/>
    <mergeCell ref="BR41:BR42"/>
    <mergeCell ref="BS41:BS42"/>
    <mergeCell ref="BT41:BT42"/>
    <mergeCell ref="BU41:BU42"/>
    <mergeCell ref="CB39:CB40"/>
    <mergeCell ref="CC39:CC40"/>
    <mergeCell ref="CD39:CD40"/>
    <mergeCell ref="CE39:CE40"/>
    <mergeCell ref="CF39:CF40"/>
    <mergeCell ref="CG39:CG40"/>
    <mergeCell ref="CH39:CH40"/>
    <mergeCell ref="CI39:CI40"/>
    <mergeCell ref="CJ39:CJ40"/>
    <mergeCell ref="BS39:BS40"/>
    <mergeCell ref="BT39:BT40"/>
    <mergeCell ref="BU39:BU40"/>
    <mergeCell ref="BV39:BV40"/>
    <mergeCell ref="BW39:BW40"/>
    <mergeCell ref="BX39:BX40"/>
    <mergeCell ref="BY39:BY40"/>
    <mergeCell ref="BZ39:BZ40"/>
    <mergeCell ref="CA39:CA40"/>
    <mergeCell ref="BV41:BV42"/>
    <mergeCell ref="BW41:BW42"/>
    <mergeCell ref="BX41:BX42"/>
    <mergeCell ref="BY41:BY42"/>
    <mergeCell ref="BZ41:BZ42"/>
    <mergeCell ref="CA41:CA42"/>
    <mergeCell ref="CB41:CB42"/>
    <mergeCell ref="CC41:CC42"/>
    <mergeCell ref="CD41:CD42"/>
    <mergeCell ref="CF41:CF42"/>
    <mergeCell ref="CG41:CG42"/>
    <mergeCell ref="CH41:CH42"/>
    <mergeCell ref="CI41:CI42"/>
    <mergeCell ref="CJ41:CJ42"/>
    <mergeCell ref="CH37:CH38"/>
    <mergeCell ref="CI37:CI38"/>
    <mergeCell ref="CJ37:CJ38"/>
    <mergeCell ref="CK37:CK38"/>
    <mergeCell ref="CL37:CL38"/>
    <mergeCell ref="CM37:CM38"/>
    <mergeCell ref="CN37:CN38"/>
    <mergeCell ref="CO37:CO38"/>
    <mergeCell ref="BC39:BC40"/>
    <mergeCell ref="BD39:BD40"/>
    <mergeCell ref="BE39:BE40"/>
    <mergeCell ref="BF39:BF40"/>
    <mergeCell ref="BG39:BG40"/>
    <mergeCell ref="BH39:BH40"/>
    <mergeCell ref="BI39:BI40"/>
    <mergeCell ref="BJ39:BJ40"/>
    <mergeCell ref="BK39:BK40"/>
    <mergeCell ref="BL39:BL40"/>
    <mergeCell ref="BM39:BM40"/>
    <mergeCell ref="BN39:BN40"/>
    <mergeCell ref="BO39:BO40"/>
    <mergeCell ref="BP39:BP40"/>
    <mergeCell ref="BQ39:BQ40"/>
    <mergeCell ref="BR39:BR40"/>
    <mergeCell ref="BY37:BY38"/>
    <mergeCell ref="BZ37:BZ38"/>
    <mergeCell ref="CA37:CA38"/>
    <mergeCell ref="CB37:CB38"/>
    <mergeCell ref="CC37:CC38"/>
    <mergeCell ref="CD37:CD38"/>
    <mergeCell ref="CE37:CE38"/>
    <mergeCell ref="CF37:CF38"/>
    <mergeCell ref="CG37:CG38"/>
    <mergeCell ref="CN35:CN36"/>
    <mergeCell ref="CO35:CO36"/>
    <mergeCell ref="BC37:BC38"/>
    <mergeCell ref="BD37:BD38"/>
    <mergeCell ref="BE37:BE38"/>
    <mergeCell ref="BF37:BF38"/>
    <mergeCell ref="BG37:BG38"/>
    <mergeCell ref="BH37:BH38"/>
    <mergeCell ref="BI37:BI38"/>
    <mergeCell ref="BJ37:BJ38"/>
    <mergeCell ref="BK37:BK38"/>
    <mergeCell ref="BL37:BL38"/>
    <mergeCell ref="BM37:BM38"/>
    <mergeCell ref="BN37:BN38"/>
    <mergeCell ref="BO37:BO38"/>
    <mergeCell ref="BP37:BP38"/>
    <mergeCell ref="BQ37:BQ38"/>
    <mergeCell ref="BR37:BR38"/>
    <mergeCell ref="BS37:BS38"/>
    <mergeCell ref="BT37:BT38"/>
    <mergeCell ref="BU37:BU38"/>
    <mergeCell ref="BV37:BV38"/>
    <mergeCell ref="BW37:BW38"/>
    <mergeCell ref="BX37:BX38"/>
    <mergeCell ref="CE35:CE36"/>
    <mergeCell ref="CF35:CF36"/>
    <mergeCell ref="CG35:CG36"/>
    <mergeCell ref="CH35:CH36"/>
    <mergeCell ref="CI35:CI36"/>
    <mergeCell ref="CJ35:CJ36"/>
    <mergeCell ref="CK35:CK36"/>
    <mergeCell ref="CK33:CK34"/>
    <mergeCell ref="CL33:CL34"/>
    <mergeCell ref="CM33:CM34"/>
    <mergeCell ref="CN33:CN34"/>
    <mergeCell ref="CO33:CO34"/>
    <mergeCell ref="BC35:BC36"/>
    <mergeCell ref="BD35:BD36"/>
    <mergeCell ref="BE35:BE36"/>
    <mergeCell ref="BF35:BF36"/>
    <mergeCell ref="BG35:BG36"/>
    <mergeCell ref="BH35:BH36"/>
    <mergeCell ref="BI35:BI36"/>
    <mergeCell ref="BJ35:BJ36"/>
    <mergeCell ref="BK35:BK36"/>
    <mergeCell ref="BL35:BL36"/>
    <mergeCell ref="BM35:BM36"/>
    <mergeCell ref="BN35:BN36"/>
    <mergeCell ref="BO35:BO36"/>
    <mergeCell ref="BP35:BP36"/>
    <mergeCell ref="BQ35:BQ36"/>
    <mergeCell ref="BR35:BR36"/>
    <mergeCell ref="BS35:BS36"/>
    <mergeCell ref="BT35:BT36"/>
    <mergeCell ref="BU35:BU36"/>
    <mergeCell ref="CB33:CB34"/>
    <mergeCell ref="CC33:CC34"/>
    <mergeCell ref="CD33:CD34"/>
    <mergeCell ref="CE33:CE34"/>
    <mergeCell ref="CF33:CF34"/>
    <mergeCell ref="CG33:CG34"/>
    <mergeCell ref="CH33:CH34"/>
    <mergeCell ref="CI33:CI34"/>
    <mergeCell ref="CJ33:CJ34"/>
    <mergeCell ref="BS33:BS34"/>
    <mergeCell ref="BT33:BT34"/>
    <mergeCell ref="BU33:BU34"/>
    <mergeCell ref="BV33:BV34"/>
    <mergeCell ref="BW33:BW34"/>
    <mergeCell ref="BX33:BX34"/>
    <mergeCell ref="BY33:BY34"/>
    <mergeCell ref="BZ33:BZ34"/>
    <mergeCell ref="CA33:CA34"/>
    <mergeCell ref="BV35:BV36"/>
    <mergeCell ref="BW35:BW36"/>
    <mergeCell ref="BX35:BX36"/>
    <mergeCell ref="BY35:BY36"/>
    <mergeCell ref="BZ35:BZ36"/>
    <mergeCell ref="CA35:CA36"/>
    <mergeCell ref="CB35:CB36"/>
    <mergeCell ref="CC35:CC36"/>
    <mergeCell ref="CD35:CD36"/>
    <mergeCell ref="CH31:CH32"/>
    <mergeCell ref="CI31:CI32"/>
    <mergeCell ref="CJ31:CJ32"/>
    <mergeCell ref="CK31:CK32"/>
    <mergeCell ref="CL31:CL32"/>
    <mergeCell ref="CM31:CM32"/>
    <mergeCell ref="CN31:CN32"/>
    <mergeCell ref="CO31:CO32"/>
    <mergeCell ref="BC33:BC34"/>
    <mergeCell ref="BD33:BD34"/>
    <mergeCell ref="BE33:BE34"/>
    <mergeCell ref="BF33:BF34"/>
    <mergeCell ref="BG33:BG34"/>
    <mergeCell ref="BH33:BH34"/>
    <mergeCell ref="BI33:BI34"/>
    <mergeCell ref="BJ33:BJ34"/>
    <mergeCell ref="BK33:BK34"/>
    <mergeCell ref="BL33:BL34"/>
    <mergeCell ref="BM33:BM34"/>
    <mergeCell ref="BN33:BN34"/>
    <mergeCell ref="BO33:BO34"/>
    <mergeCell ref="BP33:BP34"/>
    <mergeCell ref="BQ33:BQ34"/>
    <mergeCell ref="BR33:BR34"/>
    <mergeCell ref="BY31:BY32"/>
    <mergeCell ref="BZ31:BZ32"/>
    <mergeCell ref="CA31:CA32"/>
    <mergeCell ref="CB31:CB32"/>
    <mergeCell ref="CC31:CC32"/>
    <mergeCell ref="CD31:CD32"/>
    <mergeCell ref="CE31:CE32"/>
    <mergeCell ref="CF31:CF32"/>
    <mergeCell ref="CG31:CG32"/>
    <mergeCell ref="CN29:CN30"/>
    <mergeCell ref="CO29:CO30"/>
    <mergeCell ref="BC31:BC32"/>
    <mergeCell ref="BD31:BD32"/>
    <mergeCell ref="BE31:BE32"/>
    <mergeCell ref="BF31:BF32"/>
    <mergeCell ref="BG31:BG32"/>
    <mergeCell ref="BH31:BH32"/>
    <mergeCell ref="BI31:BI32"/>
    <mergeCell ref="BJ31:BJ32"/>
    <mergeCell ref="BK31:BK32"/>
    <mergeCell ref="BL31:BL32"/>
    <mergeCell ref="BM31:BM32"/>
    <mergeCell ref="BN31:BN32"/>
    <mergeCell ref="BO31:BO32"/>
    <mergeCell ref="BP31:BP32"/>
    <mergeCell ref="BQ31:BQ32"/>
    <mergeCell ref="BR31:BR32"/>
    <mergeCell ref="BS31:BS32"/>
    <mergeCell ref="BT31:BT32"/>
    <mergeCell ref="BU31:BU32"/>
    <mergeCell ref="BV31:BV32"/>
    <mergeCell ref="BW31:BW32"/>
    <mergeCell ref="BX31:BX32"/>
    <mergeCell ref="CE29:CE30"/>
    <mergeCell ref="CF29:CF30"/>
    <mergeCell ref="CG29:CG30"/>
    <mergeCell ref="CH29:CH30"/>
    <mergeCell ref="CI29:CI30"/>
    <mergeCell ref="CJ29:CJ30"/>
    <mergeCell ref="CK29:CK30"/>
    <mergeCell ref="CM29:CM30"/>
    <mergeCell ref="BV29:BV30"/>
    <mergeCell ref="BW29:BW30"/>
    <mergeCell ref="BX29:BX30"/>
    <mergeCell ref="BY29:BY30"/>
    <mergeCell ref="BZ29:BZ30"/>
    <mergeCell ref="CA29:CA30"/>
    <mergeCell ref="CB29:CB30"/>
    <mergeCell ref="CC29:CC30"/>
    <mergeCell ref="CD29:CD30"/>
    <mergeCell ref="CK27:CK28"/>
    <mergeCell ref="CL27:CL28"/>
    <mergeCell ref="CM27:CM28"/>
    <mergeCell ref="CN27:CN28"/>
    <mergeCell ref="CO27:CO28"/>
    <mergeCell ref="BC29:BC30"/>
    <mergeCell ref="BD29:BD30"/>
    <mergeCell ref="BE29:BE30"/>
    <mergeCell ref="BF29:BF30"/>
    <mergeCell ref="BG29:BG30"/>
    <mergeCell ref="BH29:BH30"/>
    <mergeCell ref="BI29:BI30"/>
    <mergeCell ref="BJ29:BJ30"/>
    <mergeCell ref="BK29:BK30"/>
    <mergeCell ref="BL29:BL30"/>
    <mergeCell ref="BM29:BM30"/>
    <mergeCell ref="BN29:BN30"/>
    <mergeCell ref="BO29:BO30"/>
    <mergeCell ref="BP29:BP30"/>
    <mergeCell ref="BQ29:BQ30"/>
    <mergeCell ref="BR29:BR30"/>
    <mergeCell ref="BS29:BS30"/>
    <mergeCell ref="BT29:BT30"/>
    <mergeCell ref="BU29:BU30"/>
    <mergeCell ref="CB27:CB28"/>
    <mergeCell ref="CC27:CC28"/>
    <mergeCell ref="CD27:CD28"/>
    <mergeCell ref="CE27:CE28"/>
    <mergeCell ref="CF27:CF28"/>
    <mergeCell ref="CG27:CG28"/>
    <mergeCell ref="CH27:CH28"/>
    <mergeCell ref="CI27:CI28"/>
    <mergeCell ref="CJ27:CJ28"/>
    <mergeCell ref="BS27:BS28"/>
    <mergeCell ref="BT27:BT28"/>
    <mergeCell ref="BU27:BU28"/>
    <mergeCell ref="BV27:BV28"/>
    <mergeCell ref="BW27:BW28"/>
    <mergeCell ref="BX27:BX28"/>
    <mergeCell ref="BY27:BY28"/>
    <mergeCell ref="BZ27:BZ28"/>
    <mergeCell ref="CA27:CA28"/>
    <mergeCell ref="CH25:CH26"/>
    <mergeCell ref="CI25:CI26"/>
    <mergeCell ref="CJ25:CJ26"/>
    <mergeCell ref="CK25:CK26"/>
    <mergeCell ref="CL25:CL26"/>
    <mergeCell ref="CM25:CM26"/>
    <mergeCell ref="CN25:CN26"/>
    <mergeCell ref="CO25:CO26"/>
    <mergeCell ref="BC27:BC28"/>
    <mergeCell ref="BD27:BD28"/>
    <mergeCell ref="BE27:BE28"/>
    <mergeCell ref="BF27:BF28"/>
    <mergeCell ref="BG27:BG28"/>
    <mergeCell ref="BH27:BH28"/>
    <mergeCell ref="BI27:BI28"/>
    <mergeCell ref="BJ27:BJ28"/>
    <mergeCell ref="BK27:BK28"/>
    <mergeCell ref="BL27:BL28"/>
    <mergeCell ref="BM27:BM28"/>
    <mergeCell ref="BN27:BN28"/>
    <mergeCell ref="BO27:BO28"/>
    <mergeCell ref="BP27:BP28"/>
    <mergeCell ref="BQ27:BQ28"/>
    <mergeCell ref="BR27:BR28"/>
    <mergeCell ref="BY25:BY26"/>
    <mergeCell ref="BZ25:BZ26"/>
    <mergeCell ref="CA25:CA26"/>
    <mergeCell ref="CB25:CB26"/>
    <mergeCell ref="CC25:CC26"/>
    <mergeCell ref="CD25:CD26"/>
    <mergeCell ref="CE25:CE26"/>
    <mergeCell ref="CF25:CF26"/>
    <mergeCell ref="CG25:CG26"/>
    <mergeCell ref="CN23:CN24"/>
    <mergeCell ref="CO23:CO24"/>
    <mergeCell ref="BC25:BC26"/>
    <mergeCell ref="BD25:BD26"/>
    <mergeCell ref="BE25:BE26"/>
    <mergeCell ref="BF25:BF26"/>
    <mergeCell ref="BG25:BG26"/>
    <mergeCell ref="BH25:BH26"/>
    <mergeCell ref="BI25:BI26"/>
    <mergeCell ref="BJ25:BJ26"/>
    <mergeCell ref="BK25:BK26"/>
    <mergeCell ref="BL25:BL26"/>
    <mergeCell ref="BM25:BM26"/>
    <mergeCell ref="BN25:BN26"/>
    <mergeCell ref="BO25:BO26"/>
    <mergeCell ref="BP25:BP26"/>
    <mergeCell ref="BQ25:BQ26"/>
    <mergeCell ref="BR25:BR26"/>
    <mergeCell ref="BS25:BS26"/>
    <mergeCell ref="BT25:BT26"/>
    <mergeCell ref="BU25:BU26"/>
    <mergeCell ref="BV25:BV26"/>
    <mergeCell ref="BW25:BW26"/>
    <mergeCell ref="BX25:BX26"/>
    <mergeCell ref="CE23:CE24"/>
    <mergeCell ref="CF23:CF24"/>
    <mergeCell ref="CG23:CG24"/>
    <mergeCell ref="CH23:CH24"/>
    <mergeCell ref="CI23:CI24"/>
    <mergeCell ref="CJ23:CJ24"/>
    <mergeCell ref="CK23:CK24"/>
    <mergeCell ref="CL23:CL24"/>
    <mergeCell ref="CM23:CM24"/>
    <mergeCell ref="BV23:BV24"/>
    <mergeCell ref="BW23:BW24"/>
    <mergeCell ref="BX23:BX24"/>
    <mergeCell ref="BY23:BY24"/>
    <mergeCell ref="BZ23:BZ24"/>
    <mergeCell ref="CA23:CA24"/>
    <mergeCell ref="CB23:CB24"/>
    <mergeCell ref="CC23:CC24"/>
    <mergeCell ref="CD23:CD24"/>
    <mergeCell ref="CK21:CK22"/>
    <mergeCell ref="CL21:CL22"/>
    <mergeCell ref="CM21:CM22"/>
    <mergeCell ref="CN21:CN22"/>
    <mergeCell ref="CO21:CO22"/>
    <mergeCell ref="BC23:BC24"/>
    <mergeCell ref="BD23:BD24"/>
    <mergeCell ref="BE23:BE24"/>
    <mergeCell ref="BF23:BF24"/>
    <mergeCell ref="BG23:BG24"/>
    <mergeCell ref="BH23:BH24"/>
    <mergeCell ref="BI23:BI24"/>
    <mergeCell ref="BJ23:BJ24"/>
    <mergeCell ref="BK23:BK24"/>
    <mergeCell ref="BL23:BL24"/>
    <mergeCell ref="BM23:BM24"/>
    <mergeCell ref="BN23:BN24"/>
    <mergeCell ref="BO23:BO24"/>
    <mergeCell ref="BP23:BP24"/>
    <mergeCell ref="BQ23:BQ24"/>
    <mergeCell ref="BR23:BR24"/>
    <mergeCell ref="BS23:BS24"/>
    <mergeCell ref="BT23:BT24"/>
    <mergeCell ref="BU23:BU24"/>
    <mergeCell ref="CB21:CB22"/>
    <mergeCell ref="CC21:CC22"/>
    <mergeCell ref="CD21:CD22"/>
    <mergeCell ref="CE21:CE22"/>
    <mergeCell ref="CF21:CF22"/>
    <mergeCell ref="CG21:CG22"/>
    <mergeCell ref="CH21:CH22"/>
    <mergeCell ref="CI21:CI22"/>
    <mergeCell ref="CJ21:CJ22"/>
    <mergeCell ref="BS21:BS22"/>
    <mergeCell ref="BT21:BT22"/>
    <mergeCell ref="BU21:BU22"/>
    <mergeCell ref="BV21:BV22"/>
    <mergeCell ref="BW21:BW22"/>
    <mergeCell ref="BX21:BX22"/>
    <mergeCell ref="BY21:BY22"/>
    <mergeCell ref="BZ21:BZ22"/>
    <mergeCell ref="CA21:CA22"/>
    <mergeCell ref="CH19:CH20"/>
    <mergeCell ref="CI19:CI20"/>
    <mergeCell ref="CJ19:CJ20"/>
    <mergeCell ref="CK19:CK20"/>
    <mergeCell ref="CL19:CL20"/>
    <mergeCell ref="CM19:CM20"/>
    <mergeCell ref="CN19:CN20"/>
    <mergeCell ref="CO19:CO20"/>
    <mergeCell ref="BC21:BC22"/>
    <mergeCell ref="BD21:BD22"/>
    <mergeCell ref="BE21:BE22"/>
    <mergeCell ref="BF21:BF22"/>
    <mergeCell ref="BG21:BG22"/>
    <mergeCell ref="BH21:BH22"/>
    <mergeCell ref="BI21:BI22"/>
    <mergeCell ref="BJ21:BJ22"/>
    <mergeCell ref="BK21:BK22"/>
    <mergeCell ref="BL21:BL22"/>
    <mergeCell ref="BM21:BM22"/>
    <mergeCell ref="BN21:BN22"/>
    <mergeCell ref="BO21:BO22"/>
    <mergeCell ref="BP21:BP22"/>
    <mergeCell ref="BQ21:BQ22"/>
    <mergeCell ref="BR21:BR22"/>
    <mergeCell ref="BY19:BY20"/>
    <mergeCell ref="BZ19:BZ20"/>
    <mergeCell ref="CA19:CA20"/>
    <mergeCell ref="CB19:CB20"/>
    <mergeCell ref="CC19:CC20"/>
    <mergeCell ref="CD19:CD20"/>
    <mergeCell ref="CE19:CE20"/>
    <mergeCell ref="CF19:CF20"/>
    <mergeCell ref="CG19:CG20"/>
    <mergeCell ref="CN17:CN18"/>
    <mergeCell ref="CO17:CO18"/>
    <mergeCell ref="BC19:BC20"/>
    <mergeCell ref="BD19:BD20"/>
    <mergeCell ref="BE19:BE20"/>
    <mergeCell ref="BF19:BF20"/>
    <mergeCell ref="BG19:BG20"/>
    <mergeCell ref="BH19:BH20"/>
    <mergeCell ref="BI19:BI20"/>
    <mergeCell ref="BJ19:BJ20"/>
    <mergeCell ref="BK19:BK20"/>
    <mergeCell ref="BL19:BL20"/>
    <mergeCell ref="BM19:BM20"/>
    <mergeCell ref="BN19:BN20"/>
    <mergeCell ref="BO19:BO20"/>
    <mergeCell ref="BP19:BP20"/>
    <mergeCell ref="BQ19:BQ20"/>
    <mergeCell ref="BR19:BR20"/>
    <mergeCell ref="BS19:BS20"/>
    <mergeCell ref="BT19:BT20"/>
    <mergeCell ref="BU19:BU20"/>
    <mergeCell ref="BV19:BV20"/>
    <mergeCell ref="BW19:BW20"/>
    <mergeCell ref="BX19:BX20"/>
    <mergeCell ref="CE17:CE18"/>
    <mergeCell ref="CF17:CF18"/>
    <mergeCell ref="CG17:CG18"/>
    <mergeCell ref="CH17:CH18"/>
    <mergeCell ref="CI17:CI18"/>
    <mergeCell ref="CJ17:CJ18"/>
    <mergeCell ref="CK17:CK18"/>
    <mergeCell ref="CL17:CL18"/>
    <mergeCell ref="CM17:CM18"/>
    <mergeCell ref="BV17:BV18"/>
    <mergeCell ref="BW17:BW18"/>
    <mergeCell ref="BX17:BX18"/>
    <mergeCell ref="BY17:BY18"/>
    <mergeCell ref="BZ17:BZ18"/>
    <mergeCell ref="CA17:CA18"/>
    <mergeCell ref="CB17:CB18"/>
    <mergeCell ref="CC17:CC18"/>
    <mergeCell ref="CD17:CD18"/>
    <mergeCell ref="CK15:CK16"/>
    <mergeCell ref="CL15:CL16"/>
    <mergeCell ref="CM15:CM16"/>
    <mergeCell ref="CN15:CN16"/>
    <mergeCell ref="CO15:CO16"/>
    <mergeCell ref="BC17:BC18"/>
    <mergeCell ref="BD17:BD18"/>
    <mergeCell ref="BE17:BE18"/>
    <mergeCell ref="BF17:BF18"/>
    <mergeCell ref="BG17:BG18"/>
    <mergeCell ref="BH17:BH18"/>
    <mergeCell ref="BI17:BI18"/>
    <mergeCell ref="BJ17:BJ18"/>
    <mergeCell ref="BK17:BK18"/>
    <mergeCell ref="BL17:BL18"/>
    <mergeCell ref="BM17:BM18"/>
    <mergeCell ref="BN17:BN18"/>
    <mergeCell ref="BO17:BO18"/>
    <mergeCell ref="BP17:BP18"/>
    <mergeCell ref="BQ17:BQ18"/>
    <mergeCell ref="BR17:BR18"/>
    <mergeCell ref="BS17:BS18"/>
    <mergeCell ref="BT17:BT18"/>
    <mergeCell ref="BU17:BU18"/>
    <mergeCell ref="CB15:CB16"/>
    <mergeCell ref="CC15:CC16"/>
    <mergeCell ref="CD15:CD16"/>
    <mergeCell ref="CE15:CE16"/>
    <mergeCell ref="CF15:CF16"/>
    <mergeCell ref="CG15:CG16"/>
    <mergeCell ref="CH15:CH16"/>
    <mergeCell ref="CI15:CI16"/>
    <mergeCell ref="CJ15:CJ16"/>
    <mergeCell ref="BS15:BS16"/>
    <mergeCell ref="BT15:BT16"/>
    <mergeCell ref="BU15:BU16"/>
    <mergeCell ref="BV15:BV16"/>
    <mergeCell ref="BW15:BW16"/>
    <mergeCell ref="BX15:BX16"/>
    <mergeCell ref="BY15:BY16"/>
    <mergeCell ref="BZ15:BZ16"/>
    <mergeCell ref="CA15:CA16"/>
    <mergeCell ref="CL10:CL14"/>
    <mergeCell ref="CM10:CM14"/>
    <mergeCell ref="CN10:CN14"/>
    <mergeCell ref="CO10:CO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BJ10:BJ14"/>
    <mergeCell ref="BC15:BC16"/>
    <mergeCell ref="BD15:BD16"/>
    <mergeCell ref="BE15:BE16"/>
    <mergeCell ref="BF15:BF16"/>
    <mergeCell ref="BG15:BG16"/>
    <mergeCell ref="BH15:BH16"/>
    <mergeCell ref="BI15:BI16"/>
    <mergeCell ref="BJ15:BJ16"/>
    <mergeCell ref="BK15:BK16"/>
    <mergeCell ref="BL15:BL16"/>
    <mergeCell ref="BM15:BM16"/>
    <mergeCell ref="BN15:BN16"/>
    <mergeCell ref="BO15:BO16"/>
    <mergeCell ref="BP15:BP16"/>
    <mergeCell ref="BQ15:BQ16"/>
    <mergeCell ref="BR15:BR16"/>
    <mergeCell ref="BY10:BY14"/>
    <mergeCell ref="BI10:BI14"/>
    <mergeCell ref="BK10:BK14"/>
    <mergeCell ref="BC6:BC9"/>
    <mergeCell ref="BD6:BD9"/>
    <mergeCell ref="BE6:BE9"/>
    <mergeCell ref="BF6:BF9"/>
    <mergeCell ref="BG6:BG9"/>
    <mergeCell ref="BH6:BH9"/>
    <mergeCell ref="BI6:BI9"/>
    <mergeCell ref="BJ6:BJ9"/>
    <mergeCell ref="BK6:BK9"/>
    <mergeCell ref="BL6:BL9"/>
    <mergeCell ref="BM6:BM9"/>
    <mergeCell ref="BN6:BN9"/>
    <mergeCell ref="BO6:BO9"/>
    <mergeCell ref="BP6:BP9"/>
    <mergeCell ref="CI10:CI14"/>
    <mergeCell ref="CJ10:CJ14"/>
    <mergeCell ref="CK10:C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CH10:CH14"/>
    <mergeCell ref="E45:E46"/>
    <mergeCell ref="BQ6:BQ9"/>
    <mergeCell ref="BR6:BR9"/>
    <mergeCell ref="BS6:BS9"/>
    <mergeCell ref="BT6:BT9"/>
    <mergeCell ref="CN6:CN9"/>
    <mergeCell ref="CO6:CO9"/>
    <mergeCell ref="GG15:GG20"/>
    <mergeCell ref="HZ6:HZ56"/>
    <mergeCell ref="GG21:GG38"/>
    <mergeCell ref="GG39:GG46"/>
    <mergeCell ref="GG47:GG56"/>
    <mergeCell ref="B6:B14"/>
    <mergeCell ref="C6:C9"/>
    <mergeCell ref="C10:C14"/>
    <mergeCell ref="A6:A14"/>
    <mergeCell ref="BU6:BU9"/>
    <mergeCell ref="BV6:BV9"/>
    <mergeCell ref="BW6:BW9"/>
    <mergeCell ref="BX6:BX9"/>
    <mergeCell ref="BY6:BY9"/>
    <mergeCell ref="BZ6:BZ9"/>
    <mergeCell ref="CA6:CA9"/>
    <mergeCell ref="CB6:CB9"/>
    <mergeCell ref="CC6:CC9"/>
    <mergeCell ref="CD6:CD9"/>
    <mergeCell ref="CE6:CE9"/>
    <mergeCell ref="CF6:CF9"/>
    <mergeCell ref="CG6:CG9"/>
    <mergeCell ref="CH6:CH9"/>
    <mergeCell ref="CI6:CI9"/>
    <mergeCell ref="CU6:CU9"/>
    <mergeCell ref="E23:E24"/>
    <mergeCell ref="BC10:BC14"/>
    <mergeCell ref="BD10:BD14"/>
    <mergeCell ref="EN47:EN56"/>
    <mergeCell ref="EN21:EN38"/>
    <mergeCell ref="EN39:EN46"/>
    <mergeCell ref="BB47:BB51"/>
    <mergeCell ref="D6:F9"/>
    <mergeCell ref="BB6:BB9"/>
    <mergeCell ref="D10:F14"/>
    <mergeCell ref="BB10:BB14"/>
    <mergeCell ref="BB15:BB16"/>
    <mergeCell ref="BB17:BB18"/>
    <mergeCell ref="BB19:BB20"/>
    <mergeCell ref="F17:F18"/>
    <mergeCell ref="CJ6:CJ9"/>
    <mergeCell ref="CK6:CK9"/>
    <mergeCell ref="CL6:CL9"/>
    <mergeCell ref="CM6:CM9"/>
    <mergeCell ref="BB45:BB46"/>
    <mergeCell ref="D39:D46"/>
    <mergeCell ref="F39:F40"/>
    <mergeCell ref="F41:F42"/>
    <mergeCell ref="E41:E42"/>
    <mergeCell ref="BB21:BB22"/>
    <mergeCell ref="BB39:BB40"/>
    <mergeCell ref="BB41:BB42"/>
    <mergeCell ref="BB43:BB44"/>
    <mergeCell ref="E35:E36"/>
    <mergeCell ref="E31:E32"/>
    <mergeCell ref="F31:F32"/>
    <mergeCell ref="F45:F46"/>
    <mergeCell ref="E25:E26"/>
    <mergeCell ref="BB25:BB26"/>
    <mergeCell ref="F21:F22"/>
    <mergeCell ref="E21:E22"/>
    <mergeCell ref="CU10:CU14"/>
    <mergeCell ref="CU15:CU16"/>
    <mergeCell ref="CU17:CU18"/>
    <mergeCell ref="CU19:CU20"/>
    <mergeCell ref="CU21:CU22"/>
    <mergeCell ref="CU23:CU24"/>
    <mergeCell ref="CU25:CU26"/>
    <mergeCell ref="BE10:BE14"/>
    <mergeCell ref="BF10:BF14"/>
    <mergeCell ref="BG10:BG14"/>
    <mergeCell ref="BH10:BH14"/>
    <mergeCell ref="B15:B46"/>
    <mergeCell ref="F43:F44"/>
    <mergeCell ref="F33:F34"/>
    <mergeCell ref="F35:F36"/>
    <mergeCell ref="F37:F38"/>
    <mergeCell ref="D21:D38"/>
    <mergeCell ref="C21:C38"/>
    <mergeCell ref="F19:F20"/>
    <mergeCell ref="E15:E16"/>
    <mergeCell ref="E17:E18"/>
    <mergeCell ref="E19:E20"/>
    <mergeCell ref="D15:D20"/>
    <mergeCell ref="C15:C20"/>
    <mergeCell ref="F15:F16"/>
    <mergeCell ref="E37:E38"/>
    <mergeCell ref="E39:E40"/>
    <mergeCell ref="F23:F24"/>
    <mergeCell ref="A47:A56"/>
    <mergeCell ref="F52:F56"/>
    <mergeCell ref="CU47:CU51"/>
    <mergeCell ref="CU37:CU38"/>
    <mergeCell ref="CU39:CU40"/>
    <mergeCell ref="CU41:CU42"/>
    <mergeCell ref="CU43:CU44"/>
    <mergeCell ref="CU45:CU46"/>
    <mergeCell ref="CU27:CU28"/>
    <mergeCell ref="CU29:CU30"/>
    <mergeCell ref="CU31:CU32"/>
    <mergeCell ref="CU33:CU34"/>
    <mergeCell ref="CU35:CU36"/>
    <mergeCell ref="F47:F51"/>
    <mergeCell ref="E47:E51"/>
    <mergeCell ref="B47:D56"/>
    <mergeCell ref="F27:F28"/>
    <mergeCell ref="E27:E28"/>
    <mergeCell ref="F29:F30"/>
    <mergeCell ref="E29:E30"/>
    <mergeCell ref="C39:C46"/>
    <mergeCell ref="E43:E44"/>
    <mergeCell ref="BB27:BB28"/>
    <mergeCell ref="BB29:BB30"/>
    <mergeCell ref="BB31:BB32"/>
    <mergeCell ref="BB33:BB34"/>
    <mergeCell ref="BB35:BB36"/>
    <mergeCell ref="BB37:BB38"/>
    <mergeCell ref="A15:A46"/>
    <mergeCell ref="E33:E34"/>
    <mergeCell ref="BB23:BB24"/>
    <mergeCell ref="F25:F26"/>
    <mergeCell ref="B57:B75"/>
    <mergeCell ref="A57:A75"/>
    <mergeCell ref="E52:E56"/>
    <mergeCell ref="F57:F58"/>
    <mergeCell ref="E57:E58"/>
    <mergeCell ref="D57:D58"/>
    <mergeCell ref="C57:C58"/>
    <mergeCell ref="F59:F65"/>
    <mergeCell ref="E59:E65"/>
    <mergeCell ref="D59:D65"/>
    <mergeCell ref="C59:C65"/>
    <mergeCell ref="F66:F67"/>
    <mergeCell ref="E66:E67"/>
    <mergeCell ref="D66:D67"/>
    <mergeCell ref="C66:C67"/>
    <mergeCell ref="BS57:BS58"/>
    <mergeCell ref="F68:F70"/>
    <mergeCell ref="E68:E70"/>
    <mergeCell ref="D68:D70"/>
    <mergeCell ref="C68:C70"/>
    <mergeCell ref="F71:F72"/>
    <mergeCell ref="E71:E72"/>
    <mergeCell ref="D71:D72"/>
    <mergeCell ref="C71:C72"/>
    <mergeCell ref="F73:F75"/>
    <mergeCell ref="E73:E75"/>
    <mergeCell ref="D73:D75"/>
    <mergeCell ref="C73:C75"/>
    <mergeCell ref="BB57:BB58"/>
    <mergeCell ref="BB59:BB65"/>
    <mergeCell ref="BB66:BB67"/>
    <mergeCell ref="BB71:BB72"/>
    <mergeCell ref="BB68:BB70"/>
    <mergeCell ref="BB73:BB75"/>
    <mergeCell ref="BU57:BU58"/>
    <mergeCell ref="BV57:BV58"/>
    <mergeCell ref="BW57:BW58"/>
    <mergeCell ref="BX57:BX58"/>
    <mergeCell ref="BY57:BY58"/>
    <mergeCell ref="BZ57:BZ58"/>
    <mergeCell ref="CA57:CA58"/>
    <mergeCell ref="CB57:CB58"/>
    <mergeCell ref="CC57:CC58"/>
    <mergeCell ref="CD57:CD58"/>
    <mergeCell ref="CE57:CE58"/>
    <mergeCell ref="CF57:CF58"/>
    <mergeCell ref="CG57:CG58"/>
    <mergeCell ref="CH57:CH58"/>
    <mergeCell ref="BV59:BV65"/>
    <mergeCell ref="BW59:BW65"/>
    <mergeCell ref="BX59:BX65"/>
    <mergeCell ref="BY59:BY65"/>
    <mergeCell ref="BZ59:BZ65"/>
    <mergeCell ref="CA59:CA65"/>
    <mergeCell ref="CB59:CB65"/>
    <mergeCell ref="CC59:CC65"/>
    <mergeCell ref="CD59:CD65"/>
    <mergeCell ref="CE59:CE65"/>
    <mergeCell ref="CF59:CF65"/>
    <mergeCell ref="CG59:CG65"/>
    <mergeCell ref="CH59:CH65"/>
    <mergeCell ref="BC66:BC67"/>
    <mergeCell ref="BD66:BD67"/>
    <mergeCell ref="BT59:BT65"/>
    <mergeCell ref="GW57:GW75"/>
    <mergeCell ref="CI57:CI58"/>
    <mergeCell ref="CJ57:CJ58"/>
    <mergeCell ref="BC57:BC58"/>
    <mergeCell ref="BD57:BD58"/>
    <mergeCell ref="BE57:BE58"/>
    <mergeCell ref="BF57:BF58"/>
    <mergeCell ref="BG57:BG58"/>
    <mergeCell ref="BH57:BH58"/>
    <mergeCell ref="BI57:BI58"/>
    <mergeCell ref="BJ57:BJ58"/>
    <mergeCell ref="BK57:BK58"/>
    <mergeCell ref="BL57:BL58"/>
    <mergeCell ref="BM57:BM58"/>
    <mergeCell ref="BN57:BN58"/>
    <mergeCell ref="BO57:BO58"/>
    <mergeCell ref="BP57:BP58"/>
    <mergeCell ref="BQ57:BQ58"/>
    <mergeCell ref="BR57:BR58"/>
    <mergeCell ref="BT57:BT58"/>
    <mergeCell ref="DE57:DE58"/>
    <mergeCell ref="DF57:DF58"/>
    <mergeCell ref="DG57:DG58"/>
    <mergeCell ref="DH57:DH58"/>
    <mergeCell ref="DI57:DI58"/>
    <mergeCell ref="DJ57:DJ58"/>
    <mergeCell ref="DK57:DK58"/>
    <mergeCell ref="DL57:DL58"/>
    <mergeCell ref="DM57:DM58"/>
    <mergeCell ref="DN57:DN58"/>
    <mergeCell ref="DO57:DO58"/>
    <mergeCell ref="DP57:DP58"/>
    <mergeCell ref="BU59:BU65"/>
    <mergeCell ref="GG57:GG75"/>
    <mergeCell ref="GH57:GH75"/>
    <mergeCell ref="GI57:GI75"/>
    <mergeCell ref="GJ57:GJ75"/>
    <mergeCell ref="GK57:GK75"/>
    <mergeCell ref="GL57:GL75"/>
    <mergeCell ref="GM57:GM75"/>
    <mergeCell ref="GN57:GN75"/>
    <mergeCell ref="GO57:GO75"/>
    <mergeCell ref="GP57:GP75"/>
    <mergeCell ref="GQ57:GQ75"/>
    <mergeCell ref="GR57:GR75"/>
    <mergeCell ref="GS57:GS75"/>
    <mergeCell ref="GT57:GT75"/>
    <mergeCell ref="GU57:GU75"/>
    <mergeCell ref="DQ57:DQ58"/>
    <mergeCell ref="DR57:DR58"/>
    <mergeCell ref="DS57:DS58"/>
    <mergeCell ref="DT57:DT58"/>
    <mergeCell ref="DU57:DU58"/>
    <mergeCell ref="DX57:DX58"/>
    <mergeCell ref="DY57:DY58"/>
    <mergeCell ref="DZ57:DZ58"/>
    <mergeCell ref="EA57:EA58"/>
    <mergeCell ref="EB57:EB58"/>
    <mergeCell ref="EC57:EC58"/>
    <mergeCell ref="ED57:ED58"/>
    <mergeCell ref="EE57:EE58"/>
    <mergeCell ref="EF57:EF58"/>
    <mergeCell ref="EG57:EG58"/>
    <mergeCell ref="CM59:CM65"/>
    <mergeCell ref="BC59:BC65"/>
    <mergeCell ref="BD59:BD65"/>
    <mergeCell ref="BE59:BE65"/>
    <mergeCell ref="BF59:BF65"/>
    <mergeCell ref="BG59:BG65"/>
    <mergeCell ref="BH59:BH65"/>
    <mergeCell ref="BI59:BI65"/>
    <mergeCell ref="BJ59:BJ65"/>
    <mergeCell ref="BK59:BK65"/>
    <mergeCell ref="BL59:BL65"/>
    <mergeCell ref="BM59:BM65"/>
    <mergeCell ref="BN59:BN65"/>
    <mergeCell ref="BO59:BO65"/>
    <mergeCell ref="BP59:BP65"/>
    <mergeCell ref="BQ59:BQ65"/>
    <mergeCell ref="BR59:BR65"/>
    <mergeCell ref="BS59:BS65"/>
    <mergeCell ref="CN59:CN65"/>
    <mergeCell ref="CO59:CO65"/>
    <mergeCell ref="CU59:CU65"/>
    <mergeCell ref="DQ59:DQ65"/>
    <mergeCell ref="DR59:DR65"/>
    <mergeCell ref="DS59:DS65"/>
    <mergeCell ref="DT59:DT65"/>
    <mergeCell ref="DU59:DU65"/>
    <mergeCell ref="DV59:DV65"/>
    <mergeCell ref="DW59:DW65"/>
    <mergeCell ref="DX59:DX65"/>
    <mergeCell ref="GV57:GV75"/>
    <mergeCell ref="CM66:CM67"/>
    <mergeCell ref="CN66:CN67"/>
    <mergeCell ref="CO66:CO67"/>
    <mergeCell ref="CU66:CU67"/>
    <mergeCell ref="DL66:DL67"/>
    <mergeCell ref="DM66:DM67"/>
    <mergeCell ref="DN66:DN67"/>
    <mergeCell ref="DO66:DO67"/>
    <mergeCell ref="DP66:DP67"/>
    <mergeCell ref="DQ66:DQ67"/>
    <mergeCell ref="DR66:DR67"/>
    <mergeCell ref="DS66:DS67"/>
    <mergeCell ref="DT66:DT67"/>
    <mergeCell ref="CN57:CN58"/>
    <mergeCell ref="CO57:CO58"/>
    <mergeCell ref="EH57:EH58"/>
    <mergeCell ref="EN57:EN58"/>
    <mergeCell ref="EO57:EO58"/>
    <mergeCell ref="EP57:EP58"/>
    <mergeCell ref="CN68:CN70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T68:BT70"/>
    <mergeCell ref="BU68:BU70"/>
    <mergeCell ref="BV68:BV70"/>
    <mergeCell ref="BW68:BW70"/>
    <mergeCell ref="BX68:BX70"/>
    <mergeCell ref="BY68:BY70"/>
    <mergeCell ref="BZ68:BZ70"/>
    <mergeCell ref="CA68:CA70"/>
    <mergeCell ref="CB68:CB70"/>
    <mergeCell ref="CC68:CC70"/>
    <mergeCell ref="CD68:CD70"/>
    <mergeCell ref="CE68:CE70"/>
    <mergeCell ref="CF68:CF70"/>
    <mergeCell ref="CG68:CG70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BC68:BC70"/>
    <mergeCell ref="BD68:BD70"/>
    <mergeCell ref="BE68:BE70"/>
    <mergeCell ref="BF68:BF70"/>
    <mergeCell ref="BG68:BG70"/>
    <mergeCell ref="BH68:BH70"/>
    <mergeCell ref="BI68:BI70"/>
    <mergeCell ref="BJ68:BJ70"/>
    <mergeCell ref="BK68:BK70"/>
    <mergeCell ref="BL68:BL70"/>
    <mergeCell ref="BM68:BM70"/>
    <mergeCell ref="BN68:BN70"/>
    <mergeCell ref="BO68:BO70"/>
    <mergeCell ref="BP68:BP70"/>
    <mergeCell ref="BQ68:BQ70"/>
    <mergeCell ref="BR68:BR70"/>
    <mergeCell ref="BS68:BS70"/>
    <mergeCell ref="CO68:CO70"/>
    <mergeCell ref="CU68:CU70"/>
    <mergeCell ref="DY68:DY70"/>
    <mergeCell ref="DZ68:DZ70"/>
    <mergeCell ref="EA68:EA70"/>
    <mergeCell ref="EB68:EB70"/>
    <mergeCell ref="EC68:EC70"/>
    <mergeCell ref="ED68:ED70"/>
    <mergeCell ref="EE68:EE70"/>
    <mergeCell ref="EF68:EF70"/>
    <mergeCell ref="CP68:CP70"/>
    <mergeCell ref="CQ68:CQ70"/>
    <mergeCell ref="CR68:CR70"/>
    <mergeCell ref="CS68:CS70"/>
    <mergeCell ref="CT68:CT70"/>
    <mergeCell ref="HM57:HM75"/>
    <mergeCell ref="GZ57:GZ75"/>
    <mergeCell ref="HA57:HA75"/>
    <mergeCell ref="HB57:HB75"/>
    <mergeCell ref="HC57:HC75"/>
    <mergeCell ref="HD57:HD75"/>
    <mergeCell ref="HE57:HE75"/>
    <mergeCell ref="HF57:HF75"/>
    <mergeCell ref="HG57:HG75"/>
    <mergeCell ref="HH57:HH75"/>
    <mergeCell ref="HI57:HI75"/>
    <mergeCell ref="HJ57:HJ75"/>
    <mergeCell ref="HK57:HK75"/>
    <mergeCell ref="HL57:HL75"/>
    <mergeCell ref="GX57:GX75"/>
    <mergeCell ref="GY57:GY75"/>
    <mergeCell ref="DV57:DV58"/>
    <mergeCell ref="HN57:HN75"/>
    <mergeCell ref="HO57:HO75"/>
    <mergeCell ref="HP57:HP75"/>
    <mergeCell ref="HQ57:HQ75"/>
    <mergeCell ref="HR57:HR75"/>
    <mergeCell ref="HS57:HS75"/>
    <mergeCell ref="HT57:HT75"/>
    <mergeCell ref="BC71:BC72"/>
    <mergeCell ref="BD71:BD72"/>
    <mergeCell ref="BE71:BE72"/>
    <mergeCell ref="BF71:BF72"/>
    <mergeCell ref="BG71:BG72"/>
    <mergeCell ref="BH71:BH72"/>
    <mergeCell ref="BI71:BI72"/>
    <mergeCell ref="BJ71:BJ72"/>
    <mergeCell ref="BK71:BK72"/>
    <mergeCell ref="BL71:BL72"/>
    <mergeCell ref="BM71:BM72"/>
    <mergeCell ref="BN71:BN72"/>
    <mergeCell ref="BO71:BO72"/>
    <mergeCell ref="BP71:BP72"/>
    <mergeCell ref="BQ71:BQ72"/>
    <mergeCell ref="BR71:BR72"/>
    <mergeCell ref="BS71:BS72"/>
    <mergeCell ref="CK71:CK72"/>
    <mergeCell ref="CL71:CL72"/>
    <mergeCell ref="CM71:CM72"/>
    <mergeCell ref="CN71:CN72"/>
    <mergeCell ref="CO71:CO72"/>
    <mergeCell ref="BT71:BT72"/>
    <mergeCell ref="BU71:BU72"/>
    <mergeCell ref="BV71:BV72"/>
    <mergeCell ref="BW71:BW72"/>
    <mergeCell ref="BX71:BX72"/>
    <mergeCell ref="BY71:BY72"/>
    <mergeCell ref="BZ71:BZ72"/>
    <mergeCell ref="CA71:CA72"/>
    <mergeCell ref="CB71:CB72"/>
    <mergeCell ref="CC71:CC72"/>
    <mergeCell ref="CD71:CD72"/>
    <mergeCell ref="CE71:CE72"/>
    <mergeCell ref="CF71:CF72"/>
    <mergeCell ref="CG71:CG72"/>
    <mergeCell ref="CH71:CH72"/>
    <mergeCell ref="CI71:CI72"/>
    <mergeCell ref="CJ71:CJ72"/>
    <mergeCell ref="CK57:CK58"/>
    <mergeCell ref="CL57:CL58"/>
    <mergeCell ref="CM57:CM58"/>
    <mergeCell ref="CH68:CH70"/>
    <mergeCell ref="CI68:CI70"/>
    <mergeCell ref="CJ68:CJ70"/>
    <mergeCell ref="CK68:CK70"/>
    <mergeCell ref="CL68:CL70"/>
    <mergeCell ref="CM68:CM70"/>
    <mergeCell ref="CH66:CH67"/>
    <mergeCell ref="CI66:CI67"/>
    <mergeCell ref="CJ66:CJ67"/>
    <mergeCell ref="CK66:CK67"/>
    <mergeCell ref="CL66:CL67"/>
    <mergeCell ref="CI59:CI65"/>
    <mergeCell ref="CJ59:CJ65"/>
    <mergeCell ref="CK59:CK65"/>
    <mergeCell ref="CL59:CL65"/>
    <mergeCell ref="BC73:BC75"/>
    <mergeCell ref="BD73:BD75"/>
    <mergeCell ref="BE73:BE75"/>
    <mergeCell ref="BF73:BF75"/>
    <mergeCell ref="BG73:BG75"/>
    <mergeCell ref="BH73:BH75"/>
    <mergeCell ref="BI73:BI75"/>
    <mergeCell ref="BJ73:BJ75"/>
    <mergeCell ref="BK73:BK75"/>
    <mergeCell ref="BL73:BL75"/>
    <mergeCell ref="BM73:BM75"/>
    <mergeCell ref="BN73:BN75"/>
    <mergeCell ref="BO73:BO75"/>
    <mergeCell ref="BP73:BP75"/>
    <mergeCell ref="BQ73:BQ75"/>
    <mergeCell ref="BR73:BR75"/>
    <mergeCell ref="BS73:BS75"/>
    <mergeCell ref="BT73:BT75"/>
    <mergeCell ref="BU73:BU75"/>
    <mergeCell ref="BV73:BV75"/>
    <mergeCell ref="BW73:BW75"/>
    <mergeCell ref="BX73:BX75"/>
    <mergeCell ref="BY73:BY75"/>
    <mergeCell ref="BZ73:BZ75"/>
    <mergeCell ref="CA73:CA75"/>
    <mergeCell ref="CB73:CB75"/>
    <mergeCell ref="CC73:CC75"/>
    <mergeCell ref="CD73:CD75"/>
    <mergeCell ref="CE73:CE75"/>
    <mergeCell ref="CF73:CF75"/>
    <mergeCell ref="CG73:CG75"/>
    <mergeCell ref="CH73:CH75"/>
    <mergeCell ref="CI73:CI75"/>
    <mergeCell ref="CJ73:CJ75"/>
    <mergeCell ref="CK73:CK75"/>
    <mergeCell ref="CL73:CL75"/>
    <mergeCell ref="CM73:CM75"/>
    <mergeCell ref="CN73:CN75"/>
    <mergeCell ref="CO73:CO75"/>
    <mergeCell ref="CU57:CU58"/>
    <mergeCell ref="CU71:CU72"/>
    <mergeCell ref="CU73:CU75"/>
    <mergeCell ref="CV57:CV58"/>
    <mergeCell ref="CW57:CW58"/>
    <mergeCell ref="CX57:CX58"/>
    <mergeCell ref="CY57:CY58"/>
    <mergeCell ref="CZ57:CZ58"/>
    <mergeCell ref="DA57:DA58"/>
    <mergeCell ref="DB57:DB58"/>
    <mergeCell ref="DC57:DC58"/>
    <mergeCell ref="DD57:DD58"/>
    <mergeCell ref="CP57:CP58"/>
    <mergeCell ref="CQ57:CQ58"/>
    <mergeCell ref="CR57:CR58"/>
    <mergeCell ref="CS57:CS58"/>
    <mergeCell ref="CT57:CT58"/>
    <mergeCell ref="CP59:CP65"/>
    <mergeCell ref="CQ59:CQ65"/>
    <mergeCell ref="CR59:CR65"/>
    <mergeCell ref="CS59:CS65"/>
    <mergeCell ref="CT59:CT65"/>
    <mergeCell ref="CP66:CP67"/>
    <mergeCell ref="CQ66:CQ67"/>
    <mergeCell ref="CR66:CR67"/>
    <mergeCell ref="CS66:CS67"/>
    <mergeCell ref="CT66:CT67"/>
    <mergeCell ref="DW57:DW58"/>
    <mergeCell ref="FK57:FK58"/>
    <mergeCell ref="FL57:FL58"/>
    <mergeCell ref="FM57:FM58"/>
    <mergeCell ref="FN57:FN58"/>
    <mergeCell ref="FO57:FO58"/>
    <mergeCell ref="FP57:FP58"/>
    <mergeCell ref="I4:BA4"/>
    <mergeCell ref="BB4:CT4"/>
    <mergeCell ref="CP6:CP9"/>
    <mergeCell ref="CQ6:CQ9"/>
    <mergeCell ref="CR6:CR9"/>
    <mergeCell ref="CS6:CS9"/>
    <mergeCell ref="CT6:CT9"/>
    <mergeCell ref="CP10:CP14"/>
    <mergeCell ref="CQ10:CQ14"/>
    <mergeCell ref="CR10:CR14"/>
    <mergeCell ref="CS10:CS14"/>
    <mergeCell ref="CT10:CT14"/>
    <mergeCell ref="CP15:CP16"/>
    <mergeCell ref="CQ15:CQ16"/>
    <mergeCell ref="CR15:CR16"/>
    <mergeCell ref="CS15:CS16"/>
    <mergeCell ref="CT15:CT16"/>
    <mergeCell ref="CP17:CP18"/>
    <mergeCell ref="CQ17:CQ18"/>
    <mergeCell ref="CR17:CR18"/>
    <mergeCell ref="CS17:CS18"/>
    <mergeCell ref="CT17:CT18"/>
    <mergeCell ref="CP19:CP20"/>
    <mergeCell ref="CQ19:CQ20"/>
    <mergeCell ref="CR19:CR20"/>
    <mergeCell ref="CS19:CS20"/>
    <mergeCell ref="CT19:CT20"/>
    <mergeCell ref="CP21:CP22"/>
    <mergeCell ref="CQ21:CQ22"/>
    <mergeCell ref="CR21:CR22"/>
    <mergeCell ref="CS21:CS22"/>
    <mergeCell ref="CT21:CT22"/>
    <mergeCell ref="CP23:CP24"/>
    <mergeCell ref="CQ23:CQ24"/>
    <mergeCell ref="CR23:CR24"/>
    <mergeCell ref="CS23:CS24"/>
    <mergeCell ref="CT23:CT24"/>
    <mergeCell ref="CP25:CP26"/>
    <mergeCell ref="CQ25:CQ26"/>
    <mergeCell ref="CR25:CR26"/>
    <mergeCell ref="CS25:CS26"/>
    <mergeCell ref="CT25:CT26"/>
    <mergeCell ref="CP27:CP28"/>
    <mergeCell ref="CQ27:CQ28"/>
    <mergeCell ref="CR27:CR28"/>
    <mergeCell ref="CS27:CS28"/>
    <mergeCell ref="CT27:CT28"/>
    <mergeCell ref="CP29:CP30"/>
    <mergeCell ref="CQ29:CQ30"/>
    <mergeCell ref="CR29:CR30"/>
    <mergeCell ref="CS29:CS30"/>
    <mergeCell ref="CT29:CT30"/>
    <mergeCell ref="CP31:CP32"/>
    <mergeCell ref="CQ31:CQ32"/>
    <mergeCell ref="CR31:CR32"/>
    <mergeCell ref="CS31:CS32"/>
    <mergeCell ref="CT31:CT32"/>
    <mergeCell ref="CP33:CP34"/>
    <mergeCell ref="CQ33:CQ34"/>
    <mergeCell ref="CR33:CR34"/>
    <mergeCell ref="CS33:CS34"/>
    <mergeCell ref="CT33:CT34"/>
    <mergeCell ref="CP35:CP36"/>
    <mergeCell ref="CQ35:CQ36"/>
    <mergeCell ref="CR35:CR36"/>
    <mergeCell ref="CS35:CS36"/>
    <mergeCell ref="CT35:CT36"/>
    <mergeCell ref="CP37:CP38"/>
    <mergeCell ref="CQ37:CQ38"/>
    <mergeCell ref="CR37:CR38"/>
    <mergeCell ref="CS37:CS38"/>
    <mergeCell ref="CT37:CT38"/>
    <mergeCell ref="CP39:CP40"/>
    <mergeCell ref="CQ39:CQ40"/>
    <mergeCell ref="CR39:CR40"/>
    <mergeCell ref="CS39:CS40"/>
    <mergeCell ref="CT39:CT40"/>
    <mergeCell ref="CP41:CP42"/>
    <mergeCell ref="CQ41:CQ42"/>
    <mergeCell ref="CR41:CR42"/>
    <mergeCell ref="CS41:CS42"/>
    <mergeCell ref="CT41:CT42"/>
    <mergeCell ref="CP43:CP44"/>
    <mergeCell ref="CQ43:CQ44"/>
    <mergeCell ref="CR43:CR44"/>
    <mergeCell ref="CS43:CS44"/>
    <mergeCell ref="CT43:CT44"/>
    <mergeCell ref="CP45:CP46"/>
    <mergeCell ref="CQ45:CQ46"/>
    <mergeCell ref="CR45:CR46"/>
    <mergeCell ref="CS45:CS46"/>
    <mergeCell ref="CT45:CT46"/>
    <mergeCell ref="CP47:CP51"/>
    <mergeCell ref="CQ47:CQ51"/>
    <mergeCell ref="CR47:CR51"/>
    <mergeCell ref="CS47:CS51"/>
    <mergeCell ref="CT47:CT51"/>
    <mergeCell ref="CP52:CP56"/>
    <mergeCell ref="CQ52:CQ56"/>
    <mergeCell ref="CR52:CR56"/>
    <mergeCell ref="CS52:CS56"/>
    <mergeCell ref="CT52:CT56"/>
    <mergeCell ref="CP71:CP72"/>
    <mergeCell ref="CQ71:CQ72"/>
    <mergeCell ref="CR71:CR72"/>
    <mergeCell ref="CS71:CS72"/>
    <mergeCell ref="CT71:CT72"/>
    <mergeCell ref="CP73:CP75"/>
    <mergeCell ref="CQ73:CQ75"/>
    <mergeCell ref="CR73:CR75"/>
    <mergeCell ref="CS73:CS75"/>
    <mergeCell ref="CT73:CT75"/>
    <mergeCell ref="CU4:EM4"/>
    <mergeCell ref="EI6:EI9"/>
    <mergeCell ref="EJ6:EJ9"/>
    <mergeCell ref="EK6:EK9"/>
    <mergeCell ref="EL6:EL9"/>
    <mergeCell ref="EM6:EM9"/>
    <mergeCell ref="EI10:EI14"/>
    <mergeCell ref="EJ10:EJ14"/>
    <mergeCell ref="EK10:EK14"/>
    <mergeCell ref="EL10:EL14"/>
    <mergeCell ref="EM10:EM14"/>
    <mergeCell ref="EI15:EI16"/>
    <mergeCell ref="EJ15:EJ16"/>
    <mergeCell ref="EK15:EK16"/>
    <mergeCell ref="EL15:EL16"/>
    <mergeCell ref="EM15:EM16"/>
    <mergeCell ref="EI17:EI18"/>
    <mergeCell ref="EJ17:EJ18"/>
    <mergeCell ref="EK17:EK18"/>
    <mergeCell ref="EL17:EL18"/>
    <mergeCell ref="EM17:EM18"/>
    <mergeCell ref="EI19:EI20"/>
    <mergeCell ref="EJ19:EJ20"/>
    <mergeCell ref="EK19:EK20"/>
    <mergeCell ref="EL19:EL20"/>
    <mergeCell ref="EM19:EM20"/>
    <mergeCell ref="EI21:EI22"/>
    <mergeCell ref="EJ21:EJ22"/>
    <mergeCell ref="EK21:EK22"/>
    <mergeCell ref="EL21:EL22"/>
    <mergeCell ref="EM21:EM22"/>
    <mergeCell ref="EI23:EI24"/>
    <mergeCell ref="EJ23:EJ24"/>
    <mergeCell ref="EK23:EK24"/>
    <mergeCell ref="EL23:EL24"/>
    <mergeCell ref="EM23:EM24"/>
    <mergeCell ref="EI25:EI26"/>
    <mergeCell ref="EJ25:EJ26"/>
    <mergeCell ref="EK25:EK26"/>
    <mergeCell ref="EL25:EL26"/>
    <mergeCell ref="EM25:EM26"/>
    <mergeCell ref="EI27:EI28"/>
    <mergeCell ref="EJ27:EJ28"/>
    <mergeCell ref="EK27:EK28"/>
    <mergeCell ref="EL27:EL28"/>
    <mergeCell ref="EM27:EM28"/>
    <mergeCell ref="EI29:EI30"/>
    <mergeCell ref="EJ29:EJ30"/>
    <mergeCell ref="EK29:EK30"/>
    <mergeCell ref="EL29:EL30"/>
    <mergeCell ref="EM29:EM30"/>
    <mergeCell ref="EI31:EI32"/>
    <mergeCell ref="EJ31:EJ32"/>
    <mergeCell ref="EK31:EK32"/>
    <mergeCell ref="EL31:EL32"/>
    <mergeCell ref="EM31:EM32"/>
    <mergeCell ref="EI33:EI34"/>
    <mergeCell ref="EJ33:EJ34"/>
    <mergeCell ref="EK33:EK34"/>
    <mergeCell ref="EL33:EL34"/>
    <mergeCell ref="EM33:EM34"/>
    <mergeCell ref="EI35:EI36"/>
    <mergeCell ref="EJ35:EJ36"/>
    <mergeCell ref="EK35:EK36"/>
    <mergeCell ref="EL35:EL36"/>
    <mergeCell ref="EM35:EM36"/>
    <mergeCell ref="EI37:EI38"/>
    <mergeCell ref="EJ37:EJ38"/>
    <mergeCell ref="EK37:EK38"/>
    <mergeCell ref="EL37:EL38"/>
    <mergeCell ref="EM37:EM38"/>
    <mergeCell ref="EI39:EI40"/>
    <mergeCell ref="EJ39:EJ40"/>
    <mergeCell ref="EK39:EK40"/>
    <mergeCell ref="EL39:EL40"/>
    <mergeCell ref="EM39:EM40"/>
    <mergeCell ref="EI41:EI42"/>
    <mergeCell ref="EJ41:EJ42"/>
    <mergeCell ref="EK41:EK42"/>
    <mergeCell ref="EL41:EL42"/>
    <mergeCell ref="EM41:EM42"/>
    <mergeCell ref="EI43:EI44"/>
    <mergeCell ref="EJ43:EJ44"/>
    <mergeCell ref="EK43:EK44"/>
    <mergeCell ref="EL43:EL44"/>
    <mergeCell ref="EM43:EM44"/>
    <mergeCell ref="EI45:EI46"/>
    <mergeCell ref="EJ45:EJ46"/>
    <mergeCell ref="EK45:EK46"/>
    <mergeCell ref="EL45:EL46"/>
    <mergeCell ref="EM45:EM46"/>
    <mergeCell ref="EI47:EI51"/>
    <mergeCell ref="EJ47:EJ51"/>
    <mergeCell ref="EK47:EK51"/>
    <mergeCell ref="EL47:EL51"/>
    <mergeCell ref="EM47:EM51"/>
    <mergeCell ref="EI52:EI56"/>
    <mergeCell ref="EJ52:EJ56"/>
    <mergeCell ref="EK52:EK56"/>
    <mergeCell ref="EL52:EL56"/>
    <mergeCell ref="EM52:EM56"/>
    <mergeCell ref="GB6:GB14"/>
    <mergeCell ref="GC6:GC14"/>
    <mergeCell ref="GD6:GD14"/>
    <mergeCell ref="GE6:GE14"/>
    <mergeCell ref="GF6:GF14"/>
    <mergeCell ref="GB15:GB20"/>
    <mergeCell ref="GC15:GC20"/>
    <mergeCell ref="GD15:GD20"/>
    <mergeCell ref="GE15:GE20"/>
    <mergeCell ref="GF15:GF20"/>
    <mergeCell ref="GB21:GB38"/>
    <mergeCell ref="GC21:GC38"/>
    <mergeCell ref="GD21:GD38"/>
    <mergeCell ref="GE21:GE38"/>
    <mergeCell ref="GF21:GF38"/>
    <mergeCell ref="GB39:GB46"/>
    <mergeCell ref="GC39:GC46"/>
    <mergeCell ref="GD39:GD46"/>
    <mergeCell ref="GE39:GE46"/>
    <mergeCell ref="GF39:GF46"/>
    <mergeCell ref="GB47:GB56"/>
    <mergeCell ref="GC47:GC56"/>
    <mergeCell ref="GD47:GD56"/>
    <mergeCell ref="GE47:GE56"/>
    <mergeCell ref="GF47:GF56"/>
    <mergeCell ref="GB57:GB58"/>
    <mergeCell ref="GC57:GC58"/>
    <mergeCell ref="GD57:GD58"/>
    <mergeCell ref="GE57:GE58"/>
    <mergeCell ref="GF57:GF58"/>
    <mergeCell ref="GB59:GB65"/>
    <mergeCell ref="GC59:GC65"/>
    <mergeCell ref="GD59:GD65"/>
    <mergeCell ref="GE59:GE65"/>
    <mergeCell ref="GF59:GF65"/>
    <mergeCell ref="GB66:GB67"/>
    <mergeCell ref="GC66:GC67"/>
    <mergeCell ref="GD66:GD67"/>
    <mergeCell ref="GE66:GE67"/>
    <mergeCell ref="GF66:GF67"/>
    <mergeCell ref="GB68:GB70"/>
    <mergeCell ref="GC68:GC70"/>
    <mergeCell ref="GD68:GD70"/>
    <mergeCell ref="GE68:GE70"/>
    <mergeCell ref="GF68:GF70"/>
    <mergeCell ref="GB71:GB72"/>
    <mergeCell ref="GC71:GC72"/>
    <mergeCell ref="GD71:GD72"/>
    <mergeCell ref="GE71:GE72"/>
    <mergeCell ref="GF71:GF72"/>
    <mergeCell ref="GB73:GB75"/>
    <mergeCell ref="GC73:GC75"/>
    <mergeCell ref="GD73:GD75"/>
    <mergeCell ref="GE73:GE75"/>
    <mergeCell ref="GF73:GF75"/>
    <mergeCell ref="EN4:HY4"/>
    <mergeCell ref="HU6:HU14"/>
    <mergeCell ref="HV6:HV14"/>
    <mergeCell ref="HW6:HW14"/>
    <mergeCell ref="HX6:HX14"/>
    <mergeCell ref="HY6:HY14"/>
    <mergeCell ref="HU15:HU20"/>
    <mergeCell ref="HV15:HV20"/>
    <mergeCell ref="HW15:HW20"/>
    <mergeCell ref="HX15:HX20"/>
    <mergeCell ref="HY15:HY20"/>
    <mergeCell ref="HU21:HU38"/>
    <mergeCell ref="HV21:HV38"/>
    <mergeCell ref="HW21:HW38"/>
    <mergeCell ref="HX21:HX38"/>
    <mergeCell ref="HY21:HY38"/>
    <mergeCell ref="HU39:HU46"/>
    <mergeCell ref="JS4:LK4"/>
    <mergeCell ref="LG6:LG56"/>
    <mergeCell ref="LH6:LH56"/>
    <mergeCell ref="LI6:LI56"/>
    <mergeCell ref="LJ6:LJ56"/>
    <mergeCell ref="LK6:LK56"/>
    <mergeCell ref="HV39:HV46"/>
    <mergeCell ref="HW39:HW46"/>
    <mergeCell ref="HX39:HX46"/>
    <mergeCell ref="HY39:HY46"/>
    <mergeCell ref="HU47:HU56"/>
    <mergeCell ref="HV47:HV56"/>
    <mergeCell ref="HW47:HW56"/>
    <mergeCell ref="HX47:HX56"/>
    <mergeCell ref="HY47:HY56"/>
    <mergeCell ref="HU57:HU75"/>
    <mergeCell ref="HV57:HV75"/>
    <mergeCell ref="HW57:HW75"/>
    <mergeCell ref="HX57:HX75"/>
    <mergeCell ref="HY57:HY75"/>
    <mergeCell ref="HZ4:JR4"/>
    <mergeCell ref="JN6:JN56"/>
    <mergeCell ref="JO6:JO56"/>
    <mergeCell ref="JP6:JP56"/>
    <mergeCell ref="JQ6:JQ56"/>
    <mergeCell ref="JR6:JR56"/>
    <mergeCell ref="IF6:IF56"/>
    <mergeCell ref="IG6:IG56"/>
    <mergeCell ref="IH6:IH56"/>
    <mergeCell ref="II6:II56"/>
    <mergeCell ref="IJ6:IJ56"/>
    <mergeCell ref="IK6:IK56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ER71"/>
  <sheetViews>
    <sheetView showGridLines="0" topLeftCell="R61" zoomScale="70" zoomScaleNormal="70" workbookViewId="0">
      <selection activeCell="R22" sqref="R22"/>
    </sheetView>
  </sheetViews>
  <sheetFormatPr defaultColWidth="8.85546875" defaultRowHeight="15.75" x14ac:dyDescent="0.25"/>
  <cols>
    <col min="1" max="1" width="4" style="2" customWidth="1"/>
    <col min="2" max="2" width="14.42578125" style="2" customWidth="1"/>
    <col min="3" max="3" width="3.5703125" style="2" customWidth="1"/>
    <col min="4" max="4" width="12.7109375" style="2" customWidth="1"/>
    <col min="5" max="5" width="4.85546875" style="2" customWidth="1"/>
    <col min="6" max="6" width="28.85546875" style="2" customWidth="1"/>
    <col min="7" max="7" width="2.140625" style="2" customWidth="1"/>
    <col min="8" max="8" width="35.7109375" style="2" customWidth="1"/>
    <col min="9" max="48" width="3.7109375" style="2" customWidth="1"/>
    <col min="49" max="49" width="4.5703125" style="2" customWidth="1"/>
    <col min="50" max="148" width="3.7109375" style="2" customWidth="1"/>
    <col min="149" max="16384" width="8.85546875" style="2"/>
  </cols>
  <sheetData>
    <row r="1" spans="1:148" x14ac:dyDescent="0.25">
      <c r="A1" s="2" t="s">
        <v>191</v>
      </c>
    </row>
    <row r="2" spans="1:148" x14ac:dyDescent="0.25">
      <c r="A2" s="2" t="s">
        <v>193</v>
      </c>
    </row>
    <row r="4" spans="1:148" x14ac:dyDescent="0.25">
      <c r="A4" s="136" t="s">
        <v>92</v>
      </c>
      <c r="B4" s="136" t="s">
        <v>179</v>
      </c>
      <c r="C4" s="136" t="s">
        <v>93</v>
      </c>
      <c r="D4" s="136"/>
      <c r="E4" s="136"/>
      <c r="F4" s="136"/>
      <c r="G4" s="136" t="s">
        <v>180</v>
      </c>
      <c r="H4" s="136"/>
      <c r="I4" s="119" t="s">
        <v>192</v>
      </c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3" t="s">
        <v>51</v>
      </c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 t="s">
        <v>53</v>
      </c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9" t="s">
        <v>54</v>
      </c>
      <c r="BR4" s="119"/>
      <c r="BS4" s="119"/>
      <c r="BT4" s="119"/>
      <c r="BU4" s="119"/>
      <c r="BV4" s="119"/>
      <c r="BW4" s="119"/>
      <c r="BX4" s="119"/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19"/>
      <c r="CN4" s="119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  <c r="DD4" s="119"/>
      <c r="DE4" s="113" t="s">
        <v>196</v>
      </c>
      <c r="DF4" s="113"/>
      <c r="DG4" s="113"/>
      <c r="DH4" s="113"/>
      <c r="DI4" s="113"/>
      <c r="DJ4" s="113"/>
      <c r="DK4" s="113"/>
      <c r="DL4" s="113"/>
      <c r="DM4" s="113"/>
      <c r="DN4" s="113"/>
      <c r="DO4" s="113"/>
      <c r="DP4" s="113"/>
      <c r="DQ4" s="113"/>
      <c r="DR4" s="113"/>
      <c r="DS4" s="113"/>
      <c r="DT4" s="113"/>
      <c r="DU4" s="113"/>
      <c r="DV4" s="113"/>
      <c r="DW4" s="113"/>
      <c r="DX4" s="113"/>
      <c r="DY4" s="113" t="s">
        <v>52</v>
      </c>
      <c r="DZ4" s="113"/>
      <c r="EA4" s="113"/>
      <c r="EB4" s="113"/>
      <c r="EC4" s="113"/>
      <c r="ED4" s="113"/>
      <c r="EE4" s="113"/>
      <c r="EF4" s="113"/>
      <c r="EG4" s="113"/>
      <c r="EH4" s="113"/>
      <c r="EI4" s="113"/>
      <c r="EJ4" s="113"/>
      <c r="EK4" s="113"/>
      <c r="EL4" s="113"/>
      <c r="EM4" s="113"/>
      <c r="EN4" s="113"/>
      <c r="EO4" s="113"/>
      <c r="EP4" s="113"/>
      <c r="EQ4" s="113"/>
      <c r="ER4" s="113"/>
    </row>
    <row r="5" spans="1:148" x14ac:dyDescent="0.25">
      <c r="A5" s="136"/>
      <c r="B5" s="136"/>
      <c r="C5" s="136"/>
      <c r="D5" s="136"/>
      <c r="E5" s="136"/>
      <c r="F5" s="136"/>
      <c r="G5" s="136"/>
      <c r="H5" s="136"/>
      <c r="I5" s="16">
        <v>41</v>
      </c>
      <c r="J5" s="16">
        <v>42</v>
      </c>
      <c r="K5" s="16">
        <v>43</v>
      </c>
      <c r="L5" s="16">
        <v>44</v>
      </c>
      <c r="M5" s="16">
        <v>45</v>
      </c>
      <c r="N5" s="16">
        <v>6</v>
      </c>
      <c r="O5" s="16">
        <v>7</v>
      </c>
      <c r="P5" s="16">
        <v>8</v>
      </c>
      <c r="Q5" s="16">
        <v>9</v>
      </c>
      <c r="R5" s="16">
        <v>10</v>
      </c>
      <c r="S5" s="16">
        <v>11</v>
      </c>
      <c r="T5" s="16">
        <v>12</v>
      </c>
      <c r="U5" s="16">
        <v>13</v>
      </c>
      <c r="V5" s="16">
        <v>14</v>
      </c>
      <c r="W5" s="16">
        <v>15</v>
      </c>
      <c r="X5" s="16">
        <v>16</v>
      </c>
      <c r="Y5" s="16">
        <v>17</v>
      </c>
      <c r="Z5" s="16">
        <v>18</v>
      </c>
      <c r="AA5" s="16">
        <v>19</v>
      </c>
      <c r="AB5" s="16">
        <v>20</v>
      </c>
      <c r="AC5" s="67">
        <v>1</v>
      </c>
      <c r="AD5" s="67">
        <v>2</v>
      </c>
      <c r="AE5" s="67">
        <v>3</v>
      </c>
      <c r="AF5" s="67">
        <v>4</v>
      </c>
      <c r="AG5" s="67">
        <v>5</v>
      </c>
      <c r="AH5" s="67">
        <v>6</v>
      </c>
      <c r="AI5" s="67">
        <v>7</v>
      </c>
      <c r="AJ5" s="67">
        <v>8</v>
      </c>
      <c r="AK5" s="67">
        <v>9</v>
      </c>
      <c r="AL5" s="67">
        <v>10</v>
      </c>
      <c r="AM5" s="67">
        <v>11</v>
      </c>
      <c r="AN5" s="67">
        <v>12</v>
      </c>
      <c r="AO5" s="67">
        <v>13</v>
      </c>
      <c r="AP5" s="67">
        <v>14</v>
      </c>
      <c r="AQ5" s="67">
        <v>15</v>
      </c>
      <c r="AR5" s="67">
        <v>16</v>
      </c>
      <c r="AS5" s="67">
        <v>17</v>
      </c>
      <c r="AT5" s="67">
        <v>18</v>
      </c>
      <c r="AU5" s="67">
        <v>19</v>
      </c>
      <c r="AV5" s="67">
        <v>20</v>
      </c>
      <c r="AW5" s="67">
        <v>1</v>
      </c>
      <c r="AX5" s="67">
        <v>2</v>
      </c>
      <c r="AY5" s="67">
        <v>3</v>
      </c>
      <c r="AZ5" s="67">
        <v>4</v>
      </c>
      <c r="BA5" s="67">
        <v>5</v>
      </c>
      <c r="BB5" s="67">
        <v>6</v>
      </c>
      <c r="BC5" s="67">
        <v>7</v>
      </c>
      <c r="BD5" s="67">
        <v>8</v>
      </c>
      <c r="BE5" s="67">
        <v>9</v>
      </c>
      <c r="BF5" s="67">
        <v>10</v>
      </c>
      <c r="BG5" s="67">
        <v>11</v>
      </c>
      <c r="BH5" s="67">
        <v>12</v>
      </c>
      <c r="BI5" s="67">
        <v>13</v>
      </c>
      <c r="BJ5" s="67">
        <v>14</v>
      </c>
      <c r="BK5" s="67">
        <v>15</v>
      </c>
      <c r="BL5" s="67">
        <v>16</v>
      </c>
      <c r="BM5" s="67">
        <v>17</v>
      </c>
      <c r="BN5" s="67">
        <v>18</v>
      </c>
      <c r="BO5" s="67">
        <v>19</v>
      </c>
      <c r="BP5" s="67">
        <v>20</v>
      </c>
      <c r="BQ5" s="67">
        <v>1</v>
      </c>
      <c r="BR5" s="67">
        <v>2</v>
      </c>
      <c r="BS5" s="67">
        <v>3</v>
      </c>
      <c r="BT5" s="67">
        <v>4</v>
      </c>
      <c r="BU5" s="67">
        <v>5</v>
      </c>
      <c r="BV5" s="67">
        <v>6</v>
      </c>
      <c r="BW5" s="67">
        <v>7</v>
      </c>
      <c r="BX5" s="67">
        <v>8</v>
      </c>
      <c r="BY5" s="67">
        <v>9</v>
      </c>
      <c r="BZ5" s="67">
        <v>10</v>
      </c>
      <c r="CA5" s="67">
        <v>11</v>
      </c>
      <c r="CB5" s="67">
        <v>12</v>
      </c>
      <c r="CC5" s="67">
        <v>13</v>
      </c>
      <c r="CD5" s="67">
        <v>14</v>
      </c>
      <c r="CE5" s="67">
        <v>15</v>
      </c>
      <c r="CF5" s="67">
        <v>16</v>
      </c>
      <c r="CG5" s="67">
        <v>17</v>
      </c>
      <c r="CH5" s="67">
        <v>18</v>
      </c>
      <c r="CI5" s="67">
        <v>19</v>
      </c>
      <c r="CJ5" s="67">
        <v>20</v>
      </c>
      <c r="CK5" s="67">
        <v>1</v>
      </c>
      <c r="CL5" s="67">
        <v>2</v>
      </c>
      <c r="CM5" s="67">
        <v>3</v>
      </c>
      <c r="CN5" s="67">
        <v>4</v>
      </c>
      <c r="CO5" s="67">
        <v>5</v>
      </c>
      <c r="CP5" s="67">
        <v>6</v>
      </c>
      <c r="CQ5" s="67">
        <v>7</v>
      </c>
      <c r="CR5" s="67">
        <v>8</v>
      </c>
      <c r="CS5" s="67">
        <v>9</v>
      </c>
      <c r="CT5" s="67">
        <v>10</v>
      </c>
      <c r="CU5" s="67">
        <v>11</v>
      </c>
      <c r="CV5" s="67">
        <v>12</v>
      </c>
      <c r="CW5" s="67">
        <v>13</v>
      </c>
      <c r="CX5" s="67">
        <v>14</v>
      </c>
      <c r="CY5" s="67">
        <v>15</v>
      </c>
      <c r="CZ5" s="67">
        <v>16</v>
      </c>
      <c r="DA5" s="67">
        <v>17</v>
      </c>
      <c r="DB5" s="67">
        <v>18</v>
      </c>
      <c r="DC5" s="67">
        <v>19</v>
      </c>
      <c r="DD5" s="67">
        <v>20</v>
      </c>
      <c r="DE5" s="48">
        <v>1</v>
      </c>
      <c r="DF5" s="48">
        <v>2</v>
      </c>
      <c r="DG5" s="48">
        <v>3</v>
      </c>
      <c r="DH5" s="48">
        <v>4</v>
      </c>
      <c r="DI5" s="48">
        <v>5</v>
      </c>
      <c r="DJ5" s="48">
        <v>6</v>
      </c>
      <c r="DK5" s="48">
        <v>7</v>
      </c>
      <c r="DL5" s="48">
        <v>8</v>
      </c>
      <c r="DM5" s="48">
        <v>9</v>
      </c>
      <c r="DN5" s="48">
        <v>10</v>
      </c>
      <c r="DO5" s="48">
        <v>11</v>
      </c>
      <c r="DP5" s="48">
        <v>12</v>
      </c>
      <c r="DQ5" s="48">
        <v>13</v>
      </c>
      <c r="DR5" s="48">
        <v>14</v>
      </c>
      <c r="DS5" s="48">
        <v>15</v>
      </c>
      <c r="DT5" s="48">
        <v>16</v>
      </c>
      <c r="DU5" s="48">
        <v>17</v>
      </c>
      <c r="DV5" s="48">
        <v>18</v>
      </c>
      <c r="DW5" s="48">
        <v>19</v>
      </c>
      <c r="DX5" s="48">
        <v>20</v>
      </c>
      <c r="DY5" s="66">
        <v>1</v>
      </c>
      <c r="DZ5" s="66">
        <v>2</v>
      </c>
      <c r="EA5" s="66">
        <v>3</v>
      </c>
      <c r="EB5" s="66">
        <v>4</v>
      </c>
      <c r="EC5" s="66">
        <v>5</v>
      </c>
      <c r="ED5" s="66">
        <v>6</v>
      </c>
      <c r="EE5" s="66">
        <v>7</v>
      </c>
      <c r="EF5" s="66">
        <v>8</v>
      </c>
      <c r="EG5" s="66">
        <v>9</v>
      </c>
      <c r="EH5" s="66">
        <v>10</v>
      </c>
      <c r="EI5" s="66">
        <v>11</v>
      </c>
      <c r="EJ5" s="66">
        <v>12</v>
      </c>
      <c r="EK5" s="66">
        <v>13</v>
      </c>
      <c r="EL5" s="66">
        <v>14</v>
      </c>
      <c r="EM5" s="66">
        <v>15</v>
      </c>
      <c r="EN5" s="66">
        <v>16</v>
      </c>
      <c r="EO5" s="66">
        <v>17</v>
      </c>
      <c r="EP5" s="66">
        <v>18</v>
      </c>
      <c r="EQ5" s="66">
        <v>19</v>
      </c>
      <c r="ER5" s="66">
        <v>20</v>
      </c>
    </row>
    <row r="6" spans="1:148" ht="17.45" customHeight="1" x14ac:dyDescent="0.25">
      <c r="A6" s="127" t="s">
        <v>40</v>
      </c>
      <c r="B6" s="133" t="s">
        <v>67</v>
      </c>
      <c r="C6" s="127" t="s">
        <v>0</v>
      </c>
      <c r="D6" s="135" t="s">
        <v>88</v>
      </c>
      <c r="E6" s="135"/>
      <c r="F6" s="135"/>
      <c r="G6" s="20" t="s">
        <v>56</v>
      </c>
      <c r="H6" s="21" t="s">
        <v>42</v>
      </c>
      <c r="I6" s="78" t="s">
        <v>269</v>
      </c>
      <c r="J6" s="78" t="s">
        <v>269</v>
      </c>
      <c r="K6" s="78" t="s">
        <v>269</v>
      </c>
      <c r="L6" s="78" t="s">
        <v>269</v>
      </c>
      <c r="M6" s="78" t="s">
        <v>269</v>
      </c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125">
        <f t="shared" ref="AC6:AV6" si="0">IF(AND(I6="",I7="",I8="",I9=""),"",IF(COUNTIF(I6:I9,"v")&gt;=3,2,IF(AND(COUNTIF(I6:I9,"v")&gt;=1,COUNTIF(I6:I9,"v")&lt;=3),1,0)))</f>
        <v>2</v>
      </c>
      <c r="AD6" s="125">
        <f t="shared" si="0"/>
        <v>2</v>
      </c>
      <c r="AE6" s="125">
        <f t="shared" si="0"/>
        <v>2</v>
      </c>
      <c r="AF6" s="125">
        <f t="shared" si="0"/>
        <v>2</v>
      </c>
      <c r="AG6" s="125">
        <f t="shared" si="0"/>
        <v>2</v>
      </c>
      <c r="AH6" s="125" t="str">
        <f t="shared" si="0"/>
        <v/>
      </c>
      <c r="AI6" s="125" t="str">
        <f t="shared" si="0"/>
        <v/>
      </c>
      <c r="AJ6" s="125" t="str">
        <f t="shared" si="0"/>
        <v/>
      </c>
      <c r="AK6" s="125" t="str">
        <f t="shared" si="0"/>
        <v/>
      </c>
      <c r="AL6" s="125" t="str">
        <f t="shared" si="0"/>
        <v/>
      </c>
      <c r="AM6" s="125" t="str">
        <f t="shared" si="0"/>
        <v/>
      </c>
      <c r="AN6" s="125" t="str">
        <f t="shared" si="0"/>
        <v/>
      </c>
      <c r="AO6" s="125" t="str">
        <f t="shared" si="0"/>
        <v/>
      </c>
      <c r="AP6" s="125" t="str">
        <f t="shared" si="0"/>
        <v/>
      </c>
      <c r="AQ6" s="125" t="str">
        <f t="shared" si="0"/>
        <v/>
      </c>
      <c r="AR6" s="125" t="str">
        <f t="shared" si="0"/>
        <v/>
      </c>
      <c r="AS6" s="125" t="str">
        <f t="shared" si="0"/>
        <v/>
      </c>
      <c r="AT6" s="125" t="str">
        <f t="shared" si="0"/>
        <v/>
      </c>
      <c r="AU6" s="125" t="str">
        <f t="shared" si="0"/>
        <v/>
      </c>
      <c r="AV6" s="125" t="str">
        <f t="shared" si="0"/>
        <v/>
      </c>
      <c r="AW6" s="123" t="str">
        <f>IF(AC6="","",IF(AC6=0,"Ditolak",IF(AC6=1,"Diperbaiki","Digunakan")))</f>
        <v>Digunakan</v>
      </c>
      <c r="AX6" s="123" t="str">
        <f t="shared" ref="AX6:BP6" si="1">IF(AD6="","",IF(AD6=0,"Ditolak",IF(AND(AD6&gt;=1,AD6&lt;4),"Diperbaiki","Digunakan")))</f>
        <v>Diperbaiki</v>
      </c>
      <c r="AY6" s="123" t="str">
        <f t="shared" si="1"/>
        <v>Diperbaiki</v>
      </c>
      <c r="AZ6" s="123" t="str">
        <f t="shared" si="1"/>
        <v>Diperbaiki</v>
      </c>
      <c r="BA6" s="123" t="str">
        <f t="shared" si="1"/>
        <v>Diperbaiki</v>
      </c>
      <c r="BB6" s="123" t="str">
        <f t="shared" si="1"/>
        <v/>
      </c>
      <c r="BC6" s="123" t="str">
        <f t="shared" si="1"/>
        <v/>
      </c>
      <c r="BD6" s="123" t="str">
        <f t="shared" si="1"/>
        <v/>
      </c>
      <c r="BE6" s="123" t="str">
        <f t="shared" si="1"/>
        <v/>
      </c>
      <c r="BF6" s="123" t="str">
        <f t="shared" si="1"/>
        <v/>
      </c>
      <c r="BG6" s="123" t="str">
        <f t="shared" si="1"/>
        <v/>
      </c>
      <c r="BH6" s="123" t="str">
        <f t="shared" si="1"/>
        <v/>
      </c>
      <c r="BI6" s="123" t="str">
        <f t="shared" si="1"/>
        <v/>
      </c>
      <c r="BJ6" s="123" t="str">
        <f t="shared" si="1"/>
        <v/>
      </c>
      <c r="BK6" s="123" t="str">
        <f t="shared" si="1"/>
        <v/>
      </c>
      <c r="BL6" s="123" t="str">
        <f t="shared" si="1"/>
        <v/>
      </c>
      <c r="BM6" s="123" t="str">
        <f t="shared" si="1"/>
        <v/>
      </c>
      <c r="BN6" s="123" t="str">
        <f t="shared" si="1"/>
        <v/>
      </c>
      <c r="BO6" s="123" t="str">
        <f t="shared" si="1"/>
        <v/>
      </c>
      <c r="BP6" s="123" t="str">
        <f t="shared" si="1"/>
        <v/>
      </c>
      <c r="BQ6" s="117" t="str">
        <f t="shared" ref="BQ6:CJ6" si="2">IF(COUNTIF(AW6:AW14,"Diperbaiki")&gt;=1,"hal-hal penting","")</f>
        <v/>
      </c>
      <c r="BR6" s="117" t="str">
        <f t="shared" si="2"/>
        <v>hal-hal penting</v>
      </c>
      <c r="BS6" s="117" t="str">
        <f t="shared" si="2"/>
        <v>hal-hal penting</v>
      </c>
      <c r="BT6" s="117" t="str">
        <f t="shared" si="2"/>
        <v>hal-hal penting</v>
      </c>
      <c r="BU6" s="117" t="str">
        <f t="shared" si="2"/>
        <v>hal-hal penting</v>
      </c>
      <c r="BV6" s="117" t="str">
        <f t="shared" si="2"/>
        <v/>
      </c>
      <c r="BW6" s="117" t="str">
        <f t="shared" si="2"/>
        <v/>
      </c>
      <c r="BX6" s="117" t="str">
        <f t="shared" si="2"/>
        <v/>
      </c>
      <c r="BY6" s="117" t="str">
        <f t="shared" si="2"/>
        <v/>
      </c>
      <c r="BZ6" s="117" t="str">
        <f t="shared" si="2"/>
        <v/>
      </c>
      <c r="CA6" s="117" t="str">
        <f t="shared" si="2"/>
        <v/>
      </c>
      <c r="CB6" s="117" t="str">
        <f t="shared" si="2"/>
        <v/>
      </c>
      <c r="CC6" s="117" t="str">
        <f t="shared" si="2"/>
        <v/>
      </c>
      <c r="CD6" s="117" t="str">
        <f t="shared" si="2"/>
        <v/>
      </c>
      <c r="CE6" s="117" t="str">
        <f t="shared" si="2"/>
        <v/>
      </c>
      <c r="CF6" s="117" t="str">
        <f t="shared" si="2"/>
        <v/>
      </c>
      <c r="CG6" s="117" t="str">
        <f t="shared" si="2"/>
        <v/>
      </c>
      <c r="CH6" s="117" t="str">
        <f t="shared" si="2"/>
        <v/>
      </c>
      <c r="CI6" s="117" t="str">
        <f t="shared" si="2"/>
        <v/>
      </c>
      <c r="CJ6" s="117" t="str">
        <f t="shared" si="2"/>
        <v/>
      </c>
      <c r="CK6" s="137" t="str">
        <f t="shared" ref="CK6:DD6" si="3">IF(BQ6="","",",")</f>
        <v/>
      </c>
      <c r="CL6" s="164" t="str">
        <f t="shared" si="3"/>
        <v>,</v>
      </c>
      <c r="CM6" s="164" t="str">
        <f t="shared" si="3"/>
        <v>,</v>
      </c>
      <c r="CN6" s="164" t="str">
        <f t="shared" si="3"/>
        <v>,</v>
      </c>
      <c r="CO6" s="164" t="str">
        <f t="shared" si="3"/>
        <v>,</v>
      </c>
      <c r="CP6" s="164" t="str">
        <f t="shared" si="3"/>
        <v/>
      </c>
      <c r="CQ6" s="164" t="str">
        <f t="shared" si="3"/>
        <v/>
      </c>
      <c r="CR6" s="164" t="str">
        <f t="shared" si="3"/>
        <v/>
      </c>
      <c r="CS6" s="164" t="str">
        <f t="shared" si="3"/>
        <v/>
      </c>
      <c r="CT6" s="164" t="str">
        <f t="shared" si="3"/>
        <v/>
      </c>
      <c r="CU6" s="164" t="str">
        <f t="shared" si="3"/>
        <v/>
      </c>
      <c r="CV6" s="164" t="str">
        <f t="shared" si="3"/>
        <v/>
      </c>
      <c r="CW6" s="164" t="str">
        <f t="shared" si="3"/>
        <v/>
      </c>
      <c r="CX6" s="164" t="str">
        <f t="shared" si="3"/>
        <v/>
      </c>
      <c r="CY6" s="164" t="str">
        <f t="shared" si="3"/>
        <v/>
      </c>
      <c r="CZ6" s="164" t="str">
        <f t="shared" si="3"/>
        <v/>
      </c>
      <c r="DA6" s="164" t="str">
        <f t="shared" si="3"/>
        <v/>
      </c>
      <c r="DB6" s="164" t="str">
        <f t="shared" si="3"/>
        <v/>
      </c>
      <c r="DC6" s="164" t="str">
        <f t="shared" si="3"/>
        <v/>
      </c>
      <c r="DD6" s="164" t="str">
        <f t="shared" si="3"/>
        <v/>
      </c>
      <c r="DE6" s="117" t="str">
        <f t="shared" ref="DE6:DX6" si="4">CONCATENATE(BQ6,CK6," ",BQ15,CK15," ",BQ23,CK23," ",BQ31,CK31," ",BQ43)</f>
        <v xml:space="preserve">    HOTS</v>
      </c>
      <c r="DF6" s="117" t="str">
        <f t="shared" si="4"/>
        <v>hal-hal penting,    HOTS</v>
      </c>
      <c r="DG6" s="117" t="str">
        <f t="shared" si="4"/>
        <v>hal-hal penting,    HOTS</v>
      </c>
      <c r="DH6" s="117" t="str">
        <f t="shared" si="4"/>
        <v>hal-hal penting,    HOTS</v>
      </c>
      <c r="DI6" s="117" t="str">
        <f t="shared" si="4"/>
        <v>hal-hal penting,    HOTS</v>
      </c>
      <c r="DJ6" s="117" t="str">
        <f t="shared" si="4"/>
        <v xml:space="preserve">    </v>
      </c>
      <c r="DK6" s="117" t="str">
        <f t="shared" si="4"/>
        <v xml:space="preserve">    </v>
      </c>
      <c r="DL6" s="117" t="str">
        <f t="shared" si="4"/>
        <v xml:space="preserve">    </v>
      </c>
      <c r="DM6" s="117" t="str">
        <f t="shared" si="4"/>
        <v xml:space="preserve">    </v>
      </c>
      <c r="DN6" s="117" t="str">
        <f t="shared" si="4"/>
        <v xml:space="preserve">    </v>
      </c>
      <c r="DO6" s="117" t="str">
        <f t="shared" si="4"/>
        <v xml:space="preserve">    </v>
      </c>
      <c r="DP6" s="117" t="str">
        <f t="shared" si="4"/>
        <v xml:space="preserve">    </v>
      </c>
      <c r="DQ6" s="117" t="str">
        <f t="shared" si="4"/>
        <v xml:space="preserve">    </v>
      </c>
      <c r="DR6" s="117" t="str">
        <f t="shared" si="4"/>
        <v xml:space="preserve">    </v>
      </c>
      <c r="DS6" s="117" t="str">
        <f t="shared" si="4"/>
        <v xml:space="preserve">    </v>
      </c>
      <c r="DT6" s="117" t="str">
        <f t="shared" si="4"/>
        <v xml:space="preserve">    </v>
      </c>
      <c r="DU6" s="117" t="str">
        <f t="shared" si="4"/>
        <v xml:space="preserve">    </v>
      </c>
      <c r="DV6" s="117" t="str">
        <f t="shared" si="4"/>
        <v xml:space="preserve">    </v>
      </c>
      <c r="DW6" s="117" t="str">
        <f t="shared" si="4"/>
        <v xml:space="preserve">    </v>
      </c>
      <c r="DX6" s="117" t="str">
        <f t="shared" si="4"/>
        <v xml:space="preserve">    </v>
      </c>
      <c r="DY6" s="114" t="str">
        <f t="shared" ref="DY6:ER6" si="5">IF(DE6="",CONCATENATE("Soal No."," ",DY5," ","dapat digunakan"),CONCATENATE("Soal No."," ",DY5," ","perlu perbaikan pada aspek"," ",DE6))</f>
        <v>Soal No. 1 perlu perbaikan pada aspek     HOTS</v>
      </c>
      <c r="DZ6" s="114" t="str">
        <f t="shared" si="5"/>
        <v>Soal No. 2 perlu perbaikan pada aspek hal-hal penting,    HOTS</v>
      </c>
      <c r="EA6" s="114" t="str">
        <f t="shared" si="5"/>
        <v>Soal No. 3 perlu perbaikan pada aspek hal-hal penting,    HOTS</v>
      </c>
      <c r="EB6" s="114" t="str">
        <f t="shared" si="5"/>
        <v>Soal No. 4 perlu perbaikan pada aspek hal-hal penting,    HOTS</v>
      </c>
      <c r="EC6" s="114" t="str">
        <f t="shared" si="5"/>
        <v>Soal No. 5 perlu perbaikan pada aspek hal-hal penting,    HOTS</v>
      </c>
      <c r="ED6" s="114" t="str">
        <f t="shared" si="5"/>
        <v xml:space="preserve">Soal No. 6 perlu perbaikan pada aspek     </v>
      </c>
      <c r="EE6" s="114" t="str">
        <f t="shared" si="5"/>
        <v xml:space="preserve">Soal No. 7 perlu perbaikan pada aspek     </v>
      </c>
      <c r="EF6" s="114" t="str">
        <f t="shared" si="5"/>
        <v xml:space="preserve">Soal No. 8 perlu perbaikan pada aspek     </v>
      </c>
      <c r="EG6" s="114" t="str">
        <f t="shared" si="5"/>
        <v xml:space="preserve">Soal No. 9 perlu perbaikan pada aspek     </v>
      </c>
      <c r="EH6" s="114" t="str">
        <f t="shared" si="5"/>
        <v xml:space="preserve">Soal No. 10 perlu perbaikan pada aspek     </v>
      </c>
      <c r="EI6" s="114" t="str">
        <f t="shared" si="5"/>
        <v xml:space="preserve">Soal No. 11 perlu perbaikan pada aspek     </v>
      </c>
      <c r="EJ6" s="114" t="str">
        <f t="shared" si="5"/>
        <v xml:space="preserve">Soal No. 12 perlu perbaikan pada aspek     </v>
      </c>
      <c r="EK6" s="114" t="str">
        <f t="shared" si="5"/>
        <v xml:space="preserve">Soal No. 13 perlu perbaikan pada aspek     </v>
      </c>
      <c r="EL6" s="114" t="str">
        <f t="shared" si="5"/>
        <v xml:space="preserve">Soal No. 14 perlu perbaikan pada aspek     </v>
      </c>
      <c r="EM6" s="114" t="str">
        <f t="shared" si="5"/>
        <v xml:space="preserve">Soal No. 15 perlu perbaikan pada aspek     </v>
      </c>
      <c r="EN6" s="114" t="str">
        <f t="shared" si="5"/>
        <v xml:space="preserve">Soal No. 16 perlu perbaikan pada aspek     </v>
      </c>
      <c r="EO6" s="114" t="str">
        <f t="shared" si="5"/>
        <v xml:space="preserve">Soal No. 17 perlu perbaikan pada aspek     </v>
      </c>
      <c r="EP6" s="114" t="str">
        <f t="shared" si="5"/>
        <v xml:space="preserve">Soal No. 18 perlu perbaikan pada aspek     </v>
      </c>
      <c r="EQ6" s="114" t="str">
        <f t="shared" si="5"/>
        <v xml:space="preserve">Soal No. 19 perlu perbaikan pada aspek     </v>
      </c>
      <c r="ER6" s="114" t="str">
        <f t="shared" si="5"/>
        <v xml:space="preserve">Soal No. 20 perlu perbaikan pada aspek     </v>
      </c>
    </row>
    <row r="7" spans="1:148" ht="18" x14ac:dyDescent="0.25">
      <c r="A7" s="127"/>
      <c r="B7" s="133"/>
      <c r="C7" s="127"/>
      <c r="D7" s="135"/>
      <c r="E7" s="135"/>
      <c r="F7" s="135"/>
      <c r="G7" s="20" t="s">
        <v>56</v>
      </c>
      <c r="H7" s="21" t="s">
        <v>43</v>
      </c>
      <c r="I7" s="78" t="s">
        <v>269</v>
      </c>
      <c r="J7" s="78" t="s">
        <v>269</v>
      </c>
      <c r="K7" s="78" t="s">
        <v>269</v>
      </c>
      <c r="L7" s="78" t="s">
        <v>269</v>
      </c>
      <c r="M7" s="78" t="s">
        <v>269</v>
      </c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3"/>
      <c r="AX7" s="123"/>
      <c r="AY7" s="123"/>
      <c r="AZ7" s="123"/>
      <c r="BA7" s="123"/>
      <c r="BB7" s="123"/>
      <c r="BC7" s="123"/>
      <c r="BD7" s="123"/>
      <c r="BE7" s="123"/>
      <c r="BF7" s="123"/>
      <c r="BG7" s="123"/>
      <c r="BH7" s="123"/>
      <c r="BI7" s="123"/>
      <c r="BJ7" s="123"/>
      <c r="BK7" s="123"/>
      <c r="BL7" s="123"/>
      <c r="BM7" s="123"/>
      <c r="BN7" s="123"/>
      <c r="BO7" s="123"/>
      <c r="BP7" s="123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17"/>
      <c r="CK7" s="138"/>
      <c r="CL7" s="164"/>
      <c r="CM7" s="164"/>
      <c r="CN7" s="164"/>
      <c r="CO7" s="164"/>
      <c r="CP7" s="164"/>
      <c r="CQ7" s="164"/>
      <c r="CR7" s="164"/>
      <c r="CS7" s="164"/>
      <c r="CT7" s="164"/>
      <c r="CU7" s="164"/>
      <c r="CV7" s="164"/>
      <c r="CW7" s="164"/>
      <c r="CX7" s="164"/>
      <c r="CY7" s="164"/>
      <c r="CZ7" s="164"/>
      <c r="DA7" s="164"/>
      <c r="DB7" s="164"/>
      <c r="DC7" s="164"/>
      <c r="DD7" s="164"/>
      <c r="DE7" s="117"/>
      <c r="DF7" s="117"/>
      <c r="DG7" s="117"/>
      <c r="DH7" s="117"/>
      <c r="DI7" s="117"/>
      <c r="DJ7" s="117"/>
      <c r="DK7" s="117"/>
      <c r="DL7" s="117"/>
      <c r="DM7" s="117"/>
      <c r="DN7" s="117"/>
      <c r="DO7" s="117"/>
      <c r="DP7" s="117"/>
      <c r="DQ7" s="117"/>
      <c r="DR7" s="117"/>
      <c r="DS7" s="117"/>
      <c r="DT7" s="117"/>
      <c r="DU7" s="117"/>
      <c r="DV7" s="117"/>
      <c r="DW7" s="117"/>
      <c r="DX7" s="117"/>
      <c r="DY7" s="114"/>
      <c r="DZ7" s="114"/>
      <c r="EA7" s="114"/>
      <c r="EB7" s="114"/>
      <c r="EC7" s="114"/>
      <c r="ED7" s="114"/>
      <c r="EE7" s="114"/>
      <c r="EF7" s="114"/>
      <c r="EG7" s="114"/>
      <c r="EH7" s="114"/>
      <c r="EI7" s="114"/>
      <c r="EJ7" s="114"/>
      <c r="EK7" s="114"/>
      <c r="EL7" s="114"/>
      <c r="EM7" s="114"/>
      <c r="EN7" s="114"/>
      <c r="EO7" s="114"/>
      <c r="EP7" s="114"/>
      <c r="EQ7" s="114"/>
      <c r="ER7" s="114"/>
    </row>
    <row r="8" spans="1:148" ht="18" x14ac:dyDescent="0.25">
      <c r="A8" s="127"/>
      <c r="B8" s="133"/>
      <c r="C8" s="127"/>
      <c r="D8" s="135"/>
      <c r="E8" s="135"/>
      <c r="F8" s="135"/>
      <c r="G8" s="20" t="s">
        <v>56</v>
      </c>
      <c r="H8" s="21" t="s">
        <v>44</v>
      </c>
      <c r="I8" s="78" t="s">
        <v>269</v>
      </c>
      <c r="J8" s="78" t="s">
        <v>269</v>
      </c>
      <c r="K8" s="78" t="s">
        <v>269</v>
      </c>
      <c r="L8" s="78" t="s">
        <v>269</v>
      </c>
      <c r="M8" s="78" t="s">
        <v>269</v>
      </c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125">
        <f t="shared" ref="AC8:AV8" si="6">IF(AND(I8="",I9=""),"",COUNTIF(I8:I9,"v"))</f>
        <v>2</v>
      </c>
      <c r="AD8" s="125">
        <f t="shared" si="6"/>
        <v>2</v>
      </c>
      <c r="AE8" s="125">
        <f t="shared" si="6"/>
        <v>2</v>
      </c>
      <c r="AF8" s="125">
        <f t="shared" si="6"/>
        <v>2</v>
      </c>
      <c r="AG8" s="125">
        <f t="shared" si="6"/>
        <v>2</v>
      </c>
      <c r="AH8" s="125" t="str">
        <f t="shared" si="6"/>
        <v/>
      </c>
      <c r="AI8" s="125" t="str">
        <f t="shared" si="6"/>
        <v/>
      </c>
      <c r="AJ8" s="125" t="str">
        <f t="shared" si="6"/>
        <v/>
      </c>
      <c r="AK8" s="125" t="str">
        <f t="shared" si="6"/>
        <v/>
      </c>
      <c r="AL8" s="125" t="str">
        <f t="shared" si="6"/>
        <v/>
      </c>
      <c r="AM8" s="125" t="str">
        <f t="shared" si="6"/>
        <v/>
      </c>
      <c r="AN8" s="125" t="str">
        <f t="shared" si="6"/>
        <v/>
      </c>
      <c r="AO8" s="125" t="str">
        <f t="shared" si="6"/>
        <v/>
      </c>
      <c r="AP8" s="125" t="str">
        <f t="shared" si="6"/>
        <v/>
      </c>
      <c r="AQ8" s="125" t="str">
        <f t="shared" si="6"/>
        <v/>
      </c>
      <c r="AR8" s="125" t="str">
        <f t="shared" si="6"/>
        <v/>
      </c>
      <c r="AS8" s="125" t="str">
        <f t="shared" si="6"/>
        <v/>
      </c>
      <c r="AT8" s="125" t="str">
        <f t="shared" si="6"/>
        <v/>
      </c>
      <c r="AU8" s="125" t="str">
        <f t="shared" si="6"/>
        <v/>
      </c>
      <c r="AV8" s="125" t="str">
        <f t="shared" si="6"/>
        <v/>
      </c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3"/>
      <c r="BP8" s="123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38"/>
      <c r="CL8" s="164"/>
      <c r="CM8" s="164"/>
      <c r="CN8" s="164"/>
      <c r="CO8" s="164"/>
      <c r="CP8" s="164"/>
      <c r="CQ8" s="164"/>
      <c r="CR8" s="164"/>
      <c r="CS8" s="164"/>
      <c r="CT8" s="164"/>
      <c r="CU8" s="164"/>
      <c r="CV8" s="164"/>
      <c r="CW8" s="164"/>
      <c r="CX8" s="164"/>
      <c r="CY8" s="164"/>
      <c r="CZ8" s="164"/>
      <c r="DA8" s="164"/>
      <c r="DB8" s="164"/>
      <c r="DC8" s="164"/>
      <c r="DD8" s="164"/>
      <c r="DE8" s="117"/>
      <c r="DF8" s="117"/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4"/>
      <c r="DZ8" s="114"/>
      <c r="EA8" s="114"/>
      <c r="EB8" s="114"/>
      <c r="EC8" s="114"/>
      <c r="ED8" s="114"/>
      <c r="EE8" s="114"/>
      <c r="EF8" s="114"/>
      <c r="EG8" s="114"/>
      <c r="EH8" s="114"/>
      <c r="EI8" s="114"/>
      <c r="EJ8" s="114"/>
      <c r="EK8" s="114"/>
      <c r="EL8" s="114"/>
      <c r="EM8" s="114"/>
      <c r="EN8" s="114"/>
      <c r="EO8" s="114"/>
      <c r="EP8" s="114"/>
      <c r="EQ8" s="114"/>
      <c r="ER8" s="114"/>
    </row>
    <row r="9" spans="1:148" ht="31.5" x14ac:dyDescent="0.25">
      <c r="A9" s="127"/>
      <c r="B9" s="133"/>
      <c r="C9" s="127"/>
      <c r="D9" s="135"/>
      <c r="E9" s="135"/>
      <c r="F9" s="135"/>
      <c r="G9" s="20" t="s">
        <v>56</v>
      </c>
      <c r="H9" s="23" t="s">
        <v>45</v>
      </c>
      <c r="I9" s="78" t="s">
        <v>269</v>
      </c>
      <c r="J9" s="78" t="s">
        <v>269</v>
      </c>
      <c r="K9" s="78" t="s">
        <v>269</v>
      </c>
      <c r="L9" s="78" t="s">
        <v>269</v>
      </c>
      <c r="M9" s="78" t="s">
        <v>269</v>
      </c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3"/>
      <c r="AX9" s="123"/>
      <c r="AY9" s="123"/>
      <c r="AZ9" s="123"/>
      <c r="BA9" s="123"/>
      <c r="BB9" s="123"/>
      <c r="BC9" s="123"/>
      <c r="BD9" s="123"/>
      <c r="BE9" s="123"/>
      <c r="BF9" s="123"/>
      <c r="BG9" s="123"/>
      <c r="BH9" s="123"/>
      <c r="BI9" s="123"/>
      <c r="BJ9" s="123"/>
      <c r="BK9" s="123"/>
      <c r="BL9" s="123"/>
      <c r="BM9" s="123"/>
      <c r="BN9" s="123"/>
      <c r="BO9" s="123"/>
      <c r="BP9" s="123"/>
      <c r="BQ9" s="117"/>
      <c r="BR9" s="117"/>
      <c r="BS9" s="117"/>
      <c r="BT9" s="117"/>
      <c r="BU9" s="117"/>
      <c r="BV9" s="117"/>
      <c r="BW9" s="117"/>
      <c r="BX9" s="117"/>
      <c r="BY9" s="117"/>
      <c r="BZ9" s="117"/>
      <c r="CA9" s="117"/>
      <c r="CB9" s="117"/>
      <c r="CC9" s="117"/>
      <c r="CD9" s="117"/>
      <c r="CE9" s="117"/>
      <c r="CF9" s="117"/>
      <c r="CG9" s="117"/>
      <c r="CH9" s="117"/>
      <c r="CI9" s="117"/>
      <c r="CJ9" s="117"/>
      <c r="CK9" s="138"/>
      <c r="CL9" s="164"/>
      <c r="CM9" s="164"/>
      <c r="CN9" s="164"/>
      <c r="CO9" s="164"/>
      <c r="CP9" s="164"/>
      <c r="CQ9" s="164"/>
      <c r="CR9" s="164"/>
      <c r="CS9" s="164"/>
      <c r="CT9" s="164"/>
      <c r="CU9" s="164"/>
      <c r="CV9" s="164"/>
      <c r="CW9" s="164"/>
      <c r="CX9" s="164"/>
      <c r="CY9" s="164"/>
      <c r="CZ9" s="164"/>
      <c r="DA9" s="164"/>
      <c r="DB9" s="164"/>
      <c r="DC9" s="164"/>
      <c r="DD9" s="164"/>
      <c r="DE9" s="117"/>
      <c r="DF9" s="117"/>
      <c r="DG9" s="117"/>
      <c r="DH9" s="117"/>
      <c r="DI9" s="117"/>
      <c r="DJ9" s="117"/>
      <c r="DK9" s="117"/>
      <c r="DL9" s="117"/>
      <c r="DM9" s="117"/>
      <c r="DN9" s="117"/>
      <c r="DO9" s="117"/>
      <c r="DP9" s="117"/>
      <c r="DQ9" s="117"/>
      <c r="DR9" s="117"/>
      <c r="DS9" s="117"/>
      <c r="DT9" s="117"/>
      <c r="DU9" s="117"/>
      <c r="DV9" s="117"/>
      <c r="DW9" s="117"/>
      <c r="DX9" s="117"/>
      <c r="DY9" s="114"/>
      <c r="DZ9" s="114"/>
      <c r="EA9" s="114"/>
      <c r="EB9" s="114"/>
      <c r="EC9" s="114"/>
      <c r="ED9" s="114"/>
      <c r="EE9" s="114"/>
      <c r="EF9" s="114"/>
      <c r="EG9" s="114"/>
      <c r="EH9" s="114"/>
      <c r="EI9" s="114"/>
      <c r="EJ9" s="114"/>
      <c r="EK9" s="114"/>
      <c r="EL9" s="114"/>
      <c r="EM9" s="114"/>
      <c r="EN9" s="114"/>
      <c r="EO9" s="114"/>
      <c r="EP9" s="114"/>
      <c r="EQ9" s="114"/>
      <c r="ER9" s="114"/>
    </row>
    <row r="10" spans="1:148" ht="17.45" customHeight="1" x14ac:dyDescent="0.25">
      <c r="A10" s="127"/>
      <c r="B10" s="133"/>
      <c r="C10" s="127" t="s">
        <v>41</v>
      </c>
      <c r="D10" s="126" t="s">
        <v>98</v>
      </c>
      <c r="E10" s="126"/>
      <c r="F10" s="126"/>
      <c r="G10" s="20" t="s">
        <v>56</v>
      </c>
      <c r="H10" s="21" t="s">
        <v>46</v>
      </c>
      <c r="I10" s="78" t="s">
        <v>269</v>
      </c>
      <c r="J10" s="78" t="s">
        <v>269</v>
      </c>
      <c r="K10" s="78" t="s">
        <v>269</v>
      </c>
      <c r="L10" s="78" t="s">
        <v>269</v>
      </c>
      <c r="M10" s="78" t="s">
        <v>269</v>
      </c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125">
        <f t="shared" ref="AC10:AV10" si="7">IF(AND(I10="",I11="",I12="",I13="",I14=""),"",IF(COUNTIF(I10:I14,"v")&gt;=3,2,IF(AND(COUNTIF(I10:I14,"v")&gt;=1,COUNTIF(I10:I14,"v")&lt;=3),1,0)))</f>
        <v>2</v>
      </c>
      <c r="AD10" s="125">
        <f t="shared" si="7"/>
        <v>2</v>
      </c>
      <c r="AE10" s="125">
        <f t="shared" si="7"/>
        <v>2</v>
      </c>
      <c r="AF10" s="125">
        <f t="shared" si="7"/>
        <v>2</v>
      </c>
      <c r="AG10" s="125">
        <f t="shared" si="7"/>
        <v>2</v>
      </c>
      <c r="AH10" s="125" t="str">
        <f t="shared" si="7"/>
        <v/>
      </c>
      <c r="AI10" s="125" t="str">
        <f t="shared" si="7"/>
        <v/>
      </c>
      <c r="AJ10" s="125" t="str">
        <f t="shared" si="7"/>
        <v/>
      </c>
      <c r="AK10" s="125" t="str">
        <f t="shared" si="7"/>
        <v/>
      </c>
      <c r="AL10" s="125" t="str">
        <f t="shared" si="7"/>
        <v/>
      </c>
      <c r="AM10" s="125" t="str">
        <f t="shared" si="7"/>
        <v/>
      </c>
      <c r="AN10" s="125" t="str">
        <f t="shared" si="7"/>
        <v/>
      </c>
      <c r="AO10" s="125" t="str">
        <f t="shared" si="7"/>
        <v/>
      </c>
      <c r="AP10" s="125" t="str">
        <f t="shared" si="7"/>
        <v/>
      </c>
      <c r="AQ10" s="125" t="str">
        <f t="shared" si="7"/>
        <v/>
      </c>
      <c r="AR10" s="125" t="str">
        <f t="shared" si="7"/>
        <v/>
      </c>
      <c r="AS10" s="125" t="str">
        <f t="shared" si="7"/>
        <v/>
      </c>
      <c r="AT10" s="125" t="str">
        <f t="shared" si="7"/>
        <v/>
      </c>
      <c r="AU10" s="125" t="str">
        <f t="shared" si="7"/>
        <v/>
      </c>
      <c r="AV10" s="125" t="str">
        <f t="shared" si="7"/>
        <v/>
      </c>
      <c r="AW10" s="121" t="str">
        <f>IF(AC10="","",IF(AC10=0,"Ditolak",IF(AC10=1,"Diperbaiki","Digunakan")))</f>
        <v>Digunakan</v>
      </c>
      <c r="AX10" s="121" t="str">
        <f t="shared" ref="AX10:BP10" si="8">IF(AD10="","",IF(AD10=0,"Ditolak",IF(AND(AD10&gt;=1,AD10&lt;4),"Diperbaiki","Digunakan")))</f>
        <v>Diperbaiki</v>
      </c>
      <c r="AY10" s="121" t="str">
        <f t="shared" si="8"/>
        <v>Diperbaiki</v>
      </c>
      <c r="AZ10" s="121" t="str">
        <f t="shared" si="8"/>
        <v>Diperbaiki</v>
      </c>
      <c r="BA10" s="121" t="str">
        <f t="shared" si="8"/>
        <v>Diperbaiki</v>
      </c>
      <c r="BB10" s="121" t="str">
        <f t="shared" si="8"/>
        <v/>
      </c>
      <c r="BC10" s="121" t="str">
        <f t="shared" si="8"/>
        <v/>
      </c>
      <c r="BD10" s="121" t="str">
        <f t="shared" si="8"/>
        <v/>
      </c>
      <c r="BE10" s="121" t="str">
        <f t="shared" si="8"/>
        <v/>
      </c>
      <c r="BF10" s="121" t="str">
        <f t="shared" si="8"/>
        <v/>
      </c>
      <c r="BG10" s="121" t="str">
        <f t="shared" si="8"/>
        <v/>
      </c>
      <c r="BH10" s="121" t="str">
        <f t="shared" si="8"/>
        <v/>
      </c>
      <c r="BI10" s="121" t="str">
        <f t="shared" si="8"/>
        <v/>
      </c>
      <c r="BJ10" s="121" t="str">
        <f t="shared" si="8"/>
        <v/>
      </c>
      <c r="BK10" s="121" t="str">
        <f t="shared" si="8"/>
        <v/>
      </c>
      <c r="BL10" s="121" t="str">
        <f t="shared" si="8"/>
        <v/>
      </c>
      <c r="BM10" s="121" t="str">
        <f t="shared" si="8"/>
        <v/>
      </c>
      <c r="BN10" s="121" t="str">
        <f t="shared" si="8"/>
        <v/>
      </c>
      <c r="BO10" s="121" t="str">
        <f t="shared" si="8"/>
        <v/>
      </c>
      <c r="BP10" s="121" t="str">
        <f t="shared" si="8"/>
        <v/>
      </c>
      <c r="BQ10" s="117"/>
      <c r="BR10" s="117"/>
      <c r="BS10" s="117"/>
      <c r="BT10" s="117"/>
      <c r="BU10" s="117"/>
      <c r="BV10" s="117"/>
      <c r="BW10" s="117"/>
      <c r="BX10" s="117"/>
      <c r="BY10" s="117"/>
      <c r="BZ10" s="117"/>
      <c r="CA10" s="117"/>
      <c r="CB10" s="117"/>
      <c r="CC10" s="117"/>
      <c r="CD10" s="117"/>
      <c r="CE10" s="117"/>
      <c r="CF10" s="117"/>
      <c r="CG10" s="117"/>
      <c r="CH10" s="117"/>
      <c r="CI10" s="117"/>
      <c r="CJ10" s="117"/>
      <c r="CK10" s="138"/>
      <c r="CL10" s="164"/>
      <c r="CM10" s="164"/>
      <c r="CN10" s="164"/>
      <c r="CO10" s="164"/>
      <c r="CP10" s="164"/>
      <c r="CQ10" s="164"/>
      <c r="CR10" s="164"/>
      <c r="CS10" s="164"/>
      <c r="CT10" s="164"/>
      <c r="CU10" s="164"/>
      <c r="CV10" s="164"/>
      <c r="CW10" s="164"/>
      <c r="CX10" s="164"/>
      <c r="CY10" s="164"/>
      <c r="CZ10" s="164"/>
      <c r="DA10" s="164"/>
      <c r="DB10" s="164"/>
      <c r="DC10" s="164"/>
      <c r="DD10" s="164"/>
      <c r="DE10" s="117"/>
      <c r="DF10" s="117"/>
      <c r="DG10" s="117"/>
      <c r="DH10" s="117"/>
      <c r="DI10" s="117"/>
      <c r="DJ10" s="117"/>
      <c r="DK10" s="117"/>
      <c r="DL10" s="117"/>
      <c r="DM10" s="117"/>
      <c r="DN10" s="117"/>
      <c r="DO10" s="117"/>
      <c r="DP10" s="117"/>
      <c r="DQ10" s="117"/>
      <c r="DR10" s="117"/>
      <c r="DS10" s="117"/>
      <c r="DT10" s="117"/>
      <c r="DU10" s="117"/>
      <c r="DV10" s="117"/>
      <c r="DW10" s="117"/>
      <c r="DX10" s="117"/>
      <c r="DY10" s="114"/>
      <c r="DZ10" s="114"/>
      <c r="EA10" s="114"/>
      <c r="EB10" s="114"/>
      <c r="EC10" s="114"/>
      <c r="ED10" s="114"/>
      <c r="EE10" s="114"/>
      <c r="EF10" s="114"/>
      <c r="EG10" s="114"/>
      <c r="EH10" s="114"/>
      <c r="EI10" s="114"/>
      <c r="EJ10" s="114"/>
      <c r="EK10" s="114"/>
      <c r="EL10" s="114"/>
      <c r="EM10" s="114"/>
      <c r="EN10" s="114"/>
      <c r="EO10" s="114"/>
      <c r="EP10" s="114"/>
      <c r="EQ10" s="114"/>
      <c r="ER10" s="114"/>
    </row>
    <row r="11" spans="1:148" ht="18" x14ac:dyDescent="0.25">
      <c r="A11" s="127"/>
      <c r="B11" s="133"/>
      <c r="C11" s="127"/>
      <c r="D11" s="126"/>
      <c r="E11" s="126"/>
      <c r="F11" s="126"/>
      <c r="G11" s="20" t="s">
        <v>56</v>
      </c>
      <c r="H11" s="21" t="s">
        <v>47</v>
      </c>
      <c r="I11" s="78" t="s">
        <v>269</v>
      </c>
      <c r="J11" s="78" t="s">
        <v>269</v>
      </c>
      <c r="K11" s="78" t="s">
        <v>269</v>
      </c>
      <c r="L11" s="78" t="s">
        <v>269</v>
      </c>
      <c r="M11" s="78" t="s">
        <v>269</v>
      </c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17"/>
      <c r="BR11" s="117"/>
      <c r="BS11" s="117"/>
      <c r="BT11" s="117"/>
      <c r="BU11" s="117"/>
      <c r="BV11" s="117"/>
      <c r="BW11" s="117"/>
      <c r="BX11" s="117"/>
      <c r="BY11" s="117"/>
      <c r="BZ11" s="117"/>
      <c r="CA11" s="117"/>
      <c r="CB11" s="117"/>
      <c r="CC11" s="117"/>
      <c r="CD11" s="117"/>
      <c r="CE11" s="117"/>
      <c r="CF11" s="117"/>
      <c r="CG11" s="117"/>
      <c r="CH11" s="117"/>
      <c r="CI11" s="117"/>
      <c r="CJ11" s="117"/>
      <c r="CK11" s="138"/>
      <c r="CL11" s="164"/>
      <c r="CM11" s="164"/>
      <c r="CN11" s="164"/>
      <c r="CO11" s="164"/>
      <c r="CP11" s="164"/>
      <c r="CQ11" s="164"/>
      <c r="CR11" s="164"/>
      <c r="CS11" s="164"/>
      <c r="CT11" s="164"/>
      <c r="CU11" s="164"/>
      <c r="CV11" s="164"/>
      <c r="CW11" s="164"/>
      <c r="CX11" s="164"/>
      <c r="CY11" s="164"/>
      <c r="CZ11" s="164"/>
      <c r="DA11" s="164"/>
      <c r="DB11" s="164"/>
      <c r="DC11" s="164"/>
      <c r="DD11" s="164"/>
      <c r="DE11" s="117"/>
      <c r="DF11" s="117"/>
      <c r="DG11" s="117"/>
      <c r="DH11" s="117"/>
      <c r="DI11" s="117"/>
      <c r="DJ11" s="117"/>
      <c r="DK11" s="117"/>
      <c r="DL11" s="117"/>
      <c r="DM11" s="117"/>
      <c r="DN11" s="117"/>
      <c r="DO11" s="117"/>
      <c r="DP11" s="117"/>
      <c r="DQ11" s="117"/>
      <c r="DR11" s="117"/>
      <c r="DS11" s="117"/>
      <c r="DT11" s="117"/>
      <c r="DU11" s="117"/>
      <c r="DV11" s="117"/>
      <c r="DW11" s="117"/>
      <c r="DX11" s="117"/>
      <c r="DY11" s="114"/>
      <c r="DZ11" s="114"/>
      <c r="EA11" s="114"/>
      <c r="EB11" s="114"/>
      <c r="EC11" s="114"/>
      <c r="ED11" s="114"/>
      <c r="EE11" s="114"/>
      <c r="EF11" s="114"/>
      <c r="EG11" s="114"/>
      <c r="EH11" s="114"/>
      <c r="EI11" s="114"/>
      <c r="EJ11" s="114"/>
      <c r="EK11" s="114"/>
      <c r="EL11" s="114"/>
      <c r="EM11" s="114"/>
      <c r="EN11" s="114"/>
      <c r="EO11" s="114"/>
      <c r="EP11" s="114"/>
      <c r="EQ11" s="114"/>
      <c r="ER11" s="114"/>
    </row>
    <row r="12" spans="1:148" ht="18" x14ac:dyDescent="0.25">
      <c r="A12" s="127"/>
      <c r="B12" s="133"/>
      <c r="C12" s="127"/>
      <c r="D12" s="126"/>
      <c r="E12" s="126"/>
      <c r="F12" s="126"/>
      <c r="G12" s="20" t="s">
        <v>56</v>
      </c>
      <c r="H12" s="21" t="s">
        <v>48</v>
      </c>
      <c r="I12" s="78" t="s">
        <v>269</v>
      </c>
      <c r="J12" s="78" t="s">
        <v>269</v>
      </c>
      <c r="K12" s="78" t="s">
        <v>269</v>
      </c>
      <c r="L12" s="78" t="s">
        <v>269</v>
      </c>
      <c r="M12" s="78" t="s">
        <v>269</v>
      </c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17"/>
      <c r="BR12" s="117"/>
      <c r="BS12" s="117"/>
      <c r="BT12" s="117"/>
      <c r="BU12" s="117"/>
      <c r="BV12" s="117"/>
      <c r="BW12" s="117"/>
      <c r="BX12" s="117"/>
      <c r="BY12" s="117"/>
      <c r="BZ12" s="117"/>
      <c r="CA12" s="117"/>
      <c r="CB12" s="117"/>
      <c r="CC12" s="117"/>
      <c r="CD12" s="117"/>
      <c r="CE12" s="117"/>
      <c r="CF12" s="117"/>
      <c r="CG12" s="117"/>
      <c r="CH12" s="117"/>
      <c r="CI12" s="117"/>
      <c r="CJ12" s="117"/>
      <c r="CK12" s="138"/>
      <c r="CL12" s="164"/>
      <c r="CM12" s="164"/>
      <c r="CN12" s="164"/>
      <c r="CO12" s="164"/>
      <c r="CP12" s="164"/>
      <c r="CQ12" s="164"/>
      <c r="CR12" s="164"/>
      <c r="CS12" s="164"/>
      <c r="CT12" s="164"/>
      <c r="CU12" s="164"/>
      <c r="CV12" s="164"/>
      <c r="CW12" s="164"/>
      <c r="CX12" s="164"/>
      <c r="CY12" s="164"/>
      <c r="CZ12" s="164"/>
      <c r="DA12" s="164"/>
      <c r="DB12" s="164"/>
      <c r="DC12" s="164"/>
      <c r="DD12" s="164"/>
      <c r="DE12" s="117"/>
      <c r="DF12" s="117"/>
      <c r="DG12" s="117"/>
      <c r="DH12" s="117"/>
      <c r="DI12" s="117"/>
      <c r="DJ12" s="117"/>
      <c r="DK12" s="117"/>
      <c r="DL12" s="117"/>
      <c r="DM12" s="117"/>
      <c r="DN12" s="117"/>
      <c r="DO12" s="117"/>
      <c r="DP12" s="117"/>
      <c r="DQ12" s="117"/>
      <c r="DR12" s="117"/>
      <c r="DS12" s="117"/>
      <c r="DT12" s="117"/>
      <c r="DU12" s="117"/>
      <c r="DV12" s="117"/>
      <c r="DW12" s="117"/>
      <c r="DX12" s="117"/>
      <c r="DY12" s="114"/>
      <c r="DZ12" s="114"/>
      <c r="EA12" s="114"/>
      <c r="EB12" s="114"/>
      <c r="EC12" s="114"/>
      <c r="ED12" s="114"/>
      <c r="EE12" s="114"/>
      <c r="EF12" s="114"/>
      <c r="EG12" s="114"/>
      <c r="EH12" s="114"/>
      <c r="EI12" s="114"/>
      <c r="EJ12" s="114"/>
      <c r="EK12" s="114"/>
      <c r="EL12" s="114"/>
      <c r="EM12" s="114"/>
      <c r="EN12" s="114"/>
      <c r="EO12" s="114"/>
      <c r="EP12" s="114"/>
      <c r="EQ12" s="114"/>
      <c r="ER12" s="114"/>
    </row>
    <row r="13" spans="1:148" ht="18" x14ac:dyDescent="0.25">
      <c r="A13" s="127"/>
      <c r="B13" s="133"/>
      <c r="C13" s="127"/>
      <c r="D13" s="126"/>
      <c r="E13" s="126"/>
      <c r="F13" s="126"/>
      <c r="G13" s="20" t="s">
        <v>56</v>
      </c>
      <c r="H13" s="21" t="s">
        <v>49</v>
      </c>
      <c r="I13" s="78" t="s">
        <v>269</v>
      </c>
      <c r="J13" s="78" t="s">
        <v>269</v>
      </c>
      <c r="K13" s="78" t="s">
        <v>269</v>
      </c>
      <c r="L13" s="78" t="s">
        <v>269</v>
      </c>
      <c r="M13" s="78" t="s">
        <v>269</v>
      </c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38"/>
      <c r="CL13" s="164"/>
      <c r="CM13" s="164"/>
      <c r="CN13" s="164"/>
      <c r="CO13" s="164"/>
      <c r="CP13" s="164"/>
      <c r="CQ13" s="164"/>
      <c r="CR13" s="164"/>
      <c r="CS13" s="164"/>
      <c r="CT13" s="164"/>
      <c r="CU13" s="164"/>
      <c r="CV13" s="164"/>
      <c r="CW13" s="164"/>
      <c r="CX13" s="164"/>
      <c r="CY13" s="164"/>
      <c r="CZ13" s="164"/>
      <c r="DA13" s="164"/>
      <c r="DB13" s="164"/>
      <c r="DC13" s="164"/>
      <c r="DD13" s="164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17"/>
      <c r="DX13" s="117"/>
      <c r="DY13" s="114"/>
      <c r="DZ13" s="114"/>
      <c r="EA13" s="114"/>
      <c r="EB13" s="114"/>
      <c r="EC13" s="114"/>
      <c r="ED13" s="114"/>
      <c r="EE13" s="114"/>
      <c r="EF13" s="114"/>
      <c r="EG13" s="114"/>
      <c r="EH13" s="114"/>
      <c r="EI13" s="114"/>
      <c r="EJ13" s="114"/>
      <c r="EK13" s="114"/>
      <c r="EL13" s="114"/>
      <c r="EM13" s="114"/>
      <c r="EN13" s="114"/>
      <c r="EO13" s="114"/>
      <c r="EP13" s="114"/>
      <c r="EQ13" s="114"/>
      <c r="ER13" s="114"/>
    </row>
    <row r="14" spans="1:148" ht="31.5" x14ac:dyDescent="0.25">
      <c r="A14" s="127"/>
      <c r="B14" s="133"/>
      <c r="C14" s="127"/>
      <c r="D14" s="126"/>
      <c r="E14" s="126"/>
      <c r="F14" s="126"/>
      <c r="G14" s="20" t="s">
        <v>56</v>
      </c>
      <c r="H14" s="68" t="s">
        <v>50</v>
      </c>
      <c r="I14" s="78" t="s">
        <v>269</v>
      </c>
      <c r="J14" s="78" t="s">
        <v>269</v>
      </c>
      <c r="K14" s="78" t="s">
        <v>269</v>
      </c>
      <c r="L14" s="78" t="s">
        <v>269</v>
      </c>
      <c r="M14" s="78" t="s">
        <v>269</v>
      </c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17"/>
      <c r="BR14" s="117"/>
      <c r="BS14" s="117"/>
      <c r="BT14" s="117"/>
      <c r="BU14" s="117"/>
      <c r="BV14" s="117"/>
      <c r="BW14" s="117"/>
      <c r="BX14" s="117"/>
      <c r="BY14" s="117"/>
      <c r="BZ14" s="117"/>
      <c r="CA14" s="117"/>
      <c r="CB14" s="117"/>
      <c r="CC14" s="117"/>
      <c r="CD14" s="117"/>
      <c r="CE14" s="117"/>
      <c r="CF14" s="117"/>
      <c r="CG14" s="117"/>
      <c r="CH14" s="117"/>
      <c r="CI14" s="117"/>
      <c r="CJ14" s="117"/>
      <c r="CK14" s="139"/>
      <c r="CL14" s="164"/>
      <c r="CM14" s="164"/>
      <c r="CN14" s="164"/>
      <c r="CO14" s="164"/>
      <c r="CP14" s="164"/>
      <c r="CQ14" s="164"/>
      <c r="CR14" s="164"/>
      <c r="CS14" s="164"/>
      <c r="CT14" s="164"/>
      <c r="CU14" s="164"/>
      <c r="CV14" s="164"/>
      <c r="CW14" s="164"/>
      <c r="CX14" s="164"/>
      <c r="CY14" s="164"/>
      <c r="CZ14" s="164"/>
      <c r="DA14" s="164"/>
      <c r="DB14" s="164"/>
      <c r="DC14" s="164"/>
      <c r="DD14" s="164"/>
      <c r="DE14" s="117"/>
      <c r="DF14" s="117"/>
      <c r="DG14" s="117"/>
      <c r="DH14" s="117"/>
      <c r="DI14" s="117"/>
      <c r="DJ14" s="117"/>
      <c r="DK14" s="117"/>
      <c r="DL14" s="117"/>
      <c r="DM14" s="117"/>
      <c r="DN14" s="117"/>
      <c r="DO14" s="117"/>
      <c r="DP14" s="117"/>
      <c r="DQ14" s="117"/>
      <c r="DR14" s="117"/>
      <c r="DS14" s="117"/>
      <c r="DT14" s="117"/>
      <c r="DU14" s="117"/>
      <c r="DV14" s="117"/>
      <c r="DW14" s="117"/>
      <c r="DX14" s="117"/>
      <c r="DY14" s="114"/>
      <c r="DZ14" s="114"/>
      <c r="EA14" s="114"/>
      <c r="EB14" s="114"/>
      <c r="EC14" s="114"/>
      <c r="ED14" s="114"/>
      <c r="EE14" s="114"/>
      <c r="EF14" s="114"/>
      <c r="EG14" s="114"/>
      <c r="EH14" s="114"/>
      <c r="EI14" s="114"/>
      <c r="EJ14" s="114"/>
      <c r="EK14" s="114"/>
      <c r="EL14" s="114"/>
      <c r="EM14" s="114"/>
      <c r="EN14" s="114"/>
      <c r="EO14" s="114"/>
      <c r="EP14" s="114"/>
      <c r="EQ14" s="114"/>
      <c r="ER14" s="114"/>
    </row>
    <row r="15" spans="1:148" ht="31.15" customHeight="1" x14ac:dyDescent="0.25">
      <c r="A15" s="146" t="s">
        <v>38</v>
      </c>
      <c r="B15" s="149" t="s">
        <v>36</v>
      </c>
      <c r="C15" s="157" t="s">
        <v>0</v>
      </c>
      <c r="D15" s="154" t="s">
        <v>1</v>
      </c>
      <c r="E15" s="127">
        <v>1</v>
      </c>
      <c r="F15" s="126" t="s">
        <v>73</v>
      </c>
      <c r="G15" s="20" t="s">
        <v>56</v>
      </c>
      <c r="H15" s="23" t="s">
        <v>68</v>
      </c>
      <c r="I15" s="78" t="s">
        <v>269</v>
      </c>
      <c r="J15" s="78" t="s">
        <v>269</v>
      </c>
      <c r="K15" s="78" t="s">
        <v>269</v>
      </c>
      <c r="L15" s="78" t="s">
        <v>269</v>
      </c>
      <c r="M15" s="78" t="s">
        <v>269</v>
      </c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122">
        <f t="shared" ref="AC15:AV15" si="9">IF(AND(I15="",I16=""),"",COUNTIF(I15:I16,"v"))</f>
        <v>2</v>
      </c>
      <c r="AD15" s="122">
        <f t="shared" si="9"/>
        <v>2</v>
      </c>
      <c r="AE15" s="122">
        <f t="shared" si="9"/>
        <v>2</v>
      </c>
      <c r="AF15" s="122">
        <f t="shared" si="9"/>
        <v>2</v>
      </c>
      <c r="AG15" s="122">
        <f t="shared" si="9"/>
        <v>2</v>
      </c>
      <c r="AH15" s="122" t="str">
        <f t="shared" si="9"/>
        <v/>
      </c>
      <c r="AI15" s="122" t="str">
        <f t="shared" si="9"/>
        <v/>
      </c>
      <c r="AJ15" s="122" t="str">
        <f t="shared" si="9"/>
        <v/>
      </c>
      <c r="AK15" s="122" t="str">
        <f t="shared" si="9"/>
        <v/>
      </c>
      <c r="AL15" s="122" t="str">
        <f t="shared" si="9"/>
        <v/>
      </c>
      <c r="AM15" s="122" t="str">
        <f t="shared" si="9"/>
        <v/>
      </c>
      <c r="AN15" s="122" t="str">
        <f t="shared" si="9"/>
        <v/>
      </c>
      <c r="AO15" s="122" t="str">
        <f t="shared" si="9"/>
        <v/>
      </c>
      <c r="AP15" s="122" t="str">
        <f t="shared" si="9"/>
        <v/>
      </c>
      <c r="AQ15" s="122" t="str">
        <f t="shared" si="9"/>
        <v/>
      </c>
      <c r="AR15" s="122" t="str">
        <f t="shared" si="9"/>
        <v/>
      </c>
      <c r="AS15" s="122" t="str">
        <f t="shared" si="9"/>
        <v/>
      </c>
      <c r="AT15" s="122" t="str">
        <f t="shared" si="9"/>
        <v/>
      </c>
      <c r="AU15" s="122" t="str">
        <f t="shared" si="9"/>
        <v/>
      </c>
      <c r="AV15" s="122" t="str">
        <f t="shared" si="9"/>
        <v/>
      </c>
      <c r="AW15" s="121" t="str">
        <f>IF(AC15="","",IF(AC15=0,"Ditolak",IF(AC15=1,"Diperbaiki","Digunakan")))</f>
        <v>Digunakan</v>
      </c>
      <c r="AX15" s="121" t="str">
        <f t="shared" ref="AX15:BP15" si="10">IF(AD15="","",IF(AD15=0,"Ditolak",IF(AND(AD15&gt;=1,AD15&lt;2),"Diperbaiki","Digunakan")))</f>
        <v>Digunakan</v>
      </c>
      <c r="AY15" s="121" t="str">
        <f t="shared" si="10"/>
        <v>Digunakan</v>
      </c>
      <c r="AZ15" s="121" t="str">
        <f t="shared" si="10"/>
        <v>Digunakan</v>
      </c>
      <c r="BA15" s="121" t="str">
        <f t="shared" si="10"/>
        <v>Digunakan</v>
      </c>
      <c r="BB15" s="121" t="str">
        <f t="shared" si="10"/>
        <v/>
      </c>
      <c r="BC15" s="121" t="str">
        <f t="shared" si="10"/>
        <v/>
      </c>
      <c r="BD15" s="121" t="str">
        <f t="shared" si="10"/>
        <v/>
      </c>
      <c r="BE15" s="121" t="str">
        <f t="shared" si="10"/>
        <v/>
      </c>
      <c r="BF15" s="121" t="str">
        <f t="shared" si="10"/>
        <v/>
      </c>
      <c r="BG15" s="121" t="str">
        <f t="shared" si="10"/>
        <v/>
      </c>
      <c r="BH15" s="121" t="str">
        <f t="shared" si="10"/>
        <v/>
      </c>
      <c r="BI15" s="121" t="str">
        <f t="shared" si="10"/>
        <v/>
      </c>
      <c r="BJ15" s="121" t="str">
        <f t="shared" si="10"/>
        <v/>
      </c>
      <c r="BK15" s="121" t="str">
        <f t="shared" si="10"/>
        <v/>
      </c>
      <c r="BL15" s="121" t="str">
        <f t="shared" si="10"/>
        <v/>
      </c>
      <c r="BM15" s="121" t="str">
        <f t="shared" si="10"/>
        <v/>
      </c>
      <c r="BN15" s="121" t="str">
        <f t="shared" si="10"/>
        <v/>
      </c>
      <c r="BO15" s="121" t="str">
        <f t="shared" si="10"/>
        <v/>
      </c>
      <c r="BP15" s="121" t="str">
        <f t="shared" si="10"/>
        <v/>
      </c>
      <c r="BQ15" s="143" t="str">
        <f t="shared" ref="BQ15:CJ15" si="11">IF(COUNTIF(AW15:AW22,"Diperbaiki")&gt;=1,"materi","")</f>
        <v/>
      </c>
      <c r="BR15" s="143" t="str">
        <f t="shared" si="11"/>
        <v/>
      </c>
      <c r="BS15" s="143" t="str">
        <f t="shared" si="11"/>
        <v/>
      </c>
      <c r="BT15" s="143" t="str">
        <f t="shared" si="11"/>
        <v/>
      </c>
      <c r="BU15" s="143" t="str">
        <f t="shared" si="11"/>
        <v/>
      </c>
      <c r="BV15" s="143" t="str">
        <f t="shared" si="11"/>
        <v/>
      </c>
      <c r="BW15" s="143" t="str">
        <f t="shared" si="11"/>
        <v/>
      </c>
      <c r="BX15" s="143" t="str">
        <f t="shared" si="11"/>
        <v/>
      </c>
      <c r="BY15" s="143" t="str">
        <f t="shared" si="11"/>
        <v/>
      </c>
      <c r="BZ15" s="143" t="str">
        <f t="shared" si="11"/>
        <v/>
      </c>
      <c r="CA15" s="143" t="str">
        <f t="shared" si="11"/>
        <v/>
      </c>
      <c r="CB15" s="143" t="str">
        <f t="shared" si="11"/>
        <v/>
      </c>
      <c r="CC15" s="143" t="str">
        <f t="shared" si="11"/>
        <v/>
      </c>
      <c r="CD15" s="143" t="str">
        <f t="shared" si="11"/>
        <v/>
      </c>
      <c r="CE15" s="143" t="str">
        <f t="shared" si="11"/>
        <v/>
      </c>
      <c r="CF15" s="143" t="str">
        <f t="shared" si="11"/>
        <v/>
      </c>
      <c r="CG15" s="143" t="str">
        <f t="shared" si="11"/>
        <v/>
      </c>
      <c r="CH15" s="143" t="str">
        <f t="shared" si="11"/>
        <v/>
      </c>
      <c r="CI15" s="143" t="str">
        <f t="shared" si="11"/>
        <v/>
      </c>
      <c r="CJ15" s="143" t="str">
        <f t="shared" si="11"/>
        <v/>
      </c>
      <c r="CK15" s="137" t="str">
        <f t="shared" ref="CK15:DD15" si="12">IF(BQ15="","",",")</f>
        <v/>
      </c>
      <c r="CL15" s="137" t="str">
        <f t="shared" si="12"/>
        <v/>
      </c>
      <c r="CM15" s="137" t="str">
        <f t="shared" si="12"/>
        <v/>
      </c>
      <c r="CN15" s="137" t="str">
        <f t="shared" si="12"/>
        <v/>
      </c>
      <c r="CO15" s="137" t="str">
        <f t="shared" si="12"/>
        <v/>
      </c>
      <c r="CP15" s="137" t="str">
        <f t="shared" si="12"/>
        <v/>
      </c>
      <c r="CQ15" s="137" t="str">
        <f t="shared" si="12"/>
        <v/>
      </c>
      <c r="CR15" s="137" t="str">
        <f t="shared" si="12"/>
        <v/>
      </c>
      <c r="CS15" s="137" t="str">
        <f t="shared" si="12"/>
        <v/>
      </c>
      <c r="CT15" s="137" t="str">
        <f t="shared" si="12"/>
        <v/>
      </c>
      <c r="CU15" s="137" t="str">
        <f t="shared" si="12"/>
        <v/>
      </c>
      <c r="CV15" s="137" t="str">
        <f t="shared" si="12"/>
        <v/>
      </c>
      <c r="CW15" s="137" t="str">
        <f t="shared" si="12"/>
        <v/>
      </c>
      <c r="CX15" s="137" t="str">
        <f t="shared" si="12"/>
        <v/>
      </c>
      <c r="CY15" s="137" t="str">
        <f t="shared" si="12"/>
        <v/>
      </c>
      <c r="CZ15" s="137" t="str">
        <f t="shared" si="12"/>
        <v/>
      </c>
      <c r="DA15" s="137" t="str">
        <f t="shared" si="12"/>
        <v/>
      </c>
      <c r="DB15" s="137" t="str">
        <f t="shared" si="12"/>
        <v/>
      </c>
      <c r="DC15" s="137" t="str">
        <f t="shared" si="12"/>
        <v/>
      </c>
      <c r="DD15" s="137" t="str">
        <f t="shared" si="12"/>
        <v/>
      </c>
      <c r="DE15" s="117"/>
      <c r="DF15" s="117"/>
      <c r="DG15" s="117"/>
      <c r="DH15" s="117"/>
      <c r="DI15" s="117"/>
      <c r="DJ15" s="117"/>
      <c r="DK15" s="117"/>
      <c r="DL15" s="117"/>
      <c r="DM15" s="117"/>
      <c r="DN15" s="117"/>
      <c r="DO15" s="117"/>
      <c r="DP15" s="117"/>
      <c r="DQ15" s="117"/>
      <c r="DR15" s="117"/>
      <c r="DS15" s="117"/>
      <c r="DT15" s="117"/>
      <c r="DU15" s="117"/>
      <c r="DV15" s="117"/>
      <c r="DW15" s="117"/>
      <c r="DX15" s="117"/>
      <c r="DY15" s="114"/>
      <c r="DZ15" s="114"/>
      <c r="EA15" s="114"/>
      <c r="EB15" s="114"/>
      <c r="EC15" s="114"/>
      <c r="ED15" s="114"/>
      <c r="EE15" s="114"/>
      <c r="EF15" s="114"/>
      <c r="EG15" s="114"/>
      <c r="EH15" s="114"/>
      <c r="EI15" s="114"/>
      <c r="EJ15" s="114"/>
      <c r="EK15" s="114"/>
      <c r="EL15" s="114"/>
      <c r="EM15" s="114"/>
      <c r="EN15" s="114"/>
      <c r="EO15" s="114"/>
      <c r="EP15" s="114"/>
      <c r="EQ15" s="114"/>
      <c r="ER15" s="114"/>
    </row>
    <row r="16" spans="1:148" ht="31.5" x14ac:dyDescent="0.25">
      <c r="A16" s="147"/>
      <c r="B16" s="150"/>
      <c r="C16" s="158"/>
      <c r="D16" s="155"/>
      <c r="E16" s="127"/>
      <c r="F16" s="126"/>
      <c r="G16" s="20" t="s">
        <v>56</v>
      </c>
      <c r="H16" s="23" t="s">
        <v>3</v>
      </c>
      <c r="I16" s="78" t="s">
        <v>269</v>
      </c>
      <c r="J16" s="78" t="s">
        <v>269</v>
      </c>
      <c r="K16" s="78" t="s">
        <v>269</v>
      </c>
      <c r="L16" s="78" t="s">
        <v>269</v>
      </c>
      <c r="M16" s="78" t="s">
        <v>269</v>
      </c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44"/>
      <c r="BR16" s="144"/>
      <c r="BS16" s="144"/>
      <c r="BT16" s="144"/>
      <c r="BU16" s="144"/>
      <c r="BV16" s="144"/>
      <c r="BW16" s="144"/>
      <c r="BX16" s="144"/>
      <c r="BY16" s="144"/>
      <c r="BZ16" s="144"/>
      <c r="CA16" s="144"/>
      <c r="CB16" s="144"/>
      <c r="CC16" s="144"/>
      <c r="CD16" s="144"/>
      <c r="CE16" s="144"/>
      <c r="CF16" s="144"/>
      <c r="CG16" s="144"/>
      <c r="CH16" s="144"/>
      <c r="CI16" s="144"/>
      <c r="CJ16" s="144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17"/>
      <c r="DF16" s="117"/>
      <c r="DG16" s="117"/>
      <c r="DH16" s="117"/>
      <c r="DI16" s="117"/>
      <c r="DJ16" s="117"/>
      <c r="DK16" s="117"/>
      <c r="DL16" s="117"/>
      <c r="DM16" s="117"/>
      <c r="DN16" s="117"/>
      <c r="DO16" s="117"/>
      <c r="DP16" s="117"/>
      <c r="DQ16" s="117"/>
      <c r="DR16" s="117"/>
      <c r="DS16" s="117"/>
      <c r="DT16" s="117"/>
      <c r="DU16" s="117"/>
      <c r="DV16" s="117"/>
      <c r="DW16" s="117"/>
      <c r="DX16" s="117"/>
      <c r="DY16" s="114"/>
      <c r="DZ16" s="114"/>
      <c r="EA16" s="114"/>
      <c r="EB16" s="114"/>
      <c r="EC16" s="114"/>
      <c r="ED16" s="114"/>
      <c r="EE16" s="114"/>
      <c r="EF16" s="114"/>
      <c r="EG16" s="114"/>
      <c r="EH16" s="114"/>
      <c r="EI16" s="114"/>
      <c r="EJ16" s="114"/>
      <c r="EK16" s="114"/>
      <c r="EL16" s="114"/>
      <c r="EM16" s="114"/>
      <c r="EN16" s="114"/>
      <c r="EO16" s="114"/>
      <c r="EP16" s="114"/>
      <c r="EQ16" s="114"/>
      <c r="ER16" s="114"/>
    </row>
    <row r="17" spans="1:148" ht="17.45" customHeight="1" x14ac:dyDescent="0.25">
      <c r="A17" s="147"/>
      <c r="B17" s="150"/>
      <c r="C17" s="158"/>
      <c r="D17" s="155"/>
      <c r="E17" s="127">
        <v>2</v>
      </c>
      <c r="F17" s="152" t="s">
        <v>218</v>
      </c>
      <c r="G17" s="20" t="s">
        <v>56</v>
      </c>
      <c r="H17" s="21" t="s">
        <v>216</v>
      </c>
      <c r="I17" s="78" t="s">
        <v>269</v>
      </c>
      <c r="J17" s="78" t="s">
        <v>269</v>
      </c>
      <c r="K17" s="78" t="s">
        <v>269</v>
      </c>
      <c r="L17" s="78" t="s">
        <v>269</v>
      </c>
      <c r="M17" s="78" t="s">
        <v>269</v>
      </c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122">
        <f t="shared" ref="AC17:AV17" si="13">IF(AND(I17="",I18=""),"",COUNTIF(I17:I18,"v"))</f>
        <v>2</v>
      </c>
      <c r="AD17" s="122">
        <f t="shared" si="13"/>
        <v>2</v>
      </c>
      <c r="AE17" s="122">
        <f t="shared" si="13"/>
        <v>2</v>
      </c>
      <c r="AF17" s="122">
        <f t="shared" si="13"/>
        <v>2</v>
      </c>
      <c r="AG17" s="122">
        <f t="shared" si="13"/>
        <v>2</v>
      </c>
      <c r="AH17" s="122" t="str">
        <f t="shared" si="13"/>
        <v/>
      </c>
      <c r="AI17" s="122" t="str">
        <f t="shared" si="13"/>
        <v/>
      </c>
      <c r="AJ17" s="122" t="str">
        <f t="shared" si="13"/>
        <v/>
      </c>
      <c r="AK17" s="122" t="str">
        <f t="shared" si="13"/>
        <v/>
      </c>
      <c r="AL17" s="122" t="str">
        <f t="shared" si="13"/>
        <v/>
      </c>
      <c r="AM17" s="122" t="str">
        <f t="shared" si="13"/>
        <v/>
      </c>
      <c r="AN17" s="122" t="str">
        <f t="shared" si="13"/>
        <v/>
      </c>
      <c r="AO17" s="122" t="str">
        <f t="shared" si="13"/>
        <v/>
      </c>
      <c r="AP17" s="122" t="str">
        <f t="shared" si="13"/>
        <v/>
      </c>
      <c r="AQ17" s="122" t="str">
        <f t="shared" si="13"/>
        <v/>
      </c>
      <c r="AR17" s="122" t="str">
        <f t="shared" si="13"/>
        <v/>
      </c>
      <c r="AS17" s="122" t="str">
        <f t="shared" si="13"/>
        <v/>
      </c>
      <c r="AT17" s="122" t="str">
        <f t="shared" si="13"/>
        <v/>
      </c>
      <c r="AU17" s="122" t="str">
        <f t="shared" si="13"/>
        <v/>
      </c>
      <c r="AV17" s="122" t="str">
        <f t="shared" si="13"/>
        <v/>
      </c>
      <c r="AW17" s="121" t="str">
        <f>IF(AC17="","",IF(AC17=0,"Ditolak",IF(AC17=1,"Diperbaiki","Digunakan")))</f>
        <v>Digunakan</v>
      </c>
      <c r="AX17" s="121" t="str">
        <f t="shared" ref="AX17:BP17" si="14">IF(AD17="","",IF(AD17=0,"Ditolak",IF(AND(AD17&gt;=1,AD17&lt;2),"Diperbaiki","Digunakan")))</f>
        <v>Digunakan</v>
      </c>
      <c r="AY17" s="121" t="str">
        <f t="shared" si="14"/>
        <v>Digunakan</v>
      </c>
      <c r="AZ17" s="121" t="str">
        <f t="shared" si="14"/>
        <v>Digunakan</v>
      </c>
      <c r="BA17" s="121" t="str">
        <f t="shared" si="14"/>
        <v>Digunakan</v>
      </c>
      <c r="BB17" s="121" t="str">
        <f t="shared" si="14"/>
        <v/>
      </c>
      <c r="BC17" s="121" t="str">
        <f t="shared" si="14"/>
        <v/>
      </c>
      <c r="BD17" s="121" t="str">
        <f t="shared" si="14"/>
        <v/>
      </c>
      <c r="BE17" s="121" t="str">
        <f t="shared" si="14"/>
        <v/>
      </c>
      <c r="BF17" s="121" t="str">
        <f t="shared" si="14"/>
        <v/>
      </c>
      <c r="BG17" s="121" t="str">
        <f t="shared" si="14"/>
        <v/>
      </c>
      <c r="BH17" s="121" t="str">
        <f t="shared" si="14"/>
        <v/>
      </c>
      <c r="BI17" s="121" t="str">
        <f t="shared" si="14"/>
        <v/>
      </c>
      <c r="BJ17" s="121" t="str">
        <f t="shared" si="14"/>
        <v/>
      </c>
      <c r="BK17" s="121" t="str">
        <f t="shared" si="14"/>
        <v/>
      </c>
      <c r="BL17" s="121" t="str">
        <f t="shared" si="14"/>
        <v/>
      </c>
      <c r="BM17" s="121" t="str">
        <f t="shared" si="14"/>
        <v/>
      </c>
      <c r="BN17" s="121" t="str">
        <f t="shared" si="14"/>
        <v/>
      </c>
      <c r="BO17" s="121" t="str">
        <f t="shared" si="14"/>
        <v/>
      </c>
      <c r="BP17" s="121" t="str">
        <f t="shared" si="14"/>
        <v/>
      </c>
      <c r="BQ17" s="144"/>
      <c r="BR17" s="144"/>
      <c r="BS17" s="144"/>
      <c r="BT17" s="144"/>
      <c r="BU17" s="144"/>
      <c r="BV17" s="144"/>
      <c r="BW17" s="144"/>
      <c r="BX17" s="144"/>
      <c r="BY17" s="144"/>
      <c r="BZ17" s="144"/>
      <c r="CA17" s="144"/>
      <c r="CB17" s="144"/>
      <c r="CC17" s="144"/>
      <c r="CD17" s="144"/>
      <c r="CE17" s="144"/>
      <c r="CF17" s="144"/>
      <c r="CG17" s="144"/>
      <c r="CH17" s="144"/>
      <c r="CI17" s="144"/>
      <c r="CJ17" s="144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17"/>
      <c r="DF17" s="117"/>
      <c r="DG17" s="117"/>
      <c r="DH17" s="117"/>
      <c r="DI17" s="117"/>
      <c r="DJ17" s="117"/>
      <c r="DK17" s="117"/>
      <c r="DL17" s="117"/>
      <c r="DM17" s="117"/>
      <c r="DN17" s="117"/>
      <c r="DO17" s="117"/>
      <c r="DP17" s="117"/>
      <c r="DQ17" s="117"/>
      <c r="DR17" s="117"/>
      <c r="DS17" s="117"/>
      <c r="DT17" s="117"/>
      <c r="DU17" s="117"/>
      <c r="DV17" s="117"/>
      <c r="DW17" s="117"/>
      <c r="DX17" s="117"/>
      <c r="DY17" s="114"/>
      <c r="DZ17" s="114"/>
      <c r="EA17" s="114"/>
      <c r="EB17" s="114"/>
      <c r="EC17" s="114"/>
      <c r="ED17" s="114"/>
      <c r="EE17" s="114"/>
      <c r="EF17" s="114"/>
      <c r="EG17" s="114"/>
      <c r="EH17" s="114"/>
      <c r="EI17" s="114"/>
      <c r="EJ17" s="114"/>
      <c r="EK17" s="114"/>
      <c r="EL17" s="114"/>
      <c r="EM17" s="114"/>
      <c r="EN17" s="114"/>
      <c r="EO17" s="114"/>
      <c r="EP17" s="114"/>
      <c r="EQ17" s="114"/>
      <c r="ER17" s="114"/>
    </row>
    <row r="18" spans="1:148" ht="31.9" customHeight="1" x14ac:dyDescent="0.25">
      <c r="A18" s="147"/>
      <c r="B18" s="150"/>
      <c r="C18" s="158"/>
      <c r="D18" s="155"/>
      <c r="E18" s="127"/>
      <c r="F18" s="153"/>
      <c r="G18" s="20" t="s">
        <v>56</v>
      </c>
      <c r="H18" s="21" t="s">
        <v>217</v>
      </c>
      <c r="I18" s="78" t="s">
        <v>269</v>
      </c>
      <c r="J18" s="78" t="s">
        <v>269</v>
      </c>
      <c r="K18" s="78" t="s">
        <v>269</v>
      </c>
      <c r="L18" s="78" t="s">
        <v>269</v>
      </c>
      <c r="M18" s="78" t="s">
        <v>269</v>
      </c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44"/>
      <c r="CE18" s="144"/>
      <c r="CF18" s="144"/>
      <c r="CG18" s="144"/>
      <c r="CH18" s="144"/>
      <c r="CI18" s="144"/>
      <c r="CJ18" s="144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17"/>
      <c r="DF18" s="117"/>
      <c r="DG18" s="117"/>
      <c r="DH18" s="117"/>
      <c r="DI18" s="117"/>
      <c r="DJ18" s="117"/>
      <c r="DK18" s="117"/>
      <c r="DL18" s="117"/>
      <c r="DM18" s="117"/>
      <c r="DN18" s="117"/>
      <c r="DO18" s="117"/>
      <c r="DP18" s="117"/>
      <c r="DQ18" s="117"/>
      <c r="DR18" s="117"/>
      <c r="DS18" s="117"/>
      <c r="DT18" s="117"/>
      <c r="DU18" s="117"/>
      <c r="DV18" s="117"/>
      <c r="DW18" s="117"/>
      <c r="DX18" s="117"/>
      <c r="DY18" s="114"/>
      <c r="DZ18" s="114"/>
      <c r="EA18" s="114"/>
      <c r="EB18" s="114"/>
      <c r="EC18" s="114"/>
      <c r="ED18" s="114"/>
      <c r="EE18" s="114"/>
      <c r="EF18" s="114"/>
      <c r="EG18" s="114"/>
      <c r="EH18" s="114"/>
      <c r="EI18" s="114"/>
      <c r="EJ18" s="114"/>
      <c r="EK18" s="114"/>
      <c r="EL18" s="114"/>
      <c r="EM18" s="114"/>
      <c r="EN18" s="114"/>
      <c r="EO18" s="114"/>
      <c r="EP18" s="114"/>
      <c r="EQ18" s="114"/>
      <c r="ER18" s="114"/>
    </row>
    <row r="19" spans="1:148" ht="31.15" customHeight="1" x14ac:dyDescent="0.25">
      <c r="A19" s="147"/>
      <c r="B19" s="150"/>
      <c r="C19" s="158"/>
      <c r="D19" s="155"/>
      <c r="E19" s="127">
        <v>3</v>
      </c>
      <c r="F19" s="152" t="s">
        <v>211</v>
      </c>
      <c r="G19" s="20" t="s">
        <v>56</v>
      </c>
      <c r="H19" s="23" t="s">
        <v>219</v>
      </c>
      <c r="I19" s="78" t="s">
        <v>269</v>
      </c>
      <c r="J19" s="78" t="s">
        <v>269</v>
      </c>
      <c r="K19" s="78" t="s">
        <v>269</v>
      </c>
      <c r="L19" s="78" t="s">
        <v>269</v>
      </c>
      <c r="M19" s="78" t="s">
        <v>269</v>
      </c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122">
        <f t="shared" ref="AC19:AV19" si="15">IF(AND(I19="",I20=""),"",COUNTIF(I19:I20,"v"))</f>
        <v>2</v>
      </c>
      <c r="AD19" s="122">
        <f t="shared" si="15"/>
        <v>2</v>
      </c>
      <c r="AE19" s="122">
        <f t="shared" si="15"/>
        <v>2</v>
      </c>
      <c r="AF19" s="122">
        <f t="shared" si="15"/>
        <v>2</v>
      </c>
      <c r="AG19" s="122">
        <f t="shared" si="15"/>
        <v>2</v>
      </c>
      <c r="AH19" s="122" t="str">
        <f t="shared" si="15"/>
        <v/>
      </c>
      <c r="AI19" s="122" t="str">
        <f t="shared" si="15"/>
        <v/>
      </c>
      <c r="AJ19" s="122" t="str">
        <f t="shared" si="15"/>
        <v/>
      </c>
      <c r="AK19" s="122" t="str">
        <f t="shared" si="15"/>
        <v/>
      </c>
      <c r="AL19" s="122" t="str">
        <f t="shared" si="15"/>
        <v/>
      </c>
      <c r="AM19" s="122" t="str">
        <f t="shared" si="15"/>
        <v/>
      </c>
      <c r="AN19" s="122" t="str">
        <f t="shared" si="15"/>
        <v/>
      </c>
      <c r="AO19" s="122" t="str">
        <f t="shared" si="15"/>
        <v/>
      </c>
      <c r="AP19" s="122" t="str">
        <f t="shared" si="15"/>
        <v/>
      </c>
      <c r="AQ19" s="122" t="str">
        <f t="shared" si="15"/>
        <v/>
      </c>
      <c r="AR19" s="122" t="str">
        <f t="shared" si="15"/>
        <v/>
      </c>
      <c r="AS19" s="122" t="str">
        <f t="shared" si="15"/>
        <v/>
      </c>
      <c r="AT19" s="122" t="str">
        <f t="shared" si="15"/>
        <v/>
      </c>
      <c r="AU19" s="122" t="str">
        <f t="shared" si="15"/>
        <v/>
      </c>
      <c r="AV19" s="122" t="str">
        <f t="shared" si="15"/>
        <v/>
      </c>
      <c r="AW19" s="121" t="str">
        <f>IF(AC19="","",IF(AC19=0,"Ditolak",IF(AC19=1,"Diperbaiki","Digunakan")))</f>
        <v>Digunakan</v>
      </c>
      <c r="AX19" s="121" t="str">
        <f t="shared" ref="AX19:BP19" si="16">IF(AD19="","",IF(AD19=0,"Ditolak",IF(AND(AD19&gt;=1,AD19&lt;2),"Diperbaiki","Digunakan")))</f>
        <v>Digunakan</v>
      </c>
      <c r="AY19" s="121" t="str">
        <f t="shared" si="16"/>
        <v>Digunakan</v>
      </c>
      <c r="AZ19" s="121" t="str">
        <f t="shared" si="16"/>
        <v>Digunakan</v>
      </c>
      <c r="BA19" s="121" t="str">
        <f t="shared" si="16"/>
        <v>Digunakan</v>
      </c>
      <c r="BB19" s="121" t="str">
        <f t="shared" si="16"/>
        <v/>
      </c>
      <c r="BC19" s="121" t="str">
        <f t="shared" si="16"/>
        <v/>
      </c>
      <c r="BD19" s="121" t="str">
        <f t="shared" si="16"/>
        <v/>
      </c>
      <c r="BE19" s="121" t="str">
        <f t="shared" si="16"/>
        <v/>
      </c>
      <c r="BF19" s="121" t="str">
        <f t="shared" si="16"/>
        <v/>
      </c>
      <c r="BG19" s="121" t="str">
        <f t="shared" si="16"/>
        <v/>
      </c>
      <c r="BH19" s="121" t="str">
        <f t="shared" si="16"/>
        <v/>
      </c>
      <c r="BI19" s="121" t="str">
        <f t="shared" si="16"/>
        <v/>
      </c>
      <c r="BJ19" s="121" t="str">
        <f t="shared" si="16"/>
        <v/>
      </c>
      <c r="BK19" s="121" t="str">
        <f t="shared" si="16"/>
        <v/>
      </c>
      <c r="BL19" s="121" t="str">
        <f t="shared" si="16"/>
        <v/>
      </c>
      <c r="BM19" s="121" t="str">
        <f t="shared" si="16"/>
        <v/>
      </c>
      <c r="BN19" s="121" t="str">
        <f t="shared" si="16"/>
        <v/>
      </c>
      <c r="BO19" s="121" t="str">
        <f t="shared" si="16"/>
        <v/>
      </c>
      <c r="BP19" s="121" t="str">
        <f t="shared" si="16"/>
        <v/>
      </c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144"/>
      <c r="CH19" s="144"/>
      <c r="CI19" s="144"/>
      <c r="CJ19" s="144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17"/>
      <c r="DF19" s="117"/>
      <c r="DG19" s="117"/>
      <c r="DH19" s="117"/>
      <c r="DI19" s="117"/>
      <c r="DJ19" s="117"/>
      <c r="DK19" s="117"/>
      <c r="DL19" s="117"/>
      <c r="DM19" s="117"/>
      <c r="DN19" s="117"/>
      <c r="DO19" s="117"/>
      <c r="DP19" s="117"/>
      <c r="DQ19" s="117"/>
      <c r="DR19" s="117"/>
      <c r="DS19" s="117"/>
      <c r="DT19" s="117"/>
      <c r="DU19" s="117"/>
      <c r="DV19" s="117"/>
      <c r="DW19" s="117"/>
      <c r="DX19" s="117"/>
      <c r="DY19" s="114"/>
      <c r="DZ19" s="114"/>
      <c r="EA19" s="114"/>
      <c r="EB19" s="114"/>
      <c r="EC19" s="114"/>
      <c r="ED19" s="114"/>
      <c r="EE19" s="114"/>
      <c r="EF19" s="114"/>
      <c r="EG19" s="114"/>
      <c r="EH19" s="114"/>
      <c r="EI19" s="114"/>
      <c r="EJ19" s="114"/>
      <c r="EK19" s="114"/>
      <c r="EL19" s="114"/>
      <c r="EM19" s="114"/>
      <c r="EN19" s="114"/>
      <c r="EO19" s="114"/>
      <c r="EP19" s="114"/>
      <c r="EQ19" s="114"/>
      <c r="ER19" s="114"/>
    </row>
    <row r="20" spans="1:148" ht="31.5" x14ac:dyDescent="0.25">
      <c r="A20" s="147"/>
      <c r="B20" s="150"/>
      <c r="C20" s="158"/>
      <c r="D20" s="155"/>
      <c r="E20" s="127"/>
      <c r="F20" s="153"/>
      <c r="G20" s="20" t="s">
        <v>56</v>
      </c>
      <c r="H20" s="23" t="s">
        <v>220</v>
      </c>
      <c r="I20" s="78" t="s">
        <v>269</v>
      </c>
      <c r="J20" s="78" t="s">
        <v>269</v>
      </c>
      <c r="K20" s="78" t="s">
        <v>269</v>
      </c>
      <c r="L20" s="78" t="s">
        <v>269</v>
      </c>
      <c r="M20" s="78" t="s">
        <v>269</v>
      </c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  <c r="CI20" s="144"/>
      <c r="CJ20" s="144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17"/>
      <c r="DF20" s="117"/>
      <c r="DG20" s="117"/>
      <c r="DH20" s="117"/>
      <c r="DI20" s="117"/>
      <c r="DJ20" s="117"/>
      <c r="DK20" s="117"/>
      <c r="DL20" s="117"/>
      <c r="DM20" s="117"/>
      <c r="DN20" s="117"/>
      <c r="DO20" s="117"/>
      <c r="DP20" s="117"/>
      <c r="DQ20" s="117"/>
      <c r="DR20" s="117"/>
      <c r="DS20" s="117"/>
      <c r="DT20" s="117"/>
      <c r="DU20" s="117"/>
      <c r="DV20" s="117"/>
      <c r="DW20" s="117"/>
      <c r="DX20" s="117"/>
      <c r="DY20" s="114"/>
      <c r="DZ20" s="114"/>
      <c r="EA20" s="114"/>
      <c r="EB20" s="114"/>
      <c r="EC20" s="114"/>
      <c r="ED20" s="114"/>
      <c r="EE20" s="114"/>
      <c r="EF20" s="114"/>
      <c r="EG20" s="114"/>
      <c r="EH20" s="114"/>
      <c r="EI20" s="114"/>
      <c r="EJ20" s="114"/>
      <c r="EK20" s="114"/>
      <c r="EL20" s="114"/>
      <c r="EM20" s="114"/>
      <c r="EN20" s="114"/>
      <c r="EO20" s="114"/>
      <c r="EP20" s="114"/>
      <c r="EQ20" s="114"/>
      <c r="ER20" s="114"/>
    </row>
    <row r="21" spans="1:148" ht="31.15" customHeight="1" x14ac:dyDescent="0.25">
      <c r="A21" s="147"/>
      <c r="B21" s="150"/>
      <c r="C21" s="158"/>
      <c r="D21" s="155"/>
      <c r="E21" s="127">
        <v>4</v>
      </c>
      <c r="F21" s="152" t="s">
        <v>223</v>
      </c>
      <c r="G21" s="20" t="s">
        <v>56</v>
      </c>
      <c r="H21" s="23" t="s">
        <v>221</v>
      </c>
      <c r="I21" s="78" t="s">
        <v>269</v>
      </c>
      <c r="J21" s="78" t="s">
        <v>269</v>
      </c>
      <c r="K21" s="78" t="s">
        <v>269</v>
      </c>
      <c r="L21" s="78" t="s">
        <v>269</v>
      </c>
      <c r="M21" s="78" t="s">
        <v>269</v>
      </c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122">
        <f t="shared" ref="AC21:AV21" si="17">IF(AND(I21="",I22=""),"",COUNTIF(I21:I22,"v"))</f>
        <v>2</v>
      </c>
      <c r="AD21" s="122">
        <f t="shared" si="17"/>
        <v>2</v>
      </c>
      <c r="AE21" s="122">
        <f t="shared" si="17"/>
        <v>2</v>
      </c>
      <c r="AF21" s="122">
        <f t="shared" si="17"/>
        <v>2</v>
      </c>
      <c r="AG21" s="122">
        <f t="shared" si="17"/>
        <v>2</v>
      </c>
      <c r="AH21" s="122" t="str">
        <f t="shared" si="17"/>
        <v/>
      </c>
      <c r="AI21" s="122" t="str">
        <f t="shared" si="17"/>
        <v/>
      </c>
      <c r="AJ21" s="122" t="str">
        <f t="shared" si="17"/>
        <v/>
      </c>
      <c r="AK21" s="122" t="str">
        <f t="shared" si="17"/>
        <v/>
      </c>
      <c r="AL21" s="122" t="str">
        <f t="shared" si="17"/>
        <v/>
      </c>
      <c r="AM21" s="122" t="str">
        <f t="shared" si="17"/>
        <v/>
      </c>
      <c r="AN21" s="122" t="str">
        <f t="shared" si="17"/>
        <v/>
      </c>
      <c r="AO21" s="122" t="str">
        <f t="shared" si="17"/>
        <v/>
      </c>
      <c r="AP21" s="122" t="str">
        <f t="shared" si="17"/>
        <v/>
      </c>
      <c r="AQ21" s="122" t="str">
        <f t="shared" si="17"/>
        <v/>
      </c>
      <c r="AR21" s="122" t="str">
        <f t="shared" si="17"/>
        <v/>
      </c>
      <c r="AS21" s="122" t="str">
        <f t="shared" si="17"/>
        <v/>
      </c>
      <c r="AT21" s="122" t="str">
        <f t="shared" si="17"/>
        <v/>
      </c>
      <c r="AU21" s="122" t="str">
        <f t="shared" si="17"/>
        <v/>
      </c>
      <c r="AV21" s="122" t="str">
        <f t="shared" si="17"/>
        <v/>
      </c>
      <c r="AW21" s="121" t="str">
        <f t="shared" ref="AW21:BP21" si="18">IF(AC21="","",IF(AC21=0,"Ditolak",IF(AC21=1,"Diperbaiki","Digunakan")))</f>
        <v>Digunakan</v>
      </c>
      <c r="AX21" s="121" t="str">
        <f t="shared" si="18"/>
        <v>Digunakan</v>
      </c>
      <c r="AY21" s="121" t="str">
        <f t="shared" si="18"/>
        <v>Digunakan</v>
      </c>
      <c r="AZ21" s="121" t="str">
        <f t="shared" si="18"/>
        <v>Digunakan</v>
      </c>
      <c r="BA21" s="121" t="str">
        <f t="shared" si="18"/>
        <v>Digunakan</v>
      </c>
      <c r="BB21" s="121" t="str">
        <f t="shared" si="18"/>
        <v/>
      </c>
      <c r="BC21" s="121" t="str">
        <f t="shared" si="18"/>
        <v/>
      </c>
      <c r="BD21" s="121" t="str">
        <f t="shared" si="18"/>
        <v/>
      </c>
      <c r="BE21" s="121" t="str">
        <f t="shared" si="18"/>
        <v/>
      </c>
      <c r="BF21" s="121" t="str">
        <f t="shared" si="18"/>
        <v/>
      </c>
      <c r="BG21" s="121" t="str">
        <f t="shared" si="18"/>
        <v/>
      </c>
      <c r="BH21" s="121" t="str">
        <f t="shared" si="18"/>
        <v/>
      </c>
      <c r="BI21" s="121" t="str">
        <f t="shared" si="18"/>
        <v/>
      </c>
      <c r="BJ21" s="121" t="str">
        <f t="shared" si="18"/>
        <v/>
      </c>
      <c r="BK21" s="121" t="str">
        <f t="shared" si="18"/>
        <v/>
      </c>
      <c r="BL21" s="121" t="str">
        <f t="shared" si="18"/>
        <v/>
      </c>
      <c r="BM21" s="121" t="str">
        <f t="shared" si="18"/>
        <v/>
      </c>
      <c r="BN21" s="121" t="str">
        <f t="shared" si="18"/>
        <v/>
      </c>
      <c r="BO21" s="121" t="str">
        <f t="shared" si="18"/>
        <v/>
      </c>
      <c r="BP21" s="121" t="str">
        <f t="shared" si="18"/>
        <v/>
      </c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  <c r="CI21" s="144"/>
      <c r="CJ21" s="144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17"/>
      <c r="DF21" s="117"/>
      <c r="DG21" s="117"/>
      <c r="DH21" s="117"/>
      <c r="DI21" s="117"/>
      <c r="DJ21" s="117"/>
      <c r="DK21" s="117"/>
      <c r="DL21" s="117"/>
      <c r="DM21" s="117"/>
      <c r="DN21" s="117"/>
      <c r="DO21" s="117"/>
      <c r="DP21" s="117"/>
      <c r="DQ21" s="117"/>
      <c r="DR21" s="117"/>
      <c r="DS21" s="117"/>
      <c r="DT21" s="117"/>
      <c r="DU21" s="117"/>
      <c r="DV21" s="117"/>
      <c r="DW21" s="117"/>
      <c r="DX21" s="117"/>
      <c r="DY21" s="114"/>
      <c r="DZ21" s="114"/>
      <c r="EA21" s="114"/>
      <c r="EB21" s="114"/>
      <c r="EC21" s="114"/>
      <c r="ED21" s="114"/>
      <c r="EE21" s="114"/>
      <c r="EF21" s="114"/>
      <c r="EG21" s="114"/>
      <c r="EH21" s="114"/>
      <c r="EI21" s="114"/>
      <c r="EJ21" s="114"/>
      <c r="EK21" s="114"/>
      <c r="EL21" s="114"/>
      <c r="EM21" s="114"/>
      <c r="EN21" s="114"/>
      <c r="EO21" s="114"/>
      <c r="EP21" s="114"/>
      <c r="EQ21" s="114"/>
      <c r="ER21" s="114"/>
    </row>
    <row r="22" spans="1:148" ht="33.6" customHeight="1" x14ac:dyDescent="0.25">
      <c r="A22" s="147"/>
      <c r="B22" s="150"/>
      <c r="C22" s="159"/>
      <c r="D22" s="156"/>
      <c r="E22" s="127"/>
      <c r="F22" s="153"/>
      <c r="G22" s="20" t="s">
        <v>56</v>
      </c>
      <c r="H22" s="23" t="s">
        <v>222</v>
      </c>
      <c r="I22" s="78" t="s">
        <v>269</v>
      </c>
      <c r="J22" s="78" t="s">
        <v>269</v>
      </c>
      <c r="K22" s="78" t="s">
        <v>269</v>
      </c>
      <c r="L22" s="78" t="s">
        <v>269</v>
      </c>
      <c r="M22" s="78" t="s">
        <v>269</v>
      </c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45"/>
      <c r="BR22" s="145"/>
      <c r="BS22" s="145"/>
      <c r="BT22" s="145"/>
      <c r="BU22" s="145"/>
      <c r="BV22" s="145"/>
      <c r="BW22" s="145"/>
      <c r="BX22" s="145"/>
      <c r="BY22" s="145"/>
      <c r="BZ22" s="145"/>
      <c r="CA22" s="145"/>
      <c r="CB22" s="145"/>
      <c r="CC22" s="145"/>
      <c r="CD22" s="145"/>
      <c r="CE22" s="145"/>
      <c r="CF22" s="145"/>
      <c r="CG22" s="145"/>
      <c r="CH22" s="145"/>
      <c r="CI22" s="145"/>
      <c r="CJ22" s="145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A22" s="139"/>
      <c r="DB22" s="139"/>
      <c r="DC22" s="139"/>
      <c r="DD22" s="139"/>
      <c r="DE22" s="117"/>
      <c r="DF22" s="117"/>
      <c r="DG22" s="117"/>
      <c r="DH22" s="117"/>
      <c r="DI22" s="117"/>
      <c r="DJ22" s="117"/>
      <c r="DK22" s="117"/>
      <c r="DL22" s="117"/>
      <c r="DM22" s="117"/>
      <c r="DN22" s="117"/>
      <c r="DO22" s="117"/>
      <c r="DP22" s="117"/>
      <c r="DQ22" s="117"/>
      <c r="DR22" s="117"/>
      <c r="DS22" s="117"/>
      <c r="DT22" s="117"/>
      <c r="DU22" s="117"/>
      <c r="DV22" s="117"/>
      <c r="DW22" s="117"/>
      <c r="DX22" s="117"/>
      <c r="DY22" s="114"/>
      <c r="DZ22" s="114"/>
      <c r="EA22" s="114"/>
      <c r="EB22" s="114"/>
      <c r="EC22" s="114"/>
      <c r="ED22" s="114"/>
      <c r="EE22" s="114"/>
      <c r="EF22" s="114"/>
      <c r="EG22" s="114"/>
      <c r="EH22" s="114"/>
      <c r="EI22" s="114"/>
      <c r="EJ22" s="114"/>
      <c r="EK22" s="114"/>
      <c r="EL22" s="114"/>
      <c r="EM22" s="114"/>
      <c r="EN22" s="114"/>
      <c r="EO22" s="114"/>
      <c r="EP22" s="114"/>
      <c r="EQ22" s="114"/>
      <c r="ER22" s="114"/>
    </row>
    <row r="23" spans="1:148" ht="93.6" customHeight="1" x14ac:dyDescent="0.25">
      <c r="A23" s="147"/>
      <c r="B23" s="150"/>
      <c r="C23" s="127" t="s">
        <v>6</v>
      </c>
      <c r="D23" s="126" t="s">
        <v>7</v>
      </c>
      <c r="E23" s="127">
        <v>1</v>
      </c>
      <c r="F23" s="152" t="s">
        <v>224</v>
      </c>
      <c r="G23" s="20" t="s">
        <v>56</v>
      </c>
      <c r="H23" s="23" t="s">
        <v>225</v>
      </c>
      <c r="I23" s="78" t="s">
        <v>269</v>
      </c>
      <c r="J23" s="78" t="s">
        <v>269</v>
      </c>
      <c r="K23" s="78" t="s">
        <v>269</v>
      </c>
      <c r="L23" s="78" t="s">
        <v>269</v>
      </c>
      <c r="M23" s="78" t="s">
        <v>269</v>
      </c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122">
        <f t="shared" ref="AC23:AV23" si="19">IF(AND(I23="",I24=""),"",COUNTIF(I23:I24,"v"))</f>
        <v>2</v>
      </c>
      <c r="AD23" s="122">
        <f t="shared" si="19"/>
        <v>2</v>
      </c>
      <c r="AE23" s="122">
        <f t="shared" si="19"/>
        <v>2</v>
      </c>
      <c r="AF23" s="122">
        <f t="shared" si="19"/>
        <v>2</v>
      </c>
      <c r="AG23" s="122">
        <f t="shared" si="19"/>
        <v>2</v>
      </c>
      <c r="AH23" s="122" t="str">
        <f t="shared" si="19"/>
        <v/>
      </c>
      <c r="AI23" s="122" t="str">
        <f t="shared" si="19"/>
        <v/>
      </c>
      <c r="AJ23" s="122" t="str">
        <f t="shared" si="19"/>
        <v/>
      </c>
      <c r="AK23" s="122" t="str">
        <f t="shared" si="19"/>
        <v/>
      </c>
      <c r="AL23" s="122" t="str">
        <f t="shared" si="19"/>
        <v/>
      </c>
      <c r="AM23" s="122" t="str">
        <f t="shared" si="19"/>
        <v/>
      </c>
      <c r="AN23" s="122" t="str">
        <f t="shared" si="19"/>
        <v/>
      </c>
      <c r="AO23" s="122" t="str">
        <f t="shared" si="19"/>
        <v/>
      </c>
      <c r="AP23" s="122" t="str">
        <f t="shared" si="19"/>
        <v/>
      </c>
      <c r="AQ23" s="122" t="str">
        <f t="shared" si="19"/>
        <v/>
      </c>
      <c r="AR23" s="122" t="str">
        <f t="shared" si="19"/>
        <v/>
      </c>
      <c r="AS23" s="122" t="str">
        <f t="shared" si="19"/>
        <v/>
      </c>
      <c r="AT23" s="122" t="str">
        <f t="shared" si="19"/>
        <v/>
      </c>
      <c r="AU23" s="122" t="str">
        <f t="shared" si="19"/>
        <v/>
      </c>
      <c r="AV23" s="122" t="str">
        <f t="shared" si="19"/>
        <v/>
      </c>
      <c r="AW23" s="121" t="str">
        <f>IF(AC23="","",IF(AC23=0,"Ditolak",IF(AC23=1,"Diperbaiki","Digunakan")))</f>
        <v>Digunakan</v>
      </c>
      <c r="AX23" s="121" t="str">
        <f t="shared" ref="AX23:BP23" si="20">IF(AD23="","",IF(AD23=0,"Ditolak",IF(AND(AD23&gt;=1,AD23&lt;2),"Diperbaiki","Digunakan")))</f>
        <v>Digunakan</v>
      </c>
      <c r="AY23" s="121" t="str">
        <f t="shared" si="20"/>
        <v>Digunakan</v>
      </c>
      <c r="AZ23" s="121" t="str">
        <f t="shared" si="20"/>
        <v>Digunakan</v>
      </c>
      <c r="BA23" s="121" t="str">
        <f t="shared" si="20"/>
        <v>Digunakan</v>
      </c>
      <c r="BB23" s="121" t="str">
        <f t="shared" si="20"/>
        <v/>
      </c>
      <c r="BC23" s="121" t="str">
        <f t="shared" si="20"/>
        <v/>
      </c>
      <c r="BD23" s="121" t="str">
        <f t="shared" si="20"/>
        <v/>
      </c>
      <c r="BE23" s="121" t="str">
        <f t="shared" si="20"/>
        <v/>
      </c>
      <c r="BF23" s="121" t="str">
        <f t="shared" si="20"/>
        <v/>
      </c>
      <c r="BG23" s="121" t="str">
        <f t="shared" si="20"/>
        <v/>
      </c>
      <c r="BH23" s="121" t="str">
        <f t="shared" si="20"/>
        <v/>
      </c>
      <c r="BI23" s="121" t="str">
        <f t="shared" si="20"/>
        <v/>
      </c>
      <c r="BJ23" s="121" t="str">
        <f t="shared" si="20"/>
        <v/>
      </c>
      <c r="BK23" s="121" t="str">
        <f t="shared" si="20"/>
        <v/>
      </c>
      <c r="BL23" s="121" t="str">
        <f t="shared" si="20"/>
        <v/>
      </c>
      <c r="BM23" s="121" t="str">
        <f t="shared" si="20"/>
        <v/>
      </c>
      <c r="BN23" s="121" t="str">
        <f t="shared" si="20"/>
        <v/>
      </c>
      <c r="BO23" s="121" t="str">
        <f t="shared" si="20"/>
        <v/>
      </c>
      <c r="BP23" s="121" t="str">
        <f t="shared" si="20"/>
        <v/>
      </c>
      <c r="BQ23" s="120" t="str">
        <f t="shared" ref="BQ23:CJ23" si="21">IF(COUNTIF(AW23:BP30,"Diperbaiki")&gt;=1,"konstruksi","")</f>
        <v/>
      </c>
      <c r="BR23" s="120" t="str">
        <f t="shared" si="21"/>
        <v/>
      </c>
      <c r="BS23" s="120" t="str">
        <f t="shared" si="21"/>
        <v/>
      </c>
      <c r="BT23" s="120" t="str">
        <f t="shared" si="21"/>
        <v/>
      </c>
      <c r="BU23" s="120" t="str">
        <f t="shared" si="21"/>
        <v/>
      </c>
      <c r="BV23" s="120" t="str">
        <f t="shared" si="21"/>
        <v/>
      </c>
      <c r="BW23" s="120" t="str">
        <f t="shared" si="21"/>
        <v/>
      </c>
      <c r="BX23" s="120" t="str">
        <f t="shared" si="21"/>
        <v/>
      </c>
      <c r="BY23" s="120" t="str">
        <f t="shared" si="21"/>
        <v/>
      </c>
      <c r="BZ23" s="120" t="str">
        <f t="shared" si="21"/>
        <v/>
      </c>
      <c r="CA23" s="120" t="str">
        <f t="shared" si="21"/>
        <v/>
      </c>
      <c r="CB23" s="120" t="str">
        <f t="shared" si="21"/>
        <v/>
      </c>
      <c r="CC23" s="120" t="str">
        <f t="shared" si="21"/>
        <v/>
      </c>
      <c r="CD23" s="120" t="str">
        <f t="shared" si="21"/>
        <v/>
      </c>
      <c r="CE23" s="120" t="str">
        <f t="shared" si="21"/>
        <v/>
      </c>
      <c r="CF23" s="120" t="str">
        <f t="shared" si="21"/>
        <v/>
      </c>
      <c r="CG23" s="120" t="str">
        <f t="shared" si="21"/>
        <v/>
      </c>
      <c r="CH23" s="120" t="str">
        <f t="shared" si="21"/>
        <v/>
      </c>
      <c r="CI23" s="120" t="str">
        <f t="shared" si="21"/>
        <v/>
      </c>
      <c r="CJ23" s="120" t="str">
        <f t="shared" si="21"/>
        <v/>
      </c>
      <c r="CK23" s="164" t="str">
        <f t="shared" ref="CK23:DD23" si="22">IF(BQ23="","",",")</f>
        <v/>
      </c>
      <c r="CL23" s="164" t="str">
        <f t="shared" si="22"/>
        <v/>
      </c>
      <c r="CM23" s="164" t="str">
        <f t="shared" si="22"/>
        <v/>
      </c>
      <c r="CN23" s="164" t="str">
        <f t="shared" si="22"/>
        <v/>
      </c>
      <c r="CO23" s="164" t="str">
        <f t="shared" si="22"/>
        <v/>
      </c>
      <c r="CP23" s="164" t="str">
        <f t="shared" si="22"/>
        <v/>
      </c>
      <c r="CQ23" s="164" t="str">
        <f t="shared" si="22"/>
        <v/>
      </c>
      <c r="CR23" s="164" t="str">
        <f t="shared" si="22"/>
        <v/>
      </c>
      <c r="CS23" s="164" t="str">
        <f t="shared" si="22"/>
        <v/>
      </c>
      <c r="CT23" s="164" t="str">
        <f t="shared" si="22"/>
        <v/>
      </c>
      <c r="CU23" s="164" t="str">
        <f t="shared" si="22"/>
        <v/>
      </c>
      <c r="CV23" s="164" t="str">
        <f t="shared" si="22"/>
        <v/>
      </c>
      <c r="CW23" s="164" t="str">
        <f t="shared" si="22"/>
        <v/>
      </c>
      <c r="CX23" s="164" t="str">
        <f t="shared" si="22"/>
        <v/>
      </c>
      <c r="CY23" s="164" t="str">
        <f t="shared" si="22"/>
        <v/>
      </c>
      <c r="CZ23" s="164" t="str">
        <f t="shared" si="22"/>
        <v/>
      </c>
      <c r="DA23" s="164" t="str">
        <f t="shared" si="22"/>
        <v/>
      </c>
      <c r="DB23" s="164" t="str">
        <f t="shared" si="22"/>
        <v/>
      </c>
      <c r="DC23" s="164" t="str">
        <f t="shared" si="22"/>
        <v/>
      </c>
      <c r="DD23" s="164" t="str">
        <f t="shared" si="22"/>
        <v/>
      </c>
      <c r="DE23" s="117"/>
      <c r="DF23" s="117"/>
      <c r="DG23" s="117"/>
      <c r="DH23" s="117"/>
      <c r="DI23" s="117"/>
      <c r="DJ23" s="117"/>
      <c r="DK23" s="117"/>
      <c r="DL23" s="117"/>
      <c r="DM23" s="117"/>
      <c r="DN23" s="117"/>
      <c r="DO23" s="117"/>
      <c r="DP23" s="117"/>
      <c r="DQ23" s="117"/>
      <c r="DR23" s="117"/>
      <c r="DS23" s="117"/>
      <c r="DT23" s="117"/>
      <c r="DU23" s="117"/>
      <c r="DV23" s="117"/>
      <c r="DW23" s="117"/>
      <c r="DX23" s="117"/>
      <c r="DY23" s="114"/>
      <c r="DZ23" s="114"/>
      <c r="EA23" s="114"/>
      <c r="EB23" s="114"/>
      <c r="EC23" s="114"/>
      <c r="ED23" s="114"/>
      <c r="EE23" s="114"/>
      <c r="EF23" s="114"/>
      <c r="EG23" s="114"/>
      <c r="EH23" s="114"/>
      <c r="EI23" s="114"/>
      <c r="EJ23" s="114"/>
      <c r="EK23" s="114"/>
      <c r="EL23" s="114"/>
      <c r="EM23" s="114"/>
      <c r="EN23" s="114"/>
      <c r="EO23" s="114"/>
      <c r="EP23" s="114"/>
      <c r="EQ23" s="114"/>
      <c r="ER23" s="114"/>
    </row>
    <row r="24" spans="1:148" ht="31.5" x14ac:dyDescent="0.25">
      <c r="A24" s="147"/>
      <c r="B24" s="150"/>
      <c r="C24" s="127"/>
      <c r="D24" s="126"/>
      <c r="E24" s="127"/>
      <c r="F24" s="153"/>
      <c r="G24" s="20" t="s">
        <v>56</v>
      </c>
      <c r="H24" s="23" t="s">
        <v>226</v>
      </c>
      <c r="I24" s="78" t="s">
        <v>269</v>
      </c>
      <c r="J24" s="78" t="s">
        <v>269</v>
      </c>
      <c r="K24" s="78" t="s">
        <v>269</v>
      </c>
      <c r="L24" s="78" t="s">
        <v>269</v>
      </c>
      <c r="M24" s="78" t="s">
        <v>269</v>
      </c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0"/>
      <c r="BR24" s="120"/>
      <c r="BS24" s="120"/>
      <c r="BT24" s="120"/>
      <c r="BU24" s="120"/>
      <c r="BV24" s="120"/>
      <c r="BW24" s="120"/>
      <c r="BX24" s="120"/>
      <c r="BY24" s="120"/>
      <c r="BZ24" s="120"/>
      <c r="CA24" s="120"/>
      <c r="CB24" s="120"/>
      <c r="CC24" s="120"/>
      <c r="CD24" s="120"/>
      <c r="CE24" s="120"/>
      <c r="CF24" s="120"/>
      <c r="CG24" s="120"/>
      <c r="CH24" s="120"/>
      <c r="CI24" s="120"/>
      <c r="CJ24" s="120"/>
      <c r="CK24" s="164"/>
      <c r="CL24" s="164"/>
      <c r="CM24" s="164"/>
      <c r="CN24" s="164"/>
      <c r="CO24" s="164"/>
      <c r="CP24" s="164"/>
      <c r="CQ24" s="164"/>
      <c r="CR24" s="164"/>
      <c r="CS24" s="164"/>
      <c r="CT24" s="164"/>
      <c r="CU24" s="164"/>
      <c r="CV24" s="164"/>
      <c r="CW24" s="164"/>
      <c r="CX24" s="164"/>
      <c r="CY24" s="164"/>
      <c r="CZ24" s="164"/>
      <c r="DA24" s="164"/>
      <c r="DB24" s="164"/>
      <c r="DC24" s="164"/>
      <c r="DD24" s="164"/>
      <c r="DE24" s="117"/>
      <c r="DF24" s="117"/>
      <c r="DG24" s="117"/>
      <c r="DH24" s="117"/>
      <c r="DI24" s="117"/>
      <c r="DJ24" s="117"/>
      <c r="DK24" s="117"/>
      <c r="DL24" s="117"/>
      <c r="DM24" s="117"/>
      <c r="DN24" s="117"/>
      <c r="DO24" s="117"/>
      <c r="DP24" s="117"/>
      <c r="DQ24" s="117"/>
      <c r="DR24" s="117"/>
      <c r="DS24" s="117"/>
      <c r="DT24" s="117"/>
      <c r="DU24" s="117"/>
      <c r="DV24" s="117"/>
      <c r="DW24" s="117"/>
      <c r="DX24" s="117"/>
      <c r="DY24" s="114"/>
      <c r="DZ24" s="114"/>
      <c r="EA24" s="114"/>
      <c r="EB24" s="114"/>
      <c r="EC24" s="114"/>
      <c r="ED24" s="114"/>
      <c r="EE24" s="114"/>
      <c r="EF24" s="114"/>
      <c r="EG24" s="114"/>
      <c r="EH24" s="114"/>
      <c r="EI24" s="114"/>
      <c r="EJ24" s="114"/>
      <c r="EK24" s="114"/>
      <c r="EL24" s="114"/>
      <c r="EM24" s="114"/>
      <c r="EN24" s="114"/>
      <c r="EO24" s="114"/>
      <c r="EP24" s="114"/>
      <c r="EQ24" s="114"/>
      <c r="ER24" s="114"/>
    </row>
    <row r="25" spans="1:148" ht="31.15" customHeight="1" x14ac:dyDescent="0.25">
      <c r="A25" s="147"/>
      <c r="B25" s="150"/>
      <c r="C25" s="127"/>
      <c r="D25" s="126"/>
      <c r="E25" s="127">
        <v>2</v>
      </c>
      <c r="F25" s="152" t="s">
        <v>212</v>
      </c>
      <c r="G25" s="20" t="s">
        <v>56</v>
      </c>
      <c r="H25" s="23" t="s">
        <v>227</v>
      </c>
      <c r="I25" s="78" t="s">
        <v>269</v>
      </c>
      <c r="J25" s="78" t="s">
        <v>269</v>
      </c>
      <c r="K25" s="78" t="s">
        <v>269</v>
      </c>
      <c r="L25" s="78" t="s">
        <v>269</v>
      </c>
      <c r="M25" s="78" t="s">
        <v>269</v>
      </c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122">
        <f t="shared" ref="AC25:AV25" si="23">IF(AND(I25="",I26=""),"",COUNTIF(I25:I26,"v"))</f>
        <v>2</v>
      </c>
      <c r="AD25" s="122">
        <f t="shared" si="23"/>
        <v>2</v>
      </c>
      <c r="AE25" s="122">
        <f t="shared" si="23"/>
        <v>2</v>
      </c>
      <c r="AF25" s="122">
        <f t="shared" si="23"/>
        <v>2</v>
      </c>
      <c r="AG25" s="122">
        <f t="shared" si="23"/>
        <v>2</v>
      </c>
      <c r="AH25" s="122" t="str">
        <f t="shared" si="23"/>
        <v/>
      </c>
      <c r="AI25" s="122" t="str">
        <f t="shared" si="23"/>
        <v/>
      </c>
      <c r="AJ25" s="122" t="str">
        <f t="shared" si="23"/>
        <v/>
      </c>
      <c r="AK25" s="122" t="str">
        <f t="shared" si="23"/>
        <v/>
      </c>
      <c r="AL25" s="122" t="str">
        <f t="shared" si="23"/>
        <v/>
      </c>
      <c r="AM25" s="122" t="str">
        <f t="shared" si="23"/>
        <v/>
      </c>
      <c r="AN25" s="122" t="str">
        <f t="shared" si="23"/>
        <v/>
      </c>
      <c r="AO25" s="122" t="str">
        <f t="shared" si="23"/>
        <v/>
      </c>
      <c r="AP25" s="122" t="str">
        <f t="shared" si="23"/>
        <v/>
      </c>
      <c r="AQ25" s="122" t="str">
        <f t="shared" si="23"/>
        <v/>
      </c>
      <c r="AR25" s="122" t="str">
        <f t="shared" si="23"/>
        <v/>
      </c>
      <c r="AS25" s="122" t="str">
        <f t="shared" si="23"/>
        <v/>
      </c>
      <c r="AT25" s="122" t="str">
        <f t="shared" si="23"/>
        <v/>
      </c>
      <c r="AU25" s="122" t="str">
        <f t="shared" si="23"/>
        <v/>
      </c>
      <c r="AV25" s="122" t="str">
        <f t="shared" si="23"/>
        <v/>
      </c>
      <c r="AW25" s="121" t="str">
        <f>IF(AC25="","",IF(AC25=0,"Ditolak",IF(AC25=1,"Diperbaiki","Digunakan")))</f>
        <v>Digunakan</v>
      </c>
      <c r="AX25" s="121" t="str">
        <f t="shared" ref="AX25:BP25" si="24">IF(AD25="","",IF(AD25=0,"Ditolak",IF(AND(AD25&gt;=1,AD25&lt;2),"Diperbaiki","Digunakan")))</f>
        <v>Digunakan</v>
      </c>
      <c r="AY25" s="121" t="str">
        <f t="shared" si="24"/>
        <v>Digunakan</v>
      </c>
      <c r="AZ25" s="121" t="str">
        <f t="shared" si="24"/>
        <v>Digunakan</v>
      </c>
      <c r="BA25" s="121" t="str">
        <f t="shared" si="24"/>
        <v>Digunakan</v>
      </c>
      <c r="BB25" s="121" t="str">
        <f t="shared" si="24"/>
        <v/>
      </c>
      <c r="BC25" s="121" t="str">
        <f t="shared" si="24"/>
        <v/>
      </c>
      <c r="BD25" s="121" t="str">
        <f t="shared" si="24"/>
        <v/>
      </c>
      <c r="BE25" s="121" t="str">
        <f t="shared" si="24"/>
        <v/>
      </c>
      <c r="BF25" s="121" t="str">
        <f t="shared" si="24"/>
        <v/>
      </c>
      <c r="BG25" s="121" t="str">
        <f t="shared" si="24"/>
        <v/>
      </c>
      <c r="BH25" s="121" t="str">
        <f t="shared" si="24"/>
        <v/>
      </c>
      <c r="BI25" s="121" t="str">
        <f t="shared" si="24"/>
        <v/>
      </c>
      <c r="BJ25" s="121" t="str">
        <f t="shared" si="24"/>
        <v/>
      </c>
      <c r="BK25" s="121" t="str">
        <f t="shared" si="24"/>
        <v/>
      </c>
      <c r="BL25" s="121" t="str">
        <f t="shared" si="24"/>
        <v/>
      </c>
      <c r="BM25" s="121" t="str">
        <f t="shared" si="24"/>
        <v/>
      </c>
      <c r="BN25" s="121" t="str">
        <f t="shared" si="24"/>
        <v/>
      </c>
      <c r="BO25" s="121" t="str">
        <f t="shared" si="24"/>
        <v/>
      </c>
      <c r="BP25" s="121" t="str">
        <f t="shared" si="24"/>
        <v/>
      </c>
      <c r="BQ25" s="120"/>
      <c r="BR25" s="120"/>
      <c r="BS25" s="120"/>
      <c r="BT25" s="120"/>
      <c r="BU25" s="120"/>
      <c r="BV25" s="120"/>
      <c r="BW25" s="120"/>
      <c r="BX25" s="120"/>
      <c r="BY25" s="120"/>
      <c r="BZ25" s="120"/>
      <c r="CA25" s="120"/>
      <c r="CB25" s="120"/>
      <c r="CC25" s="120"/>
      <c r="CD25" s="120"/>
      <c r="CE25" s="120"/>
      <c r="CF25" s="120"/>
      <c r="CG25" s="120"/>
      <c r="CH25" s="120"/>
      <c r="CI25" s="120"/>
      <c r="CJ25" s="120"/>
      <c r="CK25" s="164"/>
      <c r="CL25" s="164"/>
      <c r="CM25" s="164"/>
      <c r="CN25" s="164"/>
      <c r="CO25" s="164"/>
      <c r="CP25" s="164"/>
      <c r="CQ25" s="164"/>
      <c r="CR25" s="164"/>
      <c r="CS25" s="164"/>
      <c r="CT25" s="164"/>
      <c r="CU25" s="164"/>
      <c r="CV25" s="164"/>
      <c r="CW25" s="164"/>
      <c r="CX25" s="164"/>
      <c r="CY25" s="164"/>
      <c r="CZ25" s="164"/>
      <c r="DA25" s="164"/>
      <c r="DB25" s="164"/>
      <c r="DC25" s="164"/>
      <c r="DD25" s="164"/>
      <c r="DE25" s="117"/>
      <c r="DF25" s="117"/>
      <c r="DG25" s="117"/>
      <c r="DH25" s="117"/>
      <c r="DI25" s="117"/>
      <c r="DJ25" s="117"/>
      <c r="DK25" s="117"/>
      <c r="DL25" s="117"/>
      <c r="DM25" s="117"/>
      <c r="DN25" s="117"/>
      <c r="DO25" s="117"/>
      <c r="DP25" s="117"/>
      <c r="DQ25" s="117"/>
      <c r="DR25" s="117"/>
      <c r="DS25" s="117"/>
      <c r="DT25" s="117"/>
      <c r="DU25" s="117"/>
      <c r="DV25" s="117"/>
      <c r="DW25" s="117"/>
      <c r="DX25" s="117"/>
      <c r="DY25" s="114"/>
      <c r="DZ25" s="114"/>
      <c r="EA25" s="114"/>
      <c r="EB25" s="114"/>
      <c r="EC25" s="114"/>
      <c r="ED25" s="114"/>
      <c r="EE25" s="114"/>
      <c r="EF25" s="114"/>
      <c r="EG25" s="114"/>
      <c r="EH25" s="114"/>
      <c r="EI25" s="114"/>
      <c r="EJ25" s="114"/>
      <c r="EK25" s="114"/>
      <c r="EL25" s="114"/>
      <c r="EM25" s="114"/>
      <c r="EN25" s="114"/>
      <c r="EO25" s="114"/>
      <c r="EP25" s="114"/>
      <c r="EQ25" s="114"/>
      <c r="ER25" s="114"/>
    </row>
    <row r="26" spans="1:148" ht="31.5" x14ac:dyDescent="0.25">
      <c r="A26" s="147"/>
      <c r="B26" s="150"/>
      <c r="C26" s="127"/>
      <c r="D26" s="126"/>
      <c r="E26" s="127"/>
      <c r="F26" s="153"/>
      <c r="G26" s="20" t="s">
        <v>56</v>
      </c>
      <c r="H26" s="23" t="s">
        <v>228</v>
      </c>
      <c r="I26" s="78" t="s">
        <v>269</v>
      </c>
      <c r="J26" s="78" t="s">
        <v>269</v>
      </c>
      <c r="K26" s="78" t="s">
        <v>269</v>
      </c>
      <c r="L26" s="78" t="s">
        <v>269</v>
      </c>
      <c r="M26" s="78" t="s">
        <v>269</v>
      </c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0"/>
      <c r="BR26" s="120"/>
      <c r="BS26" s="120"/>
      <c r="BT26" s="120"/>
      <c r="BU26" s="120"/>
      <c r="BV26" s="120"/>
      <c r="BW26" s="120"/>
      <c r="BX26" s="120"/>
      <c r="BY26" s="120"/>
      <c r="BZ26" s="120"/>
      <c r="CA26" s="120"/>
      <c r="CB26" s="120"/>
      <c r="CC26" s="120"/>
      <c r="CD26" s="120"/>
      <c r="CE26" s="120"/>
      <c r="CF26" s="120"/>
      <c r="CG26" s="120"/>
      <c r="CH26" s="120"/>
      <c r="CI26" s="120"/>
      <c r="CJ26" s="120"/>
      <c r="CK26" s="164"/>
      <c r="CL26" s="164"/>
      <c r="CM26" s="164"/>
      <c r="CN26" s="164"/>
      <c r="CO26" s="164"/>
      <c r="CP26" s="164"/>
      <c r="CQ26" s="164"/>
      <c r="CR26" s="164"/>
      <c r="CS26" s="164"/>
      <c r="CT26" s="164"/>
      <c r="CU26" s="164"/>
      <c r="CV26" s="164"/>
      <c r="CW26" s="164"/>
      <c r="CX26" s="164"/>
      <c r="CY26" s="164"/>
      <c r="CZ26" s="164"/>
      <c r="DA26" s="164"/>
      <c r="DB26" s="164"/>
      <c r="DC26" s="164"/>
      <c r="DD26" s="164"/>
      <c r="DE26" s="117"/>
      <c r="DF26" s="117"/>
      <c r="DG26" s="117"/>
      <c r="DH26" s="117"/>
      <c r="DI26" s="117"/>
      <c r="DJ26" s="117"/>
      <c r="DK26" s="117"/>
      <c r="DL26" s="117"/>
      <c r="DM26" s="117"/>
      <c r="DN26" s="117"/>
      <c r="DO26" s="117"/>
      <c r="DP26" s="117"/>
      <c r="DQ26" s="117"/>
      <c r="DR26" s="117"/>
      <c r="DS26" s="117"/>
      <c r="DT26" s="117"/>
      <c r="DU26" s="117"/>
      <c r="DV26" s="117"/>
      <c r="DW26" s="117"/>
      <c r="DX26" s="117"/>
      <c r="DY26" s="114"/>
      <c r="DZ26" s="114"/>
      <c r="EA26" s="114"/>
      <c r="EB26" s="114"/>
      <c r="EC26" s="114"/>
      <c r="ED26" s="114"/>
      <c r="EE26" s="114"/>
      <c r="EF26" s="114"/>
      <c r="EG26" s="114"/>
      <c r="EH26" s="114"/>
      <c r="EI26" s="114"/>
      <c r="EJ26" s="114"/>
      <c r="EK26" s="114"/>
      <c r="EL26" s="114"/>
      <c r="EM26" s="114"/>
      <c r="EN26" s="114"/>
      <c r="EO26" s="114"/>
      <c r="EP26" s="114"/>
      <c r="EQ26" s="114"/>
      <c r="ER26" s="114"/>
    </row>
    <row r="27" spans="1:148" ht="47.25" x14ac:dyDescent="0.25">
      <c r="A27" s="147"/>
      <c r="B27" s="150"/>
      <c r="C27" s="127"/>
      <c r="D27" s="126"/>
      <c r="E27" s="127">
        <v>3</v>
      </c>
      <c r="F27" s="152" t="s">
        <v>213</v>
      </c>
      <c r="G27" s="20" t="s">
        <v>56</v>
      </c>
      <c r="H27" s="23" t="s">
        <v>229</v>
      </c>
      <c r="I27" s="78" t="s">
        <v>269</v>
      </c>
      <c r="J27" s="78" t="s">
        <v>269</v>
      </c>
      <c r="K27" s="78" t="s">
        <v>269</v>
      </c>
      <c r="L27" s="78" t="s">
        <v>269</v>
      </c>
      <c r="M27" s="78" t="s">
        <v>269</v>
      </c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122">
        <f t="shared" ref="AC27:AV27" si="25">IF(AND(I27="",I28=""),"",COUNTIF(I27:I28,"v"))</f>
        <v>2</v>
      </c>
      <c r="AD27" s="122">
        <f t="shared" si="25"/>
        <v>2</v>
      </c>
      <c r="AE27" s="122">
        <f t="shared" si="25"/>
        <v>2</v>
      </c>
      <c r="AF27" s="122">
        <f t="shared" si="25"/>
        <v>2</v>
      </c>
      <c r="AG27" s="122">
        <f t="shared" si="25"/>
        <v>2</v>
      </c>
      <c r="AH27" s="122" t="str">
        <f t="shared" si="25"/>
        <v/>
      </c>
      <c r="AI27" s="122" t="str">
        <f t="shared" si="25"/>
        <v/>
      </c>
      <c r="AJ27" s="122" t="str">
        <f t="shared" si="25"/>
        <v/>
      </c>
      <c r="AK27" s="122" t="str">
        <f t="shared" si="25"/>
        <v/>
      </c>
      <c r="AL27" s="122" t="str">
        <f t="shared" si="25"/>
        <v/>
      </c>
      <c r="AM27" s="122" t="str">
        <f t="shared" si="25"/>
        <v/>
      </c>
      <c r="AN27" s="122" t="str">
        <f t="shared" si="25"/>
        <v/>
      </c>
      <c r="AO27" s="122" t="str">
        <f t="shared" si="25"/>
        <v/>
      </c>
      <c r="AP27" s="122" t="str">
        <f t="shared" si="25"/>
        <v/>
      </c>
      <c r="AQ27" s="122" t="str">
        <f t="shared" si="25"/>
        <v/>
      </c>
      <c r="AR27" s="122" t="str">
        <f t="shared" si="25"/>
        <v/>
      </c>
      <c r="AS27" s="122" t="str">
        <f t="shared" si="25"/>
        <v/>
      </c>
      <c r="AT27" s="122" t="str">
        <f t="shared" si="25"/>
        <v/>
      </c>
      <c r="AU27" s="122" t="str">
        <f t="shared" si="25"/>
        <v/>
      </c>
      <c r="AV27" s="122" t="str">
        <f t="shared" si="25"/>
        <v/>
      </c>
      <c r="AW27" s="121" t="str">
        <f>IF(AC27="","",IF(AC27=0,"Ditolak",IF(AC27=1,"Diperbaiki","Digunakan")))</f>
        <v>Digunakan</v>
      </c>
      <c r="AX27" s="121" t="str">
        <f t="shared" ref="AX27:BP27" si="26">IF(AD27="","",IF(AD27=0,"Ditolak",IF(AND(AD27&gt;=1,AD27&lt;2),"Diperbaiki","Digunakan")))</f>
        <v>Digunakan</v>
      </c>
      <c r="AY27" s="121" t="str">
        <f t="shared" si="26"/>
        <v>Digunakan</v>
      </c>
      <c r="AZ27" s="121" t="str">
        <f t="shared" si="26"/>
        <v>Digunakan</v>
      </c>
      <c r="BA27" s="121" t="str">
        <f t="shared" si="26"/>
        <v>Digunakan</v>
      </c>
      <c r="BB27" s="121" t="str">
        <f t="shared" si="26"/>
        <v/>
      </c>
      <c r="BC27" s="121" t="str">
        <f t="shared" si="26"/>
        <v/>
      </c>
      <c r="BD27" s="121" t="str">
        <f t="shared" si="26"/>
        <v/>
      </c>
      <c r="BE27" s="121" t="str">
        <f t="shared" si="26"/>
        <v/>
      </c>
      <c r="BF27" s="121" t="str">
        <f t="shared" si="26"/>
        <v/>
      </c>
      <c r="BG27" s="121" t="str">
        <f t="shared" si="26"/>
        <v/>
      </c>
      <c r="BH27" s="121" t="str">
        <f t="shared" si="26"/>
        <v/>
      </c>
      <c r="BI27" s="121" t="str">
        <f t="shared" si="26"/>
        <v/>
      </c>
      <c r="BJ27" s="121" t="str">
        <f t="shared" si="26"/>
        <v/>
      </c>
      <c r="BK27" s="121" t="str">
        <f t="shared" si="26"/>
        <v/>
      </c>
      <c r="BL27" s="121" t="str">
        <f t="shared" si="26"/>
        <v/>
      </c>
      <c r="BM27" s="121" t="str">
        <f t="shared" si="26"/>
        <v/>
      </c>
      <c r="BN27" s="121" t="str">
        <f t="shared" si="26"/>
        <v/>
      </c>
      <c r="BO27" s="121" t="str">
        <f t="shared" si="26"/>
        <v/>
      </c>
      <c r="BP27" s="121" t="str">
        <f t="shared" si="26"/>
        <v/>
      </c>
      <c r="BQ27" s="120"/>
      <c r="BR27" s="120"/>
      <c r="BS27" s="120"/>
      <c r="BT27" s="120"/>
      <c r="BU27" s="120"/>
      <c r="BV27" s="120"/>
      <c r="BW27" s="120"/>
      <c r="BX27" s="120"/>
      <c r="BY27" s="120"/>
      <c r="BZ27" s="120"/>
      <c r="CA27" s="120"/>
      <c r="CB27" s="120"/>
      <c r="CC27" s="120"/>
      <c r="CD27" s="120"/>
      <c r="CE27" s="120"/>
      <c r="CF27" s="120"/>
      <c r="CG27" s="120"/>
      <c r="CH27" s="120"/>
      <c r="CI27" s="120"/>
      <c r="CJ27" s="120"/>
      <c r="CK27" s="164"/>
      <c r="CL27" s="164"/>
      <c r="CM27" s="164"/>
      <c r="CN27" s="164"/>
      <c r="CO27" s="164"/>
      <c r="CP27" s="164"/>
      <c r="CQ27" s="164"/>
      <c r="CR27" s="164"/>
      <c r="CS27" s="164"/>
      <c r="CT27" s="164"/>
      <c r="CU27" s="164"/>
      <c r="CV27" s="164"/>
      <c r="CW27" s="164"/>
      <c r="CX27" s="164"/>
      <c r="CY27" s="164"/>
      <c r="CZ27" s="164"/>
      <c r="DA27" s="164"/>
      <c r="DB27" s="164"/>
      <c r="DC27" s="164"/>
      <c r="DD27" s="164"/>
      <c r="DE27" s="117"/>
      <c r="DF27" s="117"/>
      <c r="DG27" s="117"/>
      <c r="DH27" s="117"/>
      <c r="DI27" s="117"/>
      <c r="DJ27" s="117"/>
      <c r="DK27" s="117"/>
      <c r="DL27" s="117"/>
      <c r="DM27" s="117"/>
      <c r="DN27" s="117"/>
      <c r="DO27" s="117"/>
      <c r="DP27" s="117"/>
      <c r="DQ27" s="117"/>
      <c r="DR27" s="117"/>
      <c r="DS27" s="117"/>
      <c r="DT27" s="117"/>
      <c r="DU27" s="117"/>
      <c r="DV27" s="117"/>
      <c r="DW27" s="117"/>
      <c r="DX27" s="117"/>
      <c r="DY27" s="114"/>
      <c r="DZ27" s="114"/>
      <c r="EA27" s="114"/>
      <c r="EB27" s="114"/>
      <c r="EC27" s="114"/>
      <c r="ED27" s="114"/>
      <c r="EE27" s="114"/>
      <c r="EF27" s="114"/>
      <c r="EG27" s="114"/>
      <c r="EH27" s="114"/>
      <c r="EI27" s="114"/>
      <c r="EJ27" s="114"/>
      <c r="EK27" s="114"/>
      <c r="EL27" s="114"/>
      <c r="EM27" s="114"/>
      <c r="EN27" s="114"/>
      <c r="EO27" s="114"/>
      <c r="EP27" s="114"/>
      <c r="EQ27" s="114"/>
      <c r="ER27" s="114"/>
    </row>
    <row r="28" spans="1:148" ht="63" x14ac:dyDescent="0.25">
      <c r="A28" s="147"/>
      <c r="B28" s="150"/>
      <c r="C28" s="127"/>
      <c r="D28" s="126"/>
      <c r="E28" s="127"/>
      <c r="F28" s="153"/>
      <c r="G28" s="20" t="s">
        <v>56</v>
      </c>
      <c r="H28" s="23" t="s">
        <v>230</v>
      </c>
      <c r="I28" s="78" t="s">
        <v>269</v>
      </c>
      <c r="J28" s="78" t="s">
        <v>269</v>
      </c>
      <c r="K28" s="78" t="s">
        <v>269</v>
      </c>
      <c r="L28" s="78" t="s">
        <v>269</v>
      </c>
      <c r="M28" s="78" t="s">
        <v>269</v>
      </c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0"/>
      <c r="BR28" s="120"/>
      <c r="BS28" s="120"/>
      <c r="BT28" s="120"/>
      <c r="BU28" s="120"/>
      <c r="BV28" s="120"/>
      <c r="BW28" s="120"/>
      <c r="BX28" s="120"/>
      <c r="BY28" s="120"/>
      <c r="BZ28" s="120"/>
      <c r="CA28" s="120"/>
      <c r="CB28" s="120"/>
      <c r="CC28" s="120"/>
      <c r="CD28" s="120"/>
      <c r="CE28" s="120"/>
      <c r="CF28" s="120"/>
      <c r="CG28" s="120"/>
      <c r="CH28" s="120"/>
      <c r="CI28" s="120"/>
      <c r="CJ28" s="120"/>
      <c r="CK28" s="164"/>
      <c r="CL28" s="164"/>
      <c r="CM28" s="164"/>
      <c r="CN28" s="164"/>
      <c r="CO28" s="164"/>
      <c r="CP28" s="164"/>
      <c r="CQ28" s="164"/>
      <c r="CR28" s="164"/>
      <c r="CS28" s="164"/>
      <c r="CT28" s="164"/>
      <c r="CU28" s="164"/>
      <c r="CV28" s="164"/>
      <c r="CW28" s="164"/>
      <c r="CX28" s="164"/>
      <c r="CY28" s="164"/>
      <c r="CZ28" s="164"/>
      <c r="DA28" s="164"/>
      <c r="DB28" s="164"/>
      <c r="DC28" s="164"/>
      <c r="DD28" s="164"/>
      <c r="DE28" s="117"/>
      <c r="DF28" s="117"/>
      <c r="DG28" s="117"/>
      <c r="DH28" s="117"/>
      <c r="DI28" s="117"/>
      <c r="DJ28" s="117"/>
      <c r="DK28" s="117"/>
      <c r="DL28" s="117"/>
      <c r="DM28" s="117"/>
      <c r="DN28" s="117"/>
      <c r="DO28" s="117"/>
      <c r="DP28" s="117"/>
      <c r="DQ28" s="117"/>
      <c r="DR28" s="117"/>
      <c r="DS28" s="117"/>
      <c r="DT28" s="117"/>
      <c r="DU28" s="117"/>
      <c r="DV28" s="117"/>
      <c r="DW28" s="117"/>
      <c r="DX28" s="117"/>
      <c r="DY28" s="114"/>
      <c r="DZ28" s="114"/>
      <c r="EA28" s="114"/>
      <c r="EB28" s="114"/>
      <c r="EC28" s="114"/>
      <c r="ED28" s="114"/>
      <c r="EE28" s="114"/>
      <c r="EF28" s="114"/>
      <c r="EG28" s="114"/>
      <c r="EH28" s="114"/>
      <c r="EI28" s="114"/>
      <c r="EJ28" s="114"/>
      <c r="EK28" s="114"/>
      <c r="EL28" s="114"/>
      <c r="EM28" s="114"/>
      <c r="EN28" s="114"/>
      <c r="EO28" s="114"/>
      <c r="EP28" s="114"/>
      <c r="EQ28" s="114"/>
      <c r="ER28" s="114"/>
    </row>
    <row r="29" spans="1:148" ht="50.45" customHeight="1" x14ac:dyDescent="0.25">
      <c r="A29" s="147"/>
      <c r="B29" s="150"/>
      <c r="C29" s="127"/>
      <c r="D29" s="126"/>
      <c r="E29" s="127">
        <v>4</v>
      </c>
      <c r="F29" s="152" t="s">
        <v>235</v>
      </c>
      <c r="G29" s="20" t="s">
        <v>56</v>
      </c>
      <c r="H29" s="23" t="s">
        <v>244</v>
      </c>
      <c r="I29" s="78" t="s">
        <v>269</v>
      </c>
      <c r="J29" s="78" t="s">
        <v>269</v>
      </c>
      <c r="K29" s="78" t="s">
        <v>269</v>
      </c>
      <c r="L29" s="78" t="s">
        <v>269</v>
      </c>
      <c r="M29" s="78" t="s">
        <v>269</v>
      </c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122">
        <f t="shared" ref="AC29:AV29" si="27">IF(AND(I29="",I30=""),"",COUNTIF(I29:I30,"v"))</f>
        <v>2</v>
      </c>
      <c r="AD29" s="122">
        <f t="shared" si="27"/>
        <v>2</v>
      </c>
      <c r="AE29" s="122">
        <f t="shared" si="27"/>
        <v>2</v>
      </c>
      <c r="AF29" s="122">
        <f t="shared" si="27"/>
        <v>2</v>
      </c>
      <c r="AG29" s="122">
        <f t="shared" si="27"/>
        <v>2</v>
      </c>
      <c r="AH29" s="122" t="str">
        <f t="shared" si="27"/>
        <v/>
      </c>
      <c r="AI29" s="122" t="str">
        <f t="shared" si="27"/>
        <v/>
      </c>
      <c r="AJ29" s="122" t="str">
        <f t="shared" si="27"/>
        <v/>
      </c>
      <c r="AK29" s="122" t="str">
        <f t="shared" si="27"/>
        <v/>
      </c>
      <c r="AL29" s="122" t="str">
        <f t="shared" si="27"/>
        <v/>
      </c>
      <c r="AM29" s="122" t="str">
        <f t="shared" si="27"/>
        <v/>
      </c>
      <c r="AN29" s="122" t="str">
        <f t="shared" si="27"/>
        <v/>
      </c>
      <c r="AO29" s="122" t="str">
        <f t="shared" si="27"/>
        <v/>
      </c>
      <c r="AP29" s="122" t="str">
        <f t="shared" si="27"/>
        <v/>
      </c>
      <c r="AQ29" s="122" t="str">
        <f t="shared" si="27"/>
        <v/>
      </c>
      <c r="AR29" s="122" t="str">
        <f t="shared" si="27"/>
        <v/>
      </c>
      <c r="AS29" s="122" t="str">
        <f t="shared" si="27"/>
        <v/>
      </c>
      <c r="AT29" s="122" t="str">
        <f t="shared" si="27"/>
        <v/>
      </c>
      <c r="AU29" s="122" t="str">
        <f t="shared" si="27"/>
        <v/>
      </c>
      <c r="AV29" s="122" t="str">
        <f t="shared" si="27"/>
        <v/>
      </c>
      <c r="AW29" s="121" t="str">
        <f>IF(AC29="","",IF(AC29=0,"Ditolak",IF(AC29=1,"Diperbaiki","Digunakan")))</f>
        <v>Digunakan</v>
      </c>
      <c r="AX29" s="121" t="str">
        <f t="shared" ref="AX29:BP29" si="28">IF(AD29="","",IF(AD29=0,"Ditolak",IF(AND(AD29&gt;=1,AD29&lt;2),"Diperbaiki","Digunakan")))</f>
        <v>Digunakan</v>
      </c>
      <c r="AY29" s="121" t="str">
        <f t="shared" si="28"/>
        <v>Digunakan</v>
      </c>
      <c r="AZ29" s="121" t="str">
        <f t="shared" si="28"/>
        <v>Digunakan</v>
      </c>
      <c r="BA29" s="121" t="str">
        <f t="shared" si="28"/>
        <v>Digunakan</v>
      </c>
      <c r="BB29" s="121" t="str">
        <f t="shared" si="28"/>
        <v/>
      </c>
      <c r="BC29" s="121" t="str">
        <f t="shared" si="28"/>
        <v/>
      </c>
      <c r="BD29" s="121" t="str">
        <f t="shared" si="28"/>
        <v/>
      </c>
      <c r="BE29" s="121" t="str">
        <f t="shared" si="28"/>
        <v/>
      </c>
      <c r="BF29" s="121" t="str">
        <f t="shared" si="28"/>
        <v/>
      </c>
      <c r="BG29" s="121" t="str">
        <f t="shared" si="28"/>
        <v/>
      </c>
      <c r="BH29" s="121" t="str">
        <f t="shared" si="28"/>
        <v/>
      </c>
      <c r="BI29" s="121" t="str">
        <f t="shared" si="28"/>
        <v/>
      </c>
      <c r="BJ29" s="121" t="str">
        <f t="shared" si="28"/>
        <v/>
      </c>
      <c r="BK29" s="121" t="str">
        <f t="shared" si="28"/>
        <v/>
      </c>
      <c r="BL29" s="121" t="str">
        <f t="shared" si="28"/>
        <v/>
      </c>
      <c r="BM29" s="121" t="str">
        <f t="shared" si="28"/>
        <v/>
      </c>
      <c r="BN29" s="121" t="str">
        <f t="shared" si="28"/>
        <v/>
      </c>
      <c r="BO29" s="121" t="str">
        <f t="shared" si="28"/>
        <v/>
      </c>
      <c r="BP29" s="121" t="str">
        <f t="shared" si="28"/>
        <v/>
      </c>
      <c r="BQ29" s="120"/>
      <c r="BR29" s="120"/>
      <c r="BS29" s="120"/>
      <c r="BT29" s="120"/>
      <c r="BU29" s="120"/>
      <c r="BV29" s="120"/>
      <c r="BW29" s="120"/>
      <c r="BX29" s="120"/>
      <c r="BY29" s="120"/>
      <c r="BZ29" s="120"/>
      <c r="CA29" s="120"/>
      <c r="CB29" s="120"/>
      <c r="CC29" s="120"/>
      <c r="CD29" s="120"/>
      <c r="CE29" s="120"/>
      <c r="CF29" s="120"/>
      <c r="CG29" s="120"/>
      <c r="CH29" s="120"/>
      <c r="CI29" s="120"/>
      <c r="CJ29" s="120"/>
      <c r="CK29" s="164"/>
      <c r="CL29" s="164"/>
      <c r="CM29" s="164"/>
      <c r="CN29" s="164"/>
      <c r="CO29" s="164"/>
      <c r="CP29" s="164"/>
      <c r="CQ29" s="164"/>
      <c r="CR29" s="164"/>
      <c r="CS29" s="164"/>
      <c r="CT29" s="164"/>
      <c r="CU29" s="164"/>
      <c r="CV29" s="164"/>
      <c r="CW29" s="164"/>
      <c r="CX29" s="164"/>
      <c r="CY29" s="164"/>
      <c r="CZ29" s="164"/>
      <c r="DA29" s="164"/>
      <c r="DB29" s="164"/>
      <c r="DC29" s="164"/>
      <c r="DD29" s="164"/>
      <c r="DE29" s="117"/>
      <c r="DF29" s="117"/>
      <c r="DG29" s="117"/>
      <c r="DH29" s="117"/>
      <c r="DI29" s="117"/>
      <c r="DJ29" s="117"/>
      <c r="DK29" s="117"/>
      <c r="DL29" s="117"/>
      <c r="DM29" s="117"/>
      <c r="DN29" s="117"/>
      <c r="DO29" s="117"/>
      <c r="DP29" s="117"/>
      <c r="DQ29" s="117"/>
      <c r="DR29" s="117"/>
      <c r="DS29" s="117"/>
      <c r="DT29" s="117"/>
      <c r="DU29" s="117"/>
      <c r="DV29" s="117"/>
      <c r="DW29" s="117"/>
      <c r="DX29" s="117"/>
      <c r="DY29" s="114"/>
      <c r="DZ29" s="114"/>
      <c r="EA29" s="114"/>
      <c r="EB29" s="114"/>
      <c r="EC29" s="114"/>
      <c r="ED29" s="114"/>
      <c r="EE29" s="114"/>
      <c r="EF29" s="114"/>
      <c r="EG29" s="114"/>
      <c r="EH29" s="114"/>
      <c r="EI29" s="114"/>
      <c r="EJ29" s="114"/>
      <c r="EK29" s="114"/>
      <c r="EL29" s="114"/>
      <c r="EM29" s="114"/>
      <c r="EN29" s="114"/>
      <c r="EO29" s="114"/>
      <c r="EP29" s="114"/>
      <c r="EQ29" s="114"/>
      <c r="ER29" s="114"/>
    </row>
    <row r="30" spans="1:148" ht="31.5" x14ac:dyDescent="0.25">
      <c r="A30" s="147"/>
      <c r="B30" s="150"/>
      <c r="C30" s="127"/>
      <c r="D30" s="126"/>
      <c r="E30" s="127"/>
      <c r="F30" s="153"/>
      <c r="G30" s="20" t="s">
        <v>56</v>
      </c>
      <c r="H30" s="23" t="s">
        <v>245</v>
      </c>
      <c r="I30" s="78" t="s">
        <v>269</v>
      </c>
      <c r="J30" s="78" t="s">
        <v>269</v>
      </c>
      <c r="K30" s="78" t="s">
        <v>269</v>
      </c>
      <c r="L30" s="78" t="s">
        <v>269</v>
      </c>
      <c r="M30" s="78" t="s">
        <v>269</v>
      </c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0"/>
      <c r="BR30" s="120"/>
      <c r="BS30" s="120"/>
      <c r="BT30" s="120"/>
      <c r="BU30" s="120"/>
      <c r="BV30" s="120"/>
      <c r="BW30" s="120"/>
      <c r="BX30" s="120"/>
      <c r="BY30" s="120"/>
      <c r="BZ30" s="120"/>
      <c r="CA30" s="120"/>
      <c r="CB30" s="120"/>
      <c r="CC30" s="120"/>
      <c r="CD30" s="120"/>
      <c r="CE30" s="120"/>
      <c r="CF30" s="120"/>
      <c r="CG30" s="120"/>
      <c r="CH30" s="120"/>
      <c r="CI30" s="120"/>
      <c r="CJ30" s="120"/>
      <c r="CK30" s="164"/>
      <c r="CL30" s="164"/>
      <c r="CM30" s="164"/>
      <c r="CN30" s="164"/>
      <c r="CO30" s="164"/>
      <c r="CP30" s="164"/>
      <c r="CQ30" s="164"/>
      <c r="CR30" s="164"/>
      <c r="CS30" s="164"/>
      <c r="CT30" s="164"/>
      <c r="CU30" s="164"/>
      <c r="CV30" s="164"/>
      <c r="CW30" s="164"/>
      <c r="CX30" s="164"/>
      <c r="CY30" s="164"/>
      <c r="CZ30" s="164"/>
      <c r="DA30" s="164"/>
      <c r="DB30" s="164"/>
      <c r="DC30" s="164"/>
      <c r="DD30" s="164"/>
      <c r="DE30" s="117"/>
      <c r="DF30" s="117"/>
      <c r="DG30" s="117"/>
      <c r="DH30" s="117"/>
      <c r="DI30" s="117"/>
      <c r="DJ30" s="117"/>
      <c r="DK30" s="117"/>
      <c r="DL30" s="117"/>
      <c r="DM30" s="117"/>
      <c r="DN30" s="117"/>
      <c r="DO30" s="117"/>
      <c r="DP30" s="117"/>
      <c r="DQ30" s="117"/>
      <c r="DR30" s="117"/>
      <c r="DS30" s="117"/>
      <c r="DT30" s="117"/>
      <c r="DU30" s="117"/>
      <c r="DV30" s="117"/>
      <c r="DW30" s="117"/>
      <c r="DX30" s="117"/>
      <c r="DY30" s="114"/>
      <c r="DZ30" s="114"/>
      <c r="EA30" s="114"/>
      <c r="EB30" s="114"/>
      <c r="EC30" s="114"/>
      <c r="ED30" s="114"/>
      <c r="EE30" s="114"/>
      <c r="EF30" s="114"/>
      <c r="EG30" s="114"/>
      <c r="EH30" s="114"/>
      <c r="EI30" s="114"/>
      <c r="EJ30" s="114"/>
      <c r="EK30" s="114"/>
      <c r="EL30" s="114"/>
      <c r="EM30" s="114"/>
      <c r="EN30" s="114"/>
      <c r="EO30" s="114"/>
      <c r="EP30" s="114"/>
      <c r="EQ30" s="114"/>
      <c r="ER30" s="114"/>
    </row>
    <row r="31" spans="1:148" ht="31.15" customHeight="1" x14ac:dyDescent="0.25">
      <c r="A31" s="147"/>
      <c r="B31" s="150"/>
      <c r="C31" s="146" t="s">
        <v>24</v>
      </c>
      <c r="D31" s="160" t="s">
        <v>25</v>
      </c>
      <c r="E31" s="127">
        <v>1</v>
      </c>
      <c r="F31" s="152" t="s">
        <v>232</v>
      </c>
      <c r="G31" s="20" t="s">
        <v>56</v>
      </c>
      <c r="H31" s="68" t="s">
        <v>231</v>
      </c>
      <c r="I31" s="78" t="s">
        <v>269</v>
      </c>
      <c r="J31" s="78" t="s">
        <v>269</v>
      </c>
      <c r="K31" s="78" t="s">
        <v>269</v>
      </c>
      <c r="L31" s="78" t="s">
        <v>269</v>
      </c>
      <c r="M31" s="78" t="s">
        <v>269</v>
      </c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122">
        <f t="shared" ref="AC31:AV31" si="29">IF(AND(I31="",I32=""),"",COUNTIF(I31:I32,"v"))</f>
        <v>2</v>
      </c>
      <c r="AD31" s="122">
        <f t="shared" si="29"/>
        <v>2</v>
      </c>
      <c r="AE31" s="122">
        <f t="shared" si="29"/>
        <v>2</v>
      </c>
      <c r="AF31" s="122">
        <f t="shared" si="29"/>
        <v>2</v>
      </c>
      <c r="AG31" s="122">
        <f t="shared" si="29"/>
        <v>2</v>
      </c>
      <c r="AH31" s="122" t="str">
        <f t="shared" si="29"/>
        <v/>
      </c>
      <c r="AI31" s="122" t="str">
        <f t="shared" si="29"/>
        <v/>
      </c>
      <c r="AJ31" s="122" t="str">
        <f t="shared" si="29"/>
        <v/>
      </c>
      <c r="AK31" s="122" t="str">
        <f t="shared" si="29"/>
        <v/>
      </c>
      <c r="AL31" s="122" t="str">
        <f t="shared" si="29"/>
        <v/>
      </c>
      <c r="AM31" s="122" t="str">
        <f t="shared" si="29"/>
        <v/>
      </c>
      <c r="AN31" s="122" t="str">
        <f t="shared" si="29"/>
        <v/>
      </c>
      <c r="AO31" s="122" t="str">
        <f t="shared" si="29"/>
        <v/>
      </c>
      <c r="AP31" s="122" t="str">
        <f t="shared" si="29"/>
        <v/>
      </c>
      <c r="AQ31" s="122" t="str">
        <f t="shared" si="29"/>
        <v/>
      </c>
      <c r="AR31" s="122" t="str">
        <f t="shared" si="29"/>
        <v/>
      </c>
      <c r="AS31" s="122" t="str">
        <f t="shared" si="29"/>
        <v/>
      </c>
      <c r="AT31" s="122" t="str">
        <f t="shared" si="29"/>
        <v/>
      </c>
      <c r="AU31" s="122" t="str">
        <f t="shared" si="29"/>
        <v/>
      </c>
      <c r="AV31" s="122" t="str">
        <f t="shared" si="29"/>
        <v/>
      </c>
      <c r="AW31" s="121" t="str">
        <f>IF(AC31="","",IF(AC31=0,"Ditolak",IF(AC31=1,"Diperbaiki","Digunakan")))</f>
        <v>Digunakan</v>
      </c>
      <c r="AX31" s="121" t="str">
        <f t="shared" ref="AX31:BP31" si="30">IF(AD31="","",IF(AD31=0,"Ditolak",IF(AND(AD31&gt;=1,AD31&lt;2),"Diperbaiki","Digunakan")))</f>
        <v>Digunakan</v>
      </c>
      <c r="AY31" s="121" t="str">
        <f t="shared" si="30"/>
        <v>Digunakan</v>
      </c>
      <c r="AZ31" s="121" t="str">
        <f t="shared" si="30"/>
        <v>Digunakan</v>
      </c>
      <c r="BA31" s="121" t="str">
        <f t="shared" si="30"/>
        <v>Digunakan</v>
      </c>
      <c r="BB31" s="121" t="str">
        <f t="shared" si="30"/>
        <v/>
      </c>
      <c r="BC31" s="121" t="str">
        <f t="shared" si="30"/>
        <v/>
      </c>
      <c r="BD31" s="121" t="str">
        <f t="shared" si="30"/>
        <v/>
      </c>
      <c r="BE31" s="121" t="str">
        <f t="shared" si="30"/>
        <v/>
      </c>
      <c r="BF31" s="121" t="str">
        <f t="shared" si="30"/>
        <v/>
      </c>
      <c r="BG31" s="121" t="str">
        <f t="shared" si="30"/>
        <v/>
      </c>
      <c r="BH31" s="121" t="str">
        <f t="shared" si="30"/>
        <v/>
      </c>
      <c r="BI31" s="121" t="str">
        <f t="shared" si="30"/>
        <v/>
      </c>
      <c r="BJ31" s="121" t="str">
        <f t="shared" si="30"/>
        <v/>
      </c>
      <c r="BK31" s="121" t="str">
        <f t="shared" si="30"/>
        <v/>
      </c>
      <c r="BL31" s="121" t="str">
        <f t="shared" si="30"/>
        <v/>
      </c>
      <c r="BM31" s="121" t="str">
        <f t="shared" si="30"/>
        <v/>
      </c>
      <c r="BN31" s="121" t="str">
        <f t="shared" si="30"/>
        <v/>
      </c>
      <c r="BO31" s="121" t="str">
        <f t="shared" si="30"/>
        <v/>
      </c>
      <c r="BP31" s="121" t="str">
        <f t="shared" si="30"/>
        <v/>
      </c>
      <c r="BQ31" s="140" t="str">
        <f t="shared" ref="BQ31:CJ31" si="31">IF(COUNTIF(AW31:AW42,"Diperbaiki")&gt;=1,"bahasa","")</f>
        <v/>
      </c>
      <c r="BR31" s="140" t="str">
        <f t="shared" si="31"/>
        <v/>
      </c>
      <c r="BS31" s="140" t="str">
        <f t="shared" si="31"/>
        <v/>
      </c>
      <c r="BT31" s="140" t="str">
        <f t="shared" si="31"/>
        <v/>
      </c>
      <c r="BU31" s="140" t="str">
        <f t="shared" si="31"/>
        <v/>
      </c>
      <c r="BV31" s="140" t="str">
        <f t="shared" si="31"/>
        <v/>
      </c>
      <c r="BW31" s="140" t="str">
        <f t="shared" si="31"/>
        <v/>
      </c>
      <c r="BX31" s="140" t="str">
        <f t="shared" si="31"/>
        <v/>
      </c>
      <c r="BY31" s="140" t="str">
        <f t="shared" si="31"/>
        <v/>
      </c>
      <c r="BZ31" s="140" t="str">
        <f t="shared" si="31"/>
        <v/>
      </c>
      <c r="CA31" s="140" t="str">
        <f t="shared" si="31"/>
        <v/>
      </c>
      <c r="CB31" s="140" t="str">
        <f t="shared" si="31"/>
        <v/>
      </c>
      <c r="CC31" s="140" t="str">
        <f t="shared" si="31"/>
        <v/>
      </c>
      <c r="CD31" s="140" t="str">
        <f t="shared" si="31"/>
        <v/>
      </c>
      <c r="CE31" s="140" t="str">
        <f t="shared" si="31"/>
        <v/>
      </c>
      <c r="CF31" s="140" t="str">
        <f t="shared" si="31"/>
        <v/>
      </c>
      <c r="CG31" s="140" t="str">
        <f t="shared" si="31"/>
        <v/>
      </c>
      <c r="CH31" s="140" t="str">
        <f t="shared" si="31"/>
        <v/>
      </c>
      <c r="CI31" s="140" t="str">
        <f t="shared" si="31"/>
        <v/>
      </c>
      <c r="CJ31" s="140" t="str">
        <f t="shared" si="31"/>
        <v/>
      </c>
      <c r="CK31" s="137" t="str">
        <f t="shared" ref="CK31:DD31" si="32">IF(BQ31="","",",")</f>
        <v/>
      </c>
      <c r="CL31" s="137" t="str">
        <f t="shared" si="32"/>
        <v/>
      </c>
      <c r="CM31" s="137" t="str">
        <f t="shared" si="32"/>
        <v/>
      </c>
      <c r="CN31" s="137" t="str">
        <f t="shared" si="32"/>
        <v/>
      </c>
      <c r="CO31" s="137" t="str">
        <f t="shared" si="32"/>
        <v/>
      </c>
      <c r="CP31" s="137" t="str">
        <f t="shared" si="32"/>
        <v/>
      </c>
      <c r="CQ31" s="137" t="str">
        <f t="shared" si="32"/>
        <v/>
      </c>
      <c r="CR31" s="137" t="str">
        <f t="shared" si="32"/>
        <v/>
      </c>
      <c r="CS31" s="137" t="str">
        <f t="shared" si="32"/>
        <v/>
      </c>
      <c r="CT31" s="137" t="str">
        <f t="shared" si="32"/>
        <v/>
      </c>
      <c r="CU31" s="137" t="str">
        <f t="shared" si="32"/>
        <v/>
      </c>
      <c r="CV31" s="137" t="str">
        <f t="shared" si="32"/>
        <v/>
      </c>
      <c r="CW31" s="137" t="str">
        <f t="shared" si="32"/>
        <v/>
      </c>
      <c r="CX31" s="137" t="str">
        <f t="shared" si="32"/>
        <v/>
      </c>
      <c r="CY31" s="137" t="str">
        <f t="shared" si="32"/>
        <v/>
      </c>
      <c r="CZ31" s="137" t="str">
        <f t="shared" si="32"/>
        <v/>
      </c>
      <c r="DA31" s="137" t="str">
        <f t="shared" si="32"/>
        <v/>
      </c>
      <c r="DB31" s="137" t="str">
        <f t="shared" si="32"/>
        <v/>
      </c>
      <c r="DC31" s="137" t="str">
        <f t="shared" si="32"/>
        <v/>
      </c>
      <c r="DD31" s="137" t="str">
        <f t="shared" si="32"/>
        <v/>
      </c>
      <c r="DE31" s="117"/>
      <c r="DF31" s="117"/>
      <c r="DG31" s="117"/>
      <c r="DH31" s="117"/>
      <c r="DI31" s="117"/>
      <c r="DJ31" s="117"/>
      <c r="DK31" s="117"/>
      <c r="DL31" s="117"/>
      <c r="DM31" s="117"/>
      <c r="DN31" s="117"/>
      <c r="DO31" s="117"/>
      <c r="DP31" s="117"/>
      <c r="DQ31" s="117"/>
      <c r="DR31" s="117"/>
      <c r="DS31" s="117"/>
      <c r="DT31" s="117"/>
      <c r="DU31" s="117"/>
      <c r="DV31" s="117"/>
      <c r="DW31" s="117"/>
      <c r="DX31" s="117"/>
      <c r="DY31" s="114"/>
      <c r="DZ31" s="114"/>
      <c r="EA31" s="114"/>
      <c r="EB31" s="114"/>
      <c r="EC31" s="114"/>
      <c r="ED31" s="114"/>
      <c r="EE31" s="114"/>
      <c r="EF31" s="114"/>
      <c r="EG31" s="114"/>
      <c r="EH31" s="114"/>
      <c r="EI31" s="114"/>
      <c r="EJ31" s="114"/>
      <c r="EK31" s="114"/>
      <c r="EL31" s="114"/>
      <c r="EM31" s="114"/>
      <c r="EN31" s="114"/>
      <c r="EO31" s="114"/>
      <c r="EP31" s="114"/>
      <c r="EQ31" s="114"/>
      <c r="ER31" s="114"/>
    </row>
    <row r="32" spans="1:148" ht="31.5" x14ac:dyDescent="0.25">
      <c r="A32" s="147"/>
      <c r="B32" s="150"/>
      <c r="C32" s="147"/>
      <c r="D32" s="161"/>
      <c r="E32" s="127"/>
      <c r="F32" s="153"/>
      <c r="G32" s="20" t="s">
        <v>56</v>
      </c>
      <c r="H32" s="23" t="s">
        <v>233</v>
      </c>
      <c r="I32" s="78" t="s">
        <v>269</v>
      </c>
      <c r="J32" s="78" t="s">
        <v>269</v>
      </c>
      <c r="K32" s="78" t="s">
        <v>269</v>
      </c>
      <c r="L32" s="78" t="s">
        <v>269</v>
      </c>
      <c r="M32" s="78" t="s">
        <v>269</v>
      </c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41"/>
      <c r="BR32" s="141"/>
      <c r="BS32" s="141"/>
      <c r="BT32" s="141"/>
      <c r="BU32" s="141"/>
      <c r="BV32" s="141"/>
      <c r="BW32" s="141"/>
      <c r="BX32" s="141"/>
      <c r="BY32" s="141"/>
      <c r="BZ32" s="141"/>
      <c r="CA32" s="141"/>
      <c r="CB32" s="141"/>
      <c r="CC32" s="141"/>
      <c r="CD32" s="141"/>
      <c r="CE32" s="141"/>
      <c r="CF32" s="141"/>
      <c r="CG32" s="141"/>
      <c r="CH32" s="141"/>
      <c r="CI32" s="141"/>
      <c r="CJ32" s="141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17"/>
      <c r="DF32" s="117"/>
      <c r="DG32" s="117"/>
      <c r="DH32" s="117"/>
      <c r="DI32" s="117"/>
      <c r="DJ32" s="117"/>
      <c r="DK32" s="117"/>
      <c r="DL32" s="117"/>
      <c r="DM32" s="117"/>
      <c r="DN32" s="117"/>
      <c r="DO32" s="117"/>
      <c r="DP32" s="117"/>
      <c r="DQ32" s="117"/>
      <c r="DR32" s="117"/>
      <c r="DS32" s="117"/>
      <c r="DT32" s="117"/>
      <c r="DU32" s="117"/>
      <c r="DV32" s="117"/>
      <c r="DW32" s="117"/>
      <c r="DX32" s="117"/>
      <c r="DY32" s="114"/>
      <c r="DZ32" s="114"/>
      <c r="EA32" s="114"/>
      <c r="EB32" s="114"/>
      <c r="EC32" s="114"/>
      <c r="ED32" s="114"/>
      <c r="EE32" s="114"/>
      <c r="EF32" s="114"/>
      <c r="EG32" s="114"/>
      <c r="EH32" s="114"/>
      <c r="EI32" s="114"/>
      <c r="EJ32" s="114"/>
      <c r="EK32" s="114"/>
      <c r="EL32" s="114"/>
      <c r="EM32" s="114"/>
      <c r="EN32" s="114"/>
      <c r="EO32" s="114"/>
      <c r="EP32" s="114"/>
      <c r="EQ32" s="114"/>
      <c r="ER32" s="114"/>
    </row>
    <row r="33" spans="1:148" ht="33" customHeight="1" x14ac:dyDescent="0.25">
      <c r="A33" s="147"/>
      <c r="B33" s="150"/>
      <c r="C33" s="147"/>
      <c r="D33" s="161"/>
      <c r="E33" s="127">
        <v>2</v>
      </c>
      <c r="F33" s="152" t="s">
        <v>234</v>
      </c>
      <c r="G33" s="20" t="s">
        <v>56</v>
      </c>
      <c r="H33" s="23" t="s">
        <v>238</v>
      </c>
      <c r="I33" s="78" t="s">
        <v>269</v>
      </c>
      <c r="J33" s="78" t="s">
        <v>269</v>
      </c>
      <c r="K33" s="78" t="s">
        <v>269</v>
      </c>
      <c r="L33" s="78" t="s">
        <v>269</v>
      </c>
      <c r="M33" s="78" t="s">
        <v>269</v>
      </c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122">
        <f t="shared" ref="AC33:AV33" si="33">IF(AND(I33="",I34=""),"",COUNTIF(I33:I34,"v"))</f>
        <v>2</v>
      </c>
      <c r="AD33" s="122">
        <f t="shared" si="33"/>
        <v>2</v>
      </c>
      <c r="AE33" s="122">
        <f t="shared" si="33"/>
        <v>2</v>
      </c>
      <c r="AF33" s="122">
        <f t="shared" si="33"/>
        <v>2</v>
      </c>
      <c r="AG33" s="122">
        <f t="shared" si="33"/>
        <v>2</v>
      </c>
      <c r="AH33" s="122" t="str">
        <f t="shared" si="33"/>
        <v/>
      </c>
      <c r="AI33" s="122" t="str">
        <f t="shared" si="33"/>
        <v/>
      </c>
      <c r="AJ33" s="122" t="str">
        <f t="shared" si="33"/>
        <v/>
      </c>
      <c r="AK33" s="122" t="str">
        <f t="shared" si="33"/>
        <v/>
      </c>
      <c r="AL33" s="122" t="str">
        <f t="shared" si="33"/>
        <v/>
      </c>
      <c r="AM33" s="122" t="str">
        <f t="shared" si="33"/>
        <v/>
      </c>
      <c r="AN33" s="122" t="str">
        <f t="shared" si="33"/>
        <v/>
      </c>
      <c r="AO33" s="122" t="str">
        <f t="shared" si="33"/>
        <v/>
      </c>
      <c r="AP33" s="122" t="str">
        <f t="shared" si="33"/>
        <v/>
      </c>
      <c r="AQ33" s="122" t="str">
        <f t="shared" si="33"/>
        <v/>
      </c>
      <c r="AR33" s="122" t="str">
        <f t="shared" si="33"/>
        <v/>
      </c>
      <c r="AS33" s="122" t="str">
        <f t="shared" si="33"/>
        <v/>
      </c>
      <c r="AT33" s="122" t="str">
        <f t="shared" si="33"/>
        <v/>
      </c>
      <c r="AU33" s="122" t="str">
        <f t="shared" si="33"/>
        <v/>
      </c>
      <c r="AV33" s="122" t="str">
        <f t="shared" si="33"/>
        <v/>
      </c>
      <c r="AW33" s="121" t="str">
        <f>IF(AC33="","",IF(AC33=0,"Ditolak",IF(AC33=1,"Diperbaiki","Digunakan")))</f>
        <v>Digunakan</v>
      </c>
      <c r="AX33" s="121" t="str">
        <f t="shared" ref="AX33:BP33" si="34">IF(AD33="","",IF(AD33=0,"Ditolak",IF(AND(AD33&gt;=1,AD33&lt;2),"Diperbaiki","Digunakan")))</f>
        <v>Digunakan</v>
      </c>
      <c r="AY33" s="121" t="str">
        <f t="shared" si="34"/>
        <v>Digunakan</v>
      </c>
      <c r="AZ33" s="121" t="str">
        <f t="shared" si="34"/>
        <v>Digunakan</v>
      </c>
      <c r="BA33" s="121" t="str">
        <f t="shared" si="34"/>
        <v>Digunakan</v>
      </c>
      <c r="BB33" s="121" t="str">
        <f t="shared" si="34"/>
        <v/>
      </c>
      <c r="BC33" s="121" t="str">
        <f t="shared" si="34"/>
        <v/>
      </c>
      <c r="BD33" s="121" t="str">
        <f t="shared" si="34"/>
        <v/>
      </c>
      <c r="BE33" s="121" t="str">
        <f t="shared" si="34"/>
        <v/>
      </c>
      <c r="BF33" s="121" t="str">
        <f t="shared" si="34"/>
        <v/>
      </c>
      <c r="BG33" s="121" t="str">
        <f t="shared" si="34"/>
        <v/>
      </c>
      <c r="BH33" s="121" t="str">
        <f t="shared" si="34"/>
        <v/>
      </c>
      <c r="BI33" s="121" t="str">
        <f t="shared" si="34"/>
        <v/>
      </c>
      <c r="BJ33" s="121" t="str">
        <f t="shared" si="34"/>
        <v/>
      </c>
      <c r="BK33" s="121" t="str">
        <f t="shared" si="34"/>
        <v/>
      </c>
      <c r="BL33" s="121" t="str">
        <f t="shared" si="34"/>
        <v/>
      </c>
      <c r="BM33" s="121" t="str">
        <f t="shared" si="34"/>
        <v/>
      </c>
      <c r="BN33" s="121" t="str">
        <f t="shared" si="34"/>
        <v/>
      </c>
      <c r="BO33" s="121" t="str">
        <f t="shared" si="34"/>
        <v/>
      </c>
      <c r="BP33" s="121" t="str">
        <f t="shared" si="34"/>
        <v/>
      </c>
      <c r="BQ33" s="141"/>
      <c r="BR33" s="141"/>
      <c r="BS33" s="141"/>
      <c r="BT33" s="141"/>
      <c r="BU33" s="141"/>
      <c r="BV33" s="141"/>
      <c r="BW33" s="141"/>
      <c r="BX33" s="141"/>
      <c r="BY33" s="141"/>
      <c r="BZ33" s="141"/>
      <c r="CA33" s="141"/>
      <c r="CB33" s="141"/>
      <c r="CC33" s="141"/>
      <c r="CD33" s="141"/>
      <c r="CE33" s="141"/>
      <c r="CF33" s="141"/>
      <c r="CG33" s="141"/>
      <c r="CH33" s="141"/>
      <c r="CI33" s="141"/>
      <c r="CJ33" s="141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17"/>
      <c r="DF33" s="117"/>
      <c r="DG33" s="117"/>
      <c r="DH33" s="117"/>
      <c r="DI33" s="117"/>
      <c r="DJ33" s="117"/>
      <c r="DK33" s="117"/>
      <c r="DL33" s="117"/>
      <c r="DM33" s="117"/>
      <c r="DN33" s="117"/>
      <c r="DO33" s="117"/>
      <c r="DP33" s="117"/>
      <c r="DQ33" s="117"/>
      <c r="DR33" s="117"/>
      <c r="DS33" s="117"/>
      <c r="DT33" s="117"/>
      <c r="DU33" s="117"/>
      <c r="DV33" s="117"/>
      <c r="DW33" s="117"/>
      <c r="DX33" s="117"/>
      <c r="DY33" s="114"/>
      <c r="DZ33" s="114"/>
      <c r="EA33" s="114"/>
      <c r="EB33" s="114"/>
      <c r="EC33" s="114"/>
      <c r="ED33" s="114"/>
      <c r="EE33" s="114"/>
      <c r="EF33" s="114"/>
      <c r="EG33" s="114"/>
      <c r="EH33" s="114"/>
      <c r="EI33" s="114"/>
      <c r="EJ33" s="114"/>
      <c r="EK33" s="114"/>
      <c r="EL33" s="114"/>
      <c r="EM33" s="114"/>
      <c r="EN33" s="114"/>
      <c r="EO33" s="114"/>
      <c r="EP33" s="114"/>
      <c r="EQ33" s="114"/>
      <c r="ER33" s="114"/>
    </row>
    <row r="34" spans="1:148" ht="31.5" x14ac:dyDescent="0.25">
      <c r="A34" s="147"/>
      <c r="B34" s="150"/>
      <c r="C34" s="147"/>
      <c r="D34" s="161"/>
      <c r="E34" s="127"/>
      <c r="F34" s="153"/>
      <c r="G34" s="20" t="s">
        <v>56</v>
      </c>
      <c r="H34" s="23" t="s">
        <v>239</v>
      </c>
      <c r="I34" s="78" t="s">
        <v>269</v>
      </c>
      <c r="J34" s="78" t="s">
        <v>269</v>
      </c>
      <c r="K34" s="78" t="s">
        <v>269</v>
      </c>
      <c r="L34" s="78" t="s">
        <v>269</v>
      </c>
      <c r="M34" s="78" t="s">
        <v>269</v>
      </c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41"/>
      <c r="BR34" s="141"/>
      <c r="BS34" s="141"/>
      <c r="BT34" s="141"/>
      <c r="BU34" s="141"/>
      <c r="BV34" s="141"/>
      <c r="BW34" s="141"/>
      <c r="BX34" s="141"/>
      <c r="BY34" s="141"/>
      <c r="BZ34" s="141"/>
      <c r="CA34" s="141"/>
      <c r="CB34" s="141"/>
      <c r="CC34" s="141"/>
      <c r="CD34" s="141"/>
      <c r="CE34" s="141"/>
      <c r="CF34" s="141"/>
      <c r="CG34" s="141"/>
      <c r="CH34" s="141"/>
      <c r="CI34" s="141"/>
      <c r="CJ34" s="141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17"/>
      <c r="DF34" s="117"/>
      <c r="DG34" s="117"/>
      <c r="DH34" s="117"/>
      <c r="DI34" s="117"/>
      <c r="DJ34" s="117"/>
      <c r="DK34" s="117"/>
      <c r="DL34" s="117"/>
      <c r="DM34" s="117"/>
      <c r="DN34" s="117"/>
      <c r="DO34" s="117"/>
      <c r="DP34" s="117"/>
      <c r="DQ34" s="117"/>
      <c r="DR34" s="117"/>
      <c r="DS34" s="117"/>
      <c r="DT34" s="117"/>
      <c r="DU34" s="117"/>
      <c r="DV34" s="117"/>
      <c r="DW34" s="117"/>
      <c r="DX34" s="117"/>
      <c r="DY34" s="114"/>
      <c r="DZ34" s="114"/>
      <c r="EA34" s="114"/>
      <c r="EB34" s="114"/>
      <c r="EC34" s="114"/>
      <c r="ED34" s="114"/>
      <c r="EE34" s="114"/>
      <c r="EF34" s="114"/>
      <c r="EG34" s="114"/>
      <c r="EH34" s="114"/>
      <c r="EI34" s="114"/>
      <c r="EJ34" s="114"/>
      <c r="EK34" s="114"/>
      <c r="EL34" s="114"/>
      <c r="EM34" s="114"/>
      <c r="EN34" s="114"/>
      <c r="EO34" s="114"/>
      <c r="EP34" s="114"/>
      <c r="EQ34" s="114"/>
      <c r="ER34" s="114"/>
    </row>
    <row r="35" spans="1:148" ht="31.15" customHeight="1" x14ac:dyDescent="0.25">
      <c r="A35" s="147"/>
      <c r="B35" s="150"/>
      <c r="C35" s="147"/>
      <c r="D35" s="161"/>
      <c r="E35" s="127">
        <v>3</v>
      </c>
      <c r="F35" s="152" t="s">
        <v>236</v>
      </c>
      <c r="G35" s="20" t="s">
        <v>56</v>
      </c>
      <c r="H35" s="23" t="s">
        <v>240</v>
      </c>
      <c r="I35" s="78" t="s">
        <v>269</v>
      </c>
      <c r="J35" s="78" t="s">
        <v>269</v>
      </c>
      <c r="K35" s="78" t="s">
        <v>269</v>
      </c>
      <c r="L35" s="78" t="s">
        <v>269</v>
      </c>
      <c r="M35" s="78" t="s">
        <v>269</v>
      </c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122">
        <f t="shared" ref="AC35:AV35" si="35">IF(AND(I35="",I36=""),"",COUNTIF(I35:I36,"v"))</f>
        <v>2</v>
      </c>
      <c r="AD35" s="122">
        <f t="shared" si="35"/>
        <v>2</v>
      </c>
      <c r="AE35" s="122">
        <f t="shared" si="35"/>
        <v>2</v>
      </c>
      <c r="AF35" s="122">
        <f t="shared" si="35"/>
        <v>2</v>
      </c>
      <c r="AG35" s="122">
        <f t="shared" si="35"/>
        <v>2</v>
      </c>
      <c r="AH35" s="122" t="str">
        <f t="shared" si="35"/>
        <v/>
      </c>
      <c r="AI35" s="122" t="str">
        <f t="shared" si="35"/>
        <v/>
      </c>
      <c r="AJ35" s="122" t="str">
        <f t="shared" si="35"/>
        <v/>
      </c>
      <c r="AK35" s="122" t="str">
        <f t="shared" si="35"/>
        <v/>
      </c>
      <c r="AL35" s="122" t="str">
        <f t="shared" si="35"/>
        <v/>
      </c>
      <c r="AM35" s="122" t="str">
        <f t="shared" si="35"/>
        <v/>
      </c>
      <c r="AN35" s="122" t="str">
        <f t="shared" si="35"/>
        <v/>
      </c>
      <c r="AO35" s="122" t="str">
        <f t="shared" si="35"/>
        <v/>
      </c>
      <c r="AP35" s="122" t="str">
        <f t="shared" si="35"/>
        <v/>
      </c>
      <c r="AQ35" s="122" t="str">
        <f t="shared" si="35"/>
        <v/>
      </c>
      <c r="AR35" s="122" t="str">
        <f t="shared" si="35"/>
        <v/>
      </c>
      <c r="AS35" s="122" t="str">
        <f t="shared" si="35"/>
        <v/>
      </c>
      <c r="AT35" s="122" t="str">
        <f t="shared" si="35"/>
        <v/>
      </c>
      <c r="AU35" s="122" t="str">
        <f t="shared" si="35"/>
        <v/>
      </c>
      <c r="AV35" s="122" t="str">
        <f t="shared" si="35"/>
        <v/>
      </c>
      <c r="AW35" s="121" t="str">
        <f>IF(AC35="","",IF(AC35=0,"Ditolak",IF(AC35=1,"Diperbaiki","Digunakan")))</f>
        <v>Digunakan</v>
      </c>
      <c r="AX35" s="121" t="str">
        <f t="shared" ref="AX35:BP35" si="36">IF(AD35="","",IF(AD35=0,"Ditolak",IF(AND(AD35&gt;=1,AD35&lt;2),"Diperbaiki","Digunakan")))</f>
        <v>Digunakan</v>
      </c>
      <c r="AY35" s="121" t="str">
        <f t="shared" si="36"/>
        <v>Digunakan</v>
      </c>
      <c r="AZ35" s="121" t="str">
        <f t="shared" si="36"/>
        <v>Digunakan</v>
      </c>
      <c r="BA35" s="121" t="str">
        <f t="shared" si="36"/>
        <v>Digunakan</v>
      </c>
      <c r="BB35" s="121" t="str">
        <f t="shared" si="36"/>
        <v/>
      </c>
      <c r="BC35" s="121" t="str">
        <f t="shared" si="36"/>
        <v/>
      </c>
      <c r="BD35" s="121" t="str">
        <f t="shared" si="36"/>
        <v/>
      </c>
      <c r="BE35" s="121" t="str">
        <f t="shared" si="36"/>
        <v/>
      </c>
      <c r="BF35" s="121" t="str">
        <f t="shared" si="36"/>
        <v/>
      </c>
      <c r="BG35" s="121" t="str">
        <f t="shared" si="36"/>
        <v/>
      </c>
      <c r="BH35" s="121" t="str">
        <f t="shared" si="36"/>
        <v/>
      </c>
      <c r="BI35" s="121" t="str">
        <f t="shared" si="36"/>
        <v/>
      </c>
      <c r="BJ35" s="121" t="str">
        <f t="shared" si="36"/>
        <v/>
      </c>
      <c r="BK35" s="121" t="str">
        <f t="shared" si="36"/>
        <v/>
      </c>
      <c r="BL35" s="121" t="str">
        <f t="shared" si="36"/>
        <v/>
      </c>
      <c r="BM35" s="121" t="str">
        <f t="shared" si="36"/>
        <v/>
      </c>
      <c r="BN35" s="121" t="str">
        <f t="shared" si="36"/>
        <v/>
      </c>
      <c r="BO35" s="121" t="str">
        <f t="shared" si="36"/>
        <v/>
      </c>
      <c r="BP35" s="121" t="str">
        <f t="shared" si="36"/>
        <v/>
      </c>
      <c r="BQ35" s="141"/>
      <c r="BR35" s="141"/>
      <c r="BS35" s="141"/>
      <c r="BT35" s="141"/>
      <c r="BU35" s="141"/>
      <c r="BV35" s="141"/>
      <c r="BW35" s="141"/>
      <c r="BX35" s="141"/>
      <c r="BY35" s="141"/>
      <c r="BZ35" s="141"/>
      <c r="CA35" s="141"/>
      <c r="CB35" s="141"/>
      <c r="CC35" s="141"/>
      <c r="CD35" s="141"/>
      <c r="CE35" s="141"/>
      <c r="CF35" s="141"/>
      <c r="CG35" s="141"/>
      <c r="CH35" s="141"/>
      <c r="CI35" s="141"/>
      <c r="CJ35" s="141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17"/>
      <c r="DF35" s="117"/>
      <c r="DG35" s="117"/>
      <c r="DH35" s="117"/>
      <c r="DI35" s="117"/>
      <c r="DJ35" s="117"/>
      <c r="DK35" s="117"/>
      <c r="DL35" s="117"/>
      <c r="DM35" s="117"/>
      <c r="DN35" s="117"/>
      <c r="DO35" s="117"/>
      <c r="DP35" s="117"/>
      <c r="DQ35" s="117"/>
      <c r="DR35" s="117"/>
      <c r="DS35" s="117"/>
      <c r="DT35" s="117"/>
      <c r="DU35" s="117"/>
      <c r="DV35" s="117"/>
      <c r="DW35" s="117"/>
      <c r="DX35" s="117"/>
      <c r="DY35" s="114"/>
      <c r="DZ35" s="114"/>
      <c r="EA35" s="114"/>
      <c r="EB35" s="114"/>
      <c r="EC35" s="114"/>
      <c r="ED35" s="114"/>
      <c r="EE35" s="114"/>
      <c r="EF35" s="114"/>
      <c r="EG35" s="114"/>
      <c r="EH35" s="114"/>
      <c r="EI35" s="114"/>
      <c r="EJ35" s="114"/>
      <c r="EK35" s="114"/>
      <c r="EL35" s="114"/>
      <c r="EM35" s="114"/>
      <c r="EN35" s="114"/>
      <c r="EO35" s="114"/>
      <c r="EP35" s="114"/>
      <c r="EQ35" s="114"/>
      <c r="ER35" s="114"/>
    </row>
    <row r="36" spans="1:148" ht="33" customHeight="1" x14ac:dyDescent="0.25">
      <c r="A36" s="147"/>
      <c r="B36" s="150"/>
      <c r="C36" s="147"/>
      <c r="D36" s="161"/>
      <c r="E36" s="127"/>
      <c r="F36" s="153"/>
      <c r="G36" s="20" t="s">
        <v>56</v>
      </c>
      <c r="H36" s="23" t="s">
        <v>241</v>
      </c>
      <c r="I36" s="78" t="s">
        <v>269</v>
      </c>
      <c r="J36" s="78" t="s">
        <v>269</v>
      </c>
      <c r="K36" s="78" t="s">
        <v>269</v>
      </c>
      <c r="L36" s="78" t="s">
        <v>269</v>
      </c>
      <c r="M36" s="78" t="s">
        <v>269</v>
      </c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41"/>
      <c r="BR36" s="141"/>
      <c r="BS36" s="141"/>
      <c r="BT36" s="141"/>
      <c r="BU36" s="141"/>
      <c r="BV36" s="141"/>
      <c r="BW36" s="141"/>
      <c r="BX36" s="141"/>
      <c r="BY36" s="141"/>
      <c r="BZ36" s="141"/>
      <c r="CA36" s="141"/>
      <c r="CB36" s="141"/>
      <c r="CC36" s="141"/>
      <c r="CD36" s="141"/>
      <c r="CE36" s="141"/>
      <c r="CF36" s="141"/>
      <c r="CG36" s="141"/>
      <c r="CH36" s="141"/>
      <c r="CI36" s="141"/>
      <c r="CJ36" s="141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17"/>
      <c r="DF36" s="117"/>
      <c r="DG36" s="117"/>
      <c r="DH36" s="117"/>
      <c r="DI36" s="117"/>
      <c r="DJ36" s="117"/>
      <c r="DK36" s="117"/>
      <c r="DL36" s="117"/>
      <c r="DM36" s="117"/>
      <c r="DN36" s="117"/>
      <c r="DO36" s="117"/>
      <c r="DP36" s="117"/>
      <c r="DQ36" s="117"/>
      <c r="DR36" s="117"/>
      <c r="DS36" s="117"/>
      <c r="DT36" s="117"/>
      <c r="DU36" s="117"/>
      <c r="DV36" s="117"/>
      <c r="DW36" s="117"/>
      <c r="DX36" s="117"/>
      <c r="DY36" s="114"/>
      <c r="DZ36" s="114"/>
      <c r="EA36" s="114"/>
      <c r="EB36" s="114"/>
      <c r="EC36" s="114"/>
      <c r="ED36" s="114"/>
      <c r="EE36" s="114"/>
      <c r="EF36" s="114"/>
      <c r="EG36" s="114"/>
      <c r="EH36" s="114"/>
      <c r="EI36" s="114"/>
      <c r="EJ36" s="114"/>
      <c r="EK36" s="114"/>
      <c r="EL36" s="114"/>
      <c r="EM36" s="114"/>
      <c r="EN36" s="114"/>
      <c r="EO36" s="114"/>
      <c r="EP36" s="114"/>
      <c r="EQ36" s="114"/>
      <c r="ER36" s="114"/>
    </row>
    <row r="37" spans="1:148" ht="31.15" customHeight="1" x14ac:dyDescent="0.25">
      <c r="A37" s="147"/>
      <c r="B37" s="150"/>
      <c r="C37" s="147"/>
      <c r="D37" s="161"/>
      <c r="E37" s="127">
        <v>4</v>
      </c>
      <c r="F37" s="152" t="s">
        <v>237</v>
      </c>
      <c r="G37" s="20" t="s">
        <v>56</v>
      </c>
      <c r="H37" s="68" t="s">
        <v>87</v>
      </c>
      <c r="I37" s="78" t="s">
        <v>269</v>
      </c>
      <c r="J37" s="78" t="s">
        <v>269</v>
      </c>
      <c r="K37" s="78" t="s">
        <v>269</v>
      </c>
      <c r="L37" s="78" t="s">
        <v>269</v>
      </c>
      <c r="M37" s="78" t="s">
        <v>269</v>
      </c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122">
        <f t="shared" ref="AC37:AV37" si="37">IF(AND(I37="",I38=""),"",COUNTIF(I37:I38,"v"))</f>
        <v>2</v>
      </c>
      <c r="AD37" s="122">
        <f t="shared" si="37"/>
        <v>2</v>
      </c>
      <c r="AE37" s="122">
        <f t="shared" si="37"/>
        <v>2</v>
      </c>
      <c r="AF37" s="122">
        <f t="shared" si="37"/>
        <v>2</v>
      </c>
      <c r="AG37" s="122">
        <f t="shared" si="37"/>
        <v>2</v>
      </c>
      <c r="AH37" s="122" t="str">
        <f t="shared" si="37"/>
        <v/>
      </c>
      <c r="AI37" s="122" t="str">
        <f t="shared" si="37"/>
        <v/>
      </c>
      <c r="AJ37" s="122" t="str">
        <f t="shared" si="37"/>
        <v/>
      </c>
      <c r="AK37" s="122" t="str">
        <f t="shared" si="37"/>
        <v/>
      </c>
      <c r="AL37" s="122" t="str">
        <f t="shared" si="37"/>
        <v/>
      </c>
      <c r="AM37" s="122" t="str">
        <f t="shared" si="37"/>
        <v/>
      </c>
      <c r="AN37" s="122" t="str">
        <f t="shared" si="37"/>
        <v/>
      </c>
      <c r="AO37" s="122" t="str">
        <f t="shared" si="37"/>
        <v/>
      </c>
      <c r="AP37" s="122" t="str">
        <f t="shared" si="37"/>
        <v/>
      </c>
      <c r="AQ37" s="122" t="str">
        <f t="shared" si="37"/>
        <v/>
      </c>
      <c r="AR37" s="122" t="str">
        <f t="shared" si="37"/>
        <v/>
      </c>
      <c r="AS37" s="122" t="str">
        <f t="shared" si="37"/>
        <v/>
      </c>
      <c r="AT37" s="122" t="str">
        <f t="shared" si="37"/>
        <v/>
      </c>
      <c r="AU37" s="122" t="str">
        <f t="shared" si="37"/>
        <v/>
      </c>
      <c r="AV37" s="122" t="str">
        <f t="shared" si="37"/>
        <v/>
      </c>
      <c r="AW37" s="121" t="str">
        <f>IF(AC37="","",IF(AC37=0,"Ditolak",IF(AC37=1,"Diperbaiki","Digunakan")))</f>
        <v>Digunakan</v>
      </c>
      <c r="AX37" s="121" t="str">
        <f t="shared" ref="AX37:BP37" si="38">IF(AD37="","",IF(AD37=0,"Ditolak",IF(AND(AD37&gt;=1,AD37&lt;2),"Diperbaiki","Digunakan")))</f>
        <v>Digunakan</v>
      </c>
      <c r="AY37" s="121" t="str">
        <f t="shared" si="38"/>
        <v>Digunakan</v>
      </c>
      <c r="AZ37" s="121" t="str">
        <f t="shared" si="38"/>
        <v>Digunakan</v>
      </c>
      <c r="BA37" s="121" t="str">
        <f t="shared" si="38"/>
        <v>Digunakan</v>
      </c>
      <c r="BB37" s="121" t="str">
        <f t="shared" si="38"/>
        <v/>
      </c>
      <c r="BC37" s="121" t="str">
        <f t="shared" si="38"/>
        <v/>
      </c>
      <c r="BD37" s="121" t="str">
        <f t="shared" si="38"/>
        <v/>
      </c>
      <c r="BE37" s="121" t="str">
        <f t="shared" si="38"/>
        <v/>
      </c>
      <c r="BF37" s="121" t="str">
        <f t="shared" si="38"/>
        <v/>
      </c>
      <c r="BG37" s="121" t="str">
        <f t="shared" si="38"/>
        <v/>
      </c>
      <c r="BH37" s="121" t="str">
        <f t="shared" si="38"/>
        <v/>
      </c>
      <c r="BI37" s="121" t="str">
        <f t="shared" si="38"/>
        <v/>
      </c>
      <c r="BJ37" s="121" t="str">
        <f t="shared" si="38"/>
        <v/>
      </c>
      <c r="BK37" s="121" t="str">
        <f t="shared" si="38"/>
        <v/>
      </c>
      <c r="BL37" s="121" t="str">
        <f t="shared" si="38"/>
        <v/>
      </c>
      <c r="BM37" s="121" t="str">
        <f t="shared" si="38"/>
        <v/>
      </c>
      <c r="BN37" s="121" t="str">
        <f t="shared" si="38"/>
        <v/>
      </c>
      <c r="BO37" s="121" t="str">
        <f t="shared" si="38"/>
        <v/>
      </c>
      <c r="BP37" s="121" t="str">
        <f t="shared" si="38"/>
        <v/>
      </c>
      <c r="BQ37" s="141"/>
      <c r="BR37" s="141"/>
      <c r="BS37" s="141"/>
      <c r="BT37" s="141"/>
      <c r="BU37" s="141"/>
      <c r="BV37" s="141"/>
      <c r="BW37" s="141"/>
      <c r="BX37" s="141"/>
      <c r="BY37" s="141"/>
      <c r="BZ37" s="141"/>
      <c r="CA37" s="141"/>
      <c r="CB37" s="141"/>
      <c r="CC37" s="141"/>
      <c r="CD37" s="141"/>
      <c r="CE37" s="141"/>
      <c r="CF37" s="141"/>
      <c r="CG37" s="141"/>
      <c r="CH37" s="141"/>
      <c r="CI37" s="141"/>
      <c r="CJ37" s="141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17"/>
      <c r="DF37" s="117"/>
      <c r="DG37" s="117"/>
      <c r="DH37" s="117"/>
      <c r="DI37" s="117"/>
      <c r="DJ37" s="117"/>
      <c r="DK37" s="117"/>
      <c r="DL37" s="117"/>
      <c r="DM37" s="117"/>
      <c r="DN37" s="117"/>
      <c r="DO37" s="117"/>
      <c r="DP37" s="117"/>
      <c r="DQ37" s="117"/>
      <c r="DR37" s="117"/>
      <c r="DS37" s="117"/>
      <c r="DT37" s="117"/>
      <c r="DU37" s="117"/>
      <c r="DV37" s="117"/>
      <c r="DW37" s="117"/>
      <c r="DX37" s="117"/>
      <c r="DY37" s="114"/>
      <c r="DZ37" s="114"/>
      <c r="EA37" s="114"/>
      <c r="EB37" s="114"/>
      <c r="EC37" s="114"/>
      <c r="ED37" s="114"/>
      <c r="EE37" s="114"/>
      <c r="EF37" s="114"/>
      <c r="EG37" s="114"/>
      <c r="EH37" s="114"/>
      <c r="EI37" s="114"/>
      <c r="EJ37" s="114"/>
      <c r="EK37" s="114"/>
      <c r="EL37" s="114"/>
      <c r="EM37" s="114"/>
      <c r="EN37" s="114"/>
      <c r="EO37" s="114"/>
      <c r="EP37" s="114"/>
      <c r="EQ37" s="114"/>
      <c r="ER37" s="114"/>
    </row>
    <row r="38" spans="1:148" ht="47.25" x14ac:dyDescent="0.25">
      <c r="A38" s="147"/>
      <c r="B38" s="150"/>
      <c r="C38" s="147"/>
      <c r="D38" s="161"/>
      <c r="E38" s="127"/>
      <c r="F38" s="153"/>
      <c r="G38" s="20" t="s">
        <v>56</v>
      </c>
      <c r="H38" s="23" t="s">
        <v>86</v>
      </c>
      <c r="I38" s="78" t="s">
        <v>269</v>
      </c>
      <c r="J38" s="78" t="s">
        <v>269</v>
      </c>
      <c r="K38" s="78" t="s">
        <v>269</v>
      </c>
      <c r="L38" s="78" t="s">
        <v>269</v>
      </c>
      <c r="M38" s="78" t="s">
        <v>269</v>
      </c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41"/>
      <c r="BR38" s="141"/>
      <c r="BS38" s="141"/>
      <c r="BT38" s="141"/>
      <c r="BU38" s="141"/>
      <c r="BV38" s="141"/>
      <c r="BW38" s="141"/>
      <c r="BX38" s="141"/>
      <c r="BY38" s="141"/>
      <c r="BZ38" s="141"/>
      <c r="CA38" s="141"/>
      <c r="CB38" s="141"/>
      <c r="CC38" s="141"/>
      <c r="CD38" s="141"/>
      <c r="CE38" s="141"/>
      <c r="CF38" s="141"/>
      <c r="CG38" s="141"/>
      <c r="CH38" s="141"/>
      <c r="CI38" s="141"/>
      <c r="CJ38" s="141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17"/>
      <c r="DF38" s="117"/>
      <c r="DG38" s="117"/>
      <c r="DH38" s="117"/>
      <c r="DI38" s="117"/>
      <c r="DJ38" s="117"/>
      <c r="DK38" s="117"/>
      <c r="DL38" s="117"/>
      <c r="DM38" s="117"/>
      <c r="DN38" s="117"/>
      <c r="DO38" s="117"/>
      <c r="DP38" s="117"/>
      <c r="DQ38" s="117"/>
      <c r="DR38" s="117"/>
      <c r="DS38" s="117"/>
      <c r="DT38" s="117"/>
      <c r="DU38" s="117"/>
      <c r="DV38" s="117"/>
      <c r="DW38" s="117"/>
      <c r="DX38" s="117"/>
      <c r="DY38" s="114"/>
      <c r="DZ38" s="114"/>
      <c r="EA38" s="114"/>
      <c r="EB38" s="114"/>
      <c r="EC38" s="114"/>
      <c r="ED38" s="114"/>
      <c r="EE38" s="114"/>
      <c r="EF38" s="114"/>
      <c r="EG38" s="114"/>
      <c r="EH38" s="114"/>
      <c r="EI38" s="114"/>
      <c r="EJ38" s="114"/>
      <c r="EK38" s="114"/>
      <c r="EL38" s="114"/>
      <c r="EM38" s="114"/>
      <c r="EN38" s="114"/>
      <c r="EO38" s="114"/>
      <c r="EP38" s="114"/>
      <c r="EQ38" s="114"/>
      <c r="ER38" s="114"/>
    </row>
    <row r="39" spans="1:148" ht="31.15" customHeight="1" x14ac:dyDescent="0.25">
      <c r="A39" s="147"/>
      <c r="B39" s="150"/>
      <c r="C39" s="147"/>
      <c r="D39" s="161"/>
      <c r="E39" s="127">
        <v>5</v>
      </c>
      <c r="F39" s="152" t="s">
        <v>214</v>
      </c>
      <c r="G39" s="20" t="s">
        <v>56</v>
      </c>
      <c r="H39" s="23" t="s">
        <v>242</v>
      </c>
      <c r="I39" s="78" t="s">
        <v>269</v>
      </c>
      <c r="J39" s="78" t="s">
        <v>269</v>
      </c>
      <c r="K39" s="78" t="s">
        <v>269</v>
      </c>
      <c r="L39" s="78" t="s">
        <v>269</v>
      </c>
      <c r="M39" s="78" t="s">
        <v>269</v>
      </c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122">
        <f t="shared" ref="AC39:AV39" si="39">IF(AND(I39="",I40=""),"",COUNTIF(I39:I40,"v"))</f>
        <v>2</v>
      </c>
      <c r="AD39" s="122">
        <f t="shared" si="39"/>
        <v>2</v>
      </c>
      <c r="AE39" s="122">
        <f t="shared" si="39"/>
        <v>2</v>
      </c>
      <c r="AF39" s="122">
        <f t="shared" si="39"/>
        <v>2</v>
      </c>
      <c r="AG39" s="122">
        <f t="shared" si="39"/>
        <v>2</v>
      </c>
      <c r="AH39" s="122" t="str">
        <f t="shared" si="39"/>
        <v/>
      </c>
      <c r="AI39" s="122" t="str">
        <f t="shared" si="39"/>
        <v/>
      </c>
      <c r="AJ39" s="122" t="str">
        <f t="shared" si="39"/>
        <v/>
      </c>
      <c r="AK39" s="122" t="str">
        <f t="shared" si="39"/>
        <v/>
      </c>
      <c r="AL39" s="122" t="str">
        <f t="shared" si="39"/>
        <v/>
      </c>
      <c r="AM39" s="122" t="str">
        <f t="shared" si="39"/>
        <v/>
      </c>
      <c r="AN39" s="122" t="str">
        <f t="shared" si="39"/>
        <v/>
      </c>
      <c r="AO39" s="122" t="str">
        <f t="shared" si="39"/>
        <v/>
      </c>
      <c r="AP39" s="122" t="str">
        <f t="shared" si="39"/>
        <v/>
      </c>
      <c r="AQ39" s="122" t="str">
        <f t="shared" si="39"/>
        <v/>
      </c>
      <c r="AR39" s="122" t="str">
        <f t="shared" si="39"/>
        <v/>
      </c>
      <c r="AS39" s="122" t="str">
        <f t="shared" si="39"/>
        <v/>
      </c>
      <c r="AT39" s="122" t="str">
        <f t="shared" si="39"/>
        <v/>
      </c>
      <c r="AU39" s="122" t="str">
        <f t="shared" si="39"/>
        <v/>
      </c>
      <c r="AV39" s="122" t="str">
        <f t="shared" si="39"/>
        <v/>
      </c>
      <c r="AW39" s="121" t="str">
        <f>IF(AC39="","",IF(AC39=0,"Ditolak",IF(AC39=1,"Diperbaiki","Digunakan")))</f>
        <v>Digunakan</v>
      </c>
      <c r="AX39" s="121" t="str">
        <f t="shared" ref="AX39:BP39" si="40">IF(AD39="","",IF(AD39=0,"Ditolak",IF(AD39=1,"Diperbaiki","Digunakan")))</f>
        <v>Digunakan</v>
      </c>
      <c r="AY39" s="121" t="str">
        <f t="shared" si="40"/>
        <v>Digunakan</v>
      </c>
      <c r="AZ39" s="121" t="str">
        <f t="shared" si="40"/>
        <v>Digunakan</v>
      </c>
      <c r="BA39" s="121" t="str">
        <f t="shared" si="40"/>
        <v>Digunakan</v>
      </c>
      <c r="BB39" s="121" t="str">
        <f t="shared" si="40"/>
        <v/>
      </c>
      <c r="BC39" s="121" t="str">
        <f t="shared" si="40"/>
        <v/>
      </c>
      <c r="BD39" s="121" t="str">
        <f t="shared" si="40"/>
        <v/>
      </c>
      <c r="BE39" s="121" t="str">
        <f t="shared" si="40"/>
        <v/>
      </c>
      <c r="BF39" s="121" t="str">
        <f t="shared" si="40"/>
        <v/>
      </c>
      <c r="BG39" s="121" t="str">
        <f t="shared" si="40"/>
        <v/>
      </c>
      <c r="BH39" s="121" t="str">
        <f t="shared" si="40"/>
        <v/>
      </c>
      <c r="BI39" s="121" t="str">
        <f t="shared" si="40"/>
        <v/>
      </c>
      <c r="BJ39" s="121" t="str">
        <f t="shared" si="40"/>
        <v/>
      </c>
      <c r="BK39" s="121" t="str">
        <f t="shared" si="40"/>
        <v/>
      </c>
      <c r="BL39" s="121" t="str">
        <f t="shared" si="40"/>
        <v/>
      </c>
      <c r="BM39" s="121" t="str">
        <f t="shared" si="40"/>
        <v/>
      </c>
      <c r="BN39" s="121" t="str">
        <f t="shared" si="40"/>
        <v/>
      </c>
      <c r="BO39" s="121" t="str">
        <f t="shared" si="40"/>
        <v/>
      </c>
      <c r="BP39" s="121" t="str">
        <f t="shared" si="40"/>
        <v/>
      </c>
      <c r="BQ39" s="141"/>
      <c r="BR39" s="141"/>
      <c r="BS39" s="141"/>
      <c r="BT39" s="141"/>
      <c r="BU39" s="141"/>
      <c r="BV39" s="141"/>
      <c r="BW39" s="141"/>
      <c r="BX39" s="141"/>
      <c r="BY39" s="141"/>
      <c r="BZ39" s="141"/>
      <c r="CA39" s="141"/>
      <c r="CB39" s="141"/>
      <c r="CC39" s="141"/>
      <c r="CD39" s="141"/>
      <c r="CE39" s="141"/>
      <c r="CF39" s="141"/>
      <c r="CG39" s="141"/>
      <c r="CH39" s="141"/>
      <c r="CI39" s="141"/>
      <c r="CJ39" s="141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17"/>
      <c r="DF39" s="117"/>
      <c r="DG39" s="117"/>
      <c r="DH39" s="117"/>
      <c r="DI39" s="117"/>
      <c r="DJ39" s="117"/>
      <c r="DK39" s="117"/>
      <c r="DL39" s="117"/>
      <c r="DM39" s="117"/>
      <c r="DN39" s="117"/>
      <c r="DO39" s="117"/>
      <c r="DP39" s="117"/>
      <c r="DQ39" s="117"/>
      <c r="DR39" s="117"/>
      <c r="DS39" s="117"/>
      <c r="DT39" s="117"/>
      <c r="DU39" s="117"/>
      <c r="DV39" s="117"/>
      <c r="DW39" s="117"/>
      <c r="DX39" s="117"/>
      <c r="DY39" s="114"/>
      <c r="DZ39" s="114"/>
      <c r="EA39" s="114"/>
      <c r="EB39" s="114"/>
      <c r="EC39" s="114"/>
      <c r="ED39" s="114"/>
      <c r="EE39" s="114"/>
      <c r="EF39" s="114"/>
      <c r="EG39" s="114"/>
      <c r="EH39" s="114"/>
      <c r="EI39" s="114"/>
      <c r="EJ39" s="114"/>
      <c r="EK39" s="114"/>
      <c r="EL39" s="114"/>
      <c r="EM39" s="114"/>
      <c r="EN39" s="114"/>
      <c r="EO39" s="114"/>
      <c r="EP39" s="114"/>
      <c r="EQ39" s="114"/>
      <c r="ER39" s="114"/>
    </row>
    <row r="40" spans="1:148" ht="31.5" x14ac:dyDescent="0.25">
      <c r="A40" s="147"/>
      <c r="B40" s="150"/>
      <c r="C40" s="147"/>
      <c r="D40" s="161"/>
      <c r="E40" s="127"/>
      <c r="F40" s="153"/>
      <c r="G40" s="20" t="s">
        <v>56</v>
      </c>
      <c r="H40" s="23" t="s">
        <v>243</v>
      </c>
      <c r="I40" s="78" t="s">
        <v>269</v>
      </c>
      <c r="J40" s="78" t="s">
        <v>269</v>
      </c>
      <c r="K40" s="78" t="s">
        <v>269</v>
      </c>
      <c r="L40" s="78" t="s">
        <v>269</v>
      </c>
      <c r="M40" s="78" t="s">
        <v>269</v>
      </c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41"/>
      <c r="BR40" s="141"/>
      <c r="BS40" s="141"/>
      <c r="BT40" s="141"/>
      <c r="BU40" s="141"/>
      <c r="BV40" s="141"/>
      <c r="BW40" s="141"/>
      <c r="BX40" s="141"/>
      <c r="BY40" s="141"/>
      <c r="BZ40" s="141"/>
      <c r="CA40" s="141"/>
      <c r="CB40" s="141"/>
      <c r="CC40" s="141"/>
      <c r="CD40" s="141"/>
      <c r="CE40" s="141"/>
      <c r="CF40" s="141"/>
      <c r="CG40" s="141"/>
      <c r="CH40" s="141"/>
      <c r="CI40" s="141"/>
      <c r="CJ40" s="141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17"/>
      <c r="DF40" s="117"/>
      <c r="DG40" s="117"/>
      <c r="DH40" s="117"/>
      <c r="DI40" s="117"/>
      <c r="DJ40" s="117"/>
      <c r="DK40" s="117"/>
      <c r="DL40" s="117"/>
      <c r="DM40" s="117"/>
      <c r="DN40" s="117"/>
      <c r="DO40" s="117"/>
      <c r="DP40" s="117"/>
      <c r="DQ40" s="117"/>
      <c r="DR40" s="117"/>
      <c r="DS40" s="117"/>
      <c r="DT40" s="117"/>
      <c r="DU40" s="117"/>
      <c r="DV40" s="117"/>
      <c r="DW40" s="117"/>
      <c r="DX40" s="117"/>
      <c r="DY40" s="114"/>
      <c r="DZ40" s="114"/>
      <c r="EA40" s="114"/>
      <c r="EB40" s="114"/>
      <c r="EC40" s="114"/>
      <c r="ED40" s="114"/>
      <c r="EE40" s="114"/>
      <c r="EF40" s="114"/>
      <c r="EG40" s="114"/>
      <c r="EH40" s="114"/>
      <c r="EI40" s="114"/>
      <c r="EJ40" s="114"/>
      <c r="EK40" s="114"/>
      <c r="EL40" s="114"/>
      <c r="EM40" s="114"/>
      <c r="EN40" s="114"/>
      <c r="EO40" s="114"/>
      <c r="EP40" s="114"/>
      <c r="EQ40" s="114"/>
      <c r="ER40" s="114"/>
    </row>
    <row r="41" spans="1:148" ht="46.9" customHeight="1" x14ac:dyDescent="0.25">
      <c r="A41" s="147"/>
      <c r="B41" s="150"/>
      <c r="C41" s="147"/>
      <c r="D41" s="161"/>
      <c r="E41" s="127">
        <v>6</v>
      </c>
      <c r="F41" s="152" t="s">
        <v>215</v>
      </c>
      <c r="G41" s="20" t="s">
        <v>56</v>
      </c>
      <c r="H41" s="23" t="s">
        <v>30</v>
      </c>
      <c r="I41" s="78" t="s">
        <v>269</v>
      </c>
      <c r="J41" s="78" t="s">
        <v>269</v>
      </c>
      <c r="K41" s="78" t="s">
        <v>269</v>
      </c>
      <c r="L41" s="78" t="s">
        <v>269</v>
      </c>
      <c r="M41" s="78" t="s">
        <v>269</v>
      </c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122">
        <f t="shared" ref="AC41:AV41" si="41">IF(AND(I41="",I42=""),"",COUNTIF(I41:I42,"v"))</f>
        <v>2</v>
      </c>
      <c r="AD41" s="122">
        <f t="shared" si="41"/>
        <v>2</v>
      </c>
      <c r="AE41" s="122">
        <f t="shared" si="41"/>
        <v>2</v>
      </c>
      <c r="AF41" s="122">
        <f t="shared" si="41"/>
        <v>2</v>
      </c>
      <c r="AG41" s="122">
        <f t="shared" si="41"/>
        <v>2</v>
      </c>
      <c r="AH41" s="122" t="str">
        <f t="shared" si="41"/>
        <v/>
      </c>
      <c r="AI41" s="122" t="str">
        <f t="shared" si="41"/>
        <v/>
      </c>
      <c r="AJ41" s="122" t="str">
        <f t="shared" si="41"/>
        <v/>
      </c>
      <c r="AK41" s="122" t="str">
        <f t="shared" si="41"/>
        <v/>
      </c>
      <c r="AL41" s="122" t="str">
        <f t="shared" si="41"/>
        <v/>
      </c>
      <c r="AM41" s="122" t="str">
        <f t="shared" si="41"/>
        <v/>
      </c>
      <c r="AN41" s="122" t="str">
        <f t="shared" si="41"/>
        <v/>
      </c>
      <c r="AO41" s="122" t="str">
        <f t="shared" si="41"/>
        <v/>
      </c>
      <c r="AP41" s="122" t="str">
        <f t="shared" si="41"/>
        <v/>
      </c>
      <c r="AQ41" s="122" t="str">
        <f t="shared" si="41"/>
        <v/>
      </c>
      <c r="AR41" s="122" t="str">
        <f t="shared" si="41"/>
        <v/>
      </c>
      <c r="AS41" s="122" t="str">
        <f t="shared" si="41"/>
        <v/>
      </c>
      <c r="AT41" s="122" t="str">
        <f t="shared" si="41"/>
        <v/>
      </c>
      <c r="AU41" s="122" t="str">
        <f t="shared" si="41"/>
        <v/>
      </c>
      <c r="AV41" s="122" t="str">
        <f t="shared" si="41"/>
        <v/>
      </c>
      <c r="AW41" s="121" t="str">
        <f>IF(AC41="","",IF(AC41=0,"Ditolak",IF(AC41=1,"Diperbaiki","Digunakan")))</f>
        <v>Digunakan</v>
      </c>
      <c r="AX41" s="121" t="str">
        <f t="shared" ref="AX41:BP41" si="42">IF(AD41="","",IF(AD41=0,"Ditolak",IF(AD41=1,"Diperbaiki","Digunakan")))</f>
        <v>Digunakan</v>
      </c>
      <c r="AY41" s="121" t="str">
        <f t="shared" si="42"/>
        <v>Digunakan</v>
      </c>
      <c r="AZ41" s="121" t="str">
        <f t="shared" si="42"/>
        <v>Digunakan</v>
      </c>
      <c r="BA41" s="121" t="str">
        <f t="shared" si="42"/>
        <v>Digunakan</v>
      </c>
      <c r="BB41" s="121" t="str">
        <f t="shared" si="42"/>
        <v/>
      </c>
      <c r="BC41" s="121" t="str">
        <f t="shared" si="42"/>
        <v/>
      </c>
      <c r="BD41" s="121" t="str">
        <f t="shared" si="42"/>
        <v/>
      </c>
      <c r="BE41" s="121" t="str">
        <f t="shared" si="42"/>
        <v/>
      </c>
      <c r="BF41" s="121" t="str">
        <f t="shared" si="42"/>
        <v/>
      </c>
      <c r="BG41" s="121" t="str">
        <f t="shared" si="42"/>
        <v/>
      </c>
      <c r="BH41" s="121" t="str">
        <f t="shared" si="42"/>
        <v/>
      </c>
      <c r="BI41" s="121" t="str">
        <f t="shared" si="42"/>
        <v/>
      </c>
      <c r="BJ41" s="121" t="str">
        <f t="shared" si="42"/>
        <v/>
      </c>
      <c r="BK41" s="121" t="str">
        <f t="shared" si="42"/>
        <v/>
      </c>
      <c r="BL41" s="121" t="str">
        <f t="shared" si="42"/>
        <v/>
      </c>
      <c r="BM41" s="121" t="str">
        <f t="shared" si="42"/>
        <v/>
      </c>
      <c r="BN41" s="121" t="str">
        <f t="shared" si="42"/>
        <v/>
      </c>
      <c r="BO41" s="121" t="str">
        <f t="shared" si="42"/>
        <v/>
      </c>
      <c r="BP41" s="121" t="str">
        <f t="shared" si="42"/>
        <v/>
      </c>
      <c r="BQ41" s="141"/>
      <c r="BR41" s="141"/>
      <c r="BS41" s="141"/>
      <c r="BT41" s="141"/>
      <c r="BU41" s="141"/>
      <c r="BV41" s="141"/>
      <c r="BW41" s="141"/>
      <c r="BX41" s="141"/>
      <c r="BY41" s="141"/>
      <c r="BZ41" s="141"/>
      <c r="CA41" s="141"/>
      <c r="CB41" s="141"/>
      <c r="CC41" s="141"/>
      <c r="CD41" s="141"/>
      <c r="CE41" s="141"/>
      <c r="CF41" s="141"/>
      <c r="CG41" s="141"/>
      <c r="CH41" s="141"/>
      <c r="CI41" s="141"/>
      <c r="CJ41" s="141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17"/>
      <c r="DF41" s="117"/>
      <c r="DG41" s="117"/>
      <c r="DH41" s="117"/>
      <c r="DI41" s="117"/>
      <c r="DJ41" s="117"/>
      <c r="DK41" s="117"/>
      <c r="DL41" s="117"/>
      <c r="DM41" s="117"/>
      <c r="DN41" s="117"/>
      <c r="DO41" s="117"/>
      <c r="DP41" s="117"/>
      <c r="DQ41" s="117"/>
      <c r="DR41" s="117"/>
      <c r="DS41" s="117"/>
      <c r="DT41" s="117"/>
      <c r="DU41" s="117"/>
      <c r="DV41" s="117"/>
      <c r="DW41" s="117"/>
      <c r="DX41" s="117"/>
      <c r="DY41" s="114"/>
      <c r="DZ41" s="114"/>
      <c r="EA41" s="114"/>
      <c r="EB41" s="114"/>
      <c r="EC41" s="114"/>
      <c r="ED41" s="114"/>
      <c r="EE41" s="114"/>
      <c r="EF41" s="114"/>
      <c r="EG41" s="114"/>
      <c r="EH41" s="114"/>
      <c r="EI41" s="114"/>
      <c r="EJ41" s="114"/>
      <c r="EK41" s="114"/>
      <c r="EL41" s="114"/>
      <c r="EM41" s="114"/>
      <c r="EN41" s="114"/>
      <c r="EO41" s="114"/>
      <c r="EP41" s="114"/>
      <c r="EQ41" s="114"/>
      <c r="ER41" s="114"/>
    </row>
    <row r="42" spans="1:148" ht="47.25" x14ac:dyDescent="0.25">
      <c r="A42" s="148"/>
      <c r="B42" s="151"/>
      <c r="C42" s="148"/>
      <c r="D42" s="162"/>
      <c r="E42" s="127"/>
      <c r="F42" s="153"/>
      <c r="G42" s="20" t="s">
        <v>56</v>
      </c>
      <c r="H42" s="24" t="s">
        <v>31</v>
      </c>
      <c r="I42" s="78" t="s">
        <v>269</v>
      </c>
      <c r="J42" s="78" t="s">
        <v>269</v>
      </c>
      <c r="K42" s="78" t="s">
        <v>269</v>
      </c>
      <c r="L42" s="78" t="s">
        <v>269</v>
      </c>
      <c r="M42" s="78" t="s">
        <v>269</v>
      </c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A42" s="139"/>
      <c r="DB42" s="139"/>
      <c r="DC42" s="139"/>
      <c r="DD42" s="139"/>
      <c r="DE42" s="117"/>
      <c r="DF42" s="117"/>
      <c r="DG42" s="117"/>
      <c r="DH42" s="117"/>
      <c r="DI42" s="117"/>
      <c r="DJ42" s="117"/>
      <c r="DK42" s="117"/>
      <c r="DL42" s="117"/>
      <c r="DM42" s="117"/>
      <c r="DN42" s="117"/>
      <c r="DO42" s="117"/>
      <c r="DP42" s="117"/>
      <c r="DQ42" s="117"/>
      <c r="DR42" s="117"/>
      <c r="DS42" s="117"/>
      <c r="DT42" s="117"/>
      <c r="DU42" s="117"/>
      <c r="DV42" s="117"/>
      <c r="DW42" s="117"/>
      <c r="DX42" s="117"/>
      <c r="DY42" s="114"/>
      <c r="DZ42" s="114"/>
      <c r="EA42" s="114"/>
      <c r="EB42" s="114"/>
      <c r="EC42" s="114"/>
      <c r="ED42" s="114"/>
      <c r="EE42" s="114"/>
      <c r="EF42" s="114"/>
      <c r="EG42" s="114"/>
      <c r="EH42" s="114"/>
      <c r="EI42" s="114"/>
      <c r="EJ42" s="114"/>
      <c r="EK42" s="114"/>
      <c r="EL42" s="114"/>
      <c r="EM42" s="114"/>
      <c r="EN42" s="114"/>
      <c r="EO42" s="114"/>
      <c r="EP42" s="114"/>
      <c r="EQ42" s="114"/>
      <c r="ER42" s="114"/>
    </row>
    <row r="43" spans="1:148" ht="48.6" customHeight="1" x14ac:dyDescent="0.25">
      <c r="A43" s="127" t="s">
        <v>39</v>
      </c>
      <c r="B43" s="132" t="s">
        <v>37</v>
      </c>
      <c r="C43" s="132"/>
      <c r="D43" s="132"/>
      <c r="E43" s="127">
        <v>1</v>
      </c>
      <c r="F43" s="131" t="s">
        <v>102</v>
      </c>
      <c r="G43" s="20" t="s">
        <v>56</v>
      </c>
      <c r="H43" s="23" t="s">
        <v>57</v>
      </c>
      <c r="I43" s="78" t="s">
        <v>269</v>
      </c>
      <c r="J43" s="78" t="s">
        <v>269</v>
      </c>
      <c r="K43" s="78" t="s">
        <v>269</v>
      </c>
      <c r="L43" s="78" t="s">
        <v>269</v>
      </c>
      <c r="M43" s="78" t="s">
        <v>269</v>
      </c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122">
        <f t="shared" ref="AC43:AV43" si="43">IF(AND(I43="",I44="",I45="",I46="",I47="",I47=""),"",IF(COUNTIF(I43:I47,"v")=0,0,IF(AND(COUNTIF(I43:I47,"v")&gt;=1,COUNTIF(I43:I47,"v")&lt;4),1,2)))</f>
        <v>2</v>
      </c>
      <c r="AD43" s="122">
        <f t="shared" si="43"/>
        <v>2</v>
      </c>
      <c r="AE43" s="122">
        <f t="shared" si="43"/>
        <v>2</v>
      </c>
      <c r="AF43" s="122">
        <f t="shared" si="43"/>
        <v>2</v>
      </c>
      <c r="AG43" s="122">
        <f t="shared" si="43"/>
        <v>2</v>
      </c>
      <c r="AH43" s="122" t="str">
        <f t="shared" si="43"/>
        <v/>
      </c>
      <c r="AI43" s="122" t="str">
        <f t="shared" si="43"/>
        <v/>
      </c>
      <c r="AJ43" s="122" t="str">
        <f t="shared" si="43"/>
        <v/>
      </c>
      <c r="AK43" s="122" t="str">
        <f t="shared" si="43"/>
        <v/>
      </c>
      <c r="AL43" s="122" t="str">
        <f t="shared" si="43"/>
        <v/>
      </c>
      <c r="AM43" s="122" t="str">
        <f t="shared" si="43"/>
        <v/>
      </c>
      <c r="AN43" s="122" t="str">
        <f t="shared" si="43"/>
        <v/>
      </c>
      <c r="AO43" s="122" t="str">
        <f t="shared" si="43"/>
        <v/>
      </c>
      <c r="AP43" s="122" t="str">
        <f t="shared" si="43"/>
        <v/>
      </c>
      <c r="AQ43" s="122" t="str">
        <f t="shared" si="43"/>
        <v/>
      </c>
      <c r="AR43" s="122" t="str">
        <f t="shared" si="43"/>
        <v/>
      </c>
      <c r="AS43" s="122" t="str">
        <f t="shared" si="43"/>
        <v/>
      </c>
      <c r="AT43" s="122" t="str">
        <f t="shared" si="43"/>
        <v/>
      </c>
      <c r="AU43" s="122" t="str">
        <f t="shared" si="43"/>
        <v/>
      </c>
      <c r="AV43" s="122" t="str">
        <f t="shared" si="43"/>
        <v/>
      </c>
      <c r="AW43" s="121" t="str">
        <f t="shared" ref="AW43:BP43" si="44">IF(AC43="","",IF(AC43=0,"Ditolak",IF(AND(AC43&gt;=1,AC43&lt;4),"Diperbaiki","Digunakan")))</f>
        <v>Diperbaiki</v>
      </c>
      <c r="AX43" s="121" t="str">
        <f t="shared" si="44"/>
        <v>Diperbaiki</v>
      </c>
      <c r="AY43" s="121" t="str">
        <f t="shared" si="44"/>
        <v>Diperbaiki</v>
      </c>
      <c r="AZ43" s="121" t="str">
        <f t="shared" si="44"/>
        <v>Diperbaiki</v>
      </c>
      <c r="BA43" s="121" t="str">
        <f t="shared" si="44"/>
        <v>Diperbaiki</v>
      </c>
      <c r="BB43" s="121" t="str">
        <f t="shared" si="44"/>
        <v/>
      </c>
      <c r="BC43" s="121" t="str">
        <f t="shared" si="44"/>
        <v/>
      </c>
      <c r="BD43" s="121" t="str">
        <f t="shared" si="44"/>
        <v/>
      </c>
      <c r="BE43" s="121" t="str">
        <f t="shared" si="44"/>
        <v/>
      </c>
      <c r="BF43" s="121" t="str">
        <f t="shared" si="44"/>
        <v/>
      </c>
      <c r="BG43" s="121" t="str">
        <f t="shared" si="44"/>
        <v/>
      </c>
      <c r="BH43" s="121" t="str">
        <f t="shared" si="44"/>
        <v/>
      </c>
      <c r="BI43" s="121" t="str">
        <f t="shared" si="44"/>
        <v/>
      </c>
      <c r="BJ43" s="121" t="str">
        <f t="shared" si="44"/>
        <v/>
      </c>
      <c r="BK43" s="121" t="str">
        <f t="shared" si="44"/>
        <v/>
      </c>
      <c r="BL43" s="121" t="str">
        <f t="shared" si="44"/>
        <v/>
      </c>
      <c r="BM43" s="121" t="str">
        <f t="shared" si="44"/>
        <v/>
      </c>
      <c r="BN43" s="121" t="str">
        <f t="shared" si="44"/>
        <v/>
      </c>
      <c r="BO43" s="121" t="str">
        <f t="shared" si="44"/>
        <v/>
      </c>
      <c r="BP43" s="121" t="str">
        <f t="shared" si="44"/>
        <v/>
      </c>
      <c r="BQ43" s="120" t="str">
        <f t="shared" ref="BQ43:CJ43" si="45">IF(COUNTIF(AW43:AW52,"Diperbaiki")&gt;=1,"HOTS","")</f>
        <v>HOTS</v>
      </c>
      <c r="BR43" s="120" t="str">
        <f t="shared" si="45"/>
        <v>HOTS</v>
      </c>
      <c r="BS43" s="120" t="str">
        <f t="shared" si="45"/>
        <v>HOTS</v>
      </c>
      <c r="BT43" s="120" t="str">
        <f t="shared" si="45"/>
        <v>HOTS</v>
      </c>
      <c r="BU43" s="120" t="str">
        <f t="shared" si="45"/>
        <v>HOTS</v>
      </c>
      <c r="BV43" s="120" t="str">
        <f t="shared" si="45"/>
        <v/>
      </c>
      <c r="BW43" s="120" t="str">
        <f t="shared" si="45"/>
        <v/>
      </c>
      <c r="BX43" s="120" t="str">
        <f t="shared" si="45"/>
        <v/>
      </c>
      <c r="BY43" s="120" t="str">
        <f t="shared" si="45"/>
        <v/>
      </c>
      <c r="BZ43" s="120" t="str">
        <f t="shared" si="45"/>
        <v/>
      </c>
      <c r="CA43" s="120" t="str">
        <f t="shared" si="45"/>
        <v/>
      </c>
      <c r="CB43" s="120" t="str">
        <f t="shared" si="45"/>
        <v/>
      </c>
      <c r="CC43" s="120" t="str">
        <f t="shared" si="45"/>
        <v/>
      </c>
      <c r="CD43" s="120" t="str">
        <f t="shared" si="45"/>
        <v/>
      </c>
      <c r="CE43" s="120" t="str">
        <f t="shared" si="45"/>
        <v/>
      </c>
      <c r="CF43" s="120" t="str">
        <f t="shared" si="45"/>
        <v/>
      </c>
      <c r="CG43" s="120" t="str">
        <f t="shared" si="45"/>
        <v/>
      </c>
      <c r="CH43" s="120" t="str">
        <f t="shared" si="45"/>
        <v/>
      </c>
      <c r="CI43" s="120" t="str">
        <f t="shared" si="45"/>
        <v/>
      </c>
      <c r="CJ43" s="120" t="str">
        <f t="shared" si="45"/>
        <v/>
      </c>
      <c r="CK43" s="164"/>
      <c r="CL43" s="164"/>
      <c r="CM43" s="164"/>
      <c r="CN43" s="164"/>
      <c r="CO43" s="164"/>
      <c r="CP43" s="164"/>
      <c r="CQ43" s="164"/>
      <c r="CR43" s="164"/>
      <c r="CS43" s="164"/>
      <c r="CT43" s="164"/>
      <c r="CU43" s="164"/>
      <c r="CV43" s="164"/>
      <c r="CW43" s="164"/>
      <c r="CX43" s="164"/>
      <c r="CY43" s="164"/>
      <c r="CZ43" s="164"/>
      <c r="DA43" s="164"/>
      <c r="DB43" s="164"/>
      <c r="DC43" s="164"/>
      <c r="DD43" s="164"/>
      <c r="DE43" s="117"/>
      <c r="DF43" s="117"/>
      <c r="DG43" s="117"/>
      <c r="DH43" s="117"/>
      <c r="DI43" s="117"/>
      <c r="DJ43" s="117"/>
      <c r="DK43" s="117"/>
      <c r="DL43" s="117"/>
      <c r="DM43" s="117"/>
      <c r="DN43" s="117"/>
      <c r="DO43" s="117"/>
      <c r="DP43" s="117"/>
      <c r="DQ43" s="117"/>
      <c r="DR43" s="117"/>
      <c r="DS43" s="117"/>
      <c r="DT43" s="117"/>
      <c r="DU43" s="117"/>
      <c r="DV43" s="117"/>
      <c r="DW43" s="117"/>
      <c r="DX43" s="117"/>
      <c r="DY43" s="114"/>
      <c r="DZ43" s="114"/>
      <c r="EA43" s="114"/>
      <c r="EB43" s="114"/>
      <c r="EC43" s="114"/>
      <c r="ED43" s="114"/>
      <c r="EE43" s="114"/>
      <c r="EF43" s="114"/>
      <c r="EG43" s="114"/>
      <c r="EH43" s="114"/>
      <c r="EI43" s="114"/>
      <c r="EJ43" s="114"/>
      <c r="EK43" s="114"/>
      <c r="EL43" s="114"/>
      <c r="EM43" s="114"/>
      <c r="EN43" s="114"/>
      <c r="EO43" s="114"/>
      <c r="EP43" s="114"/>
      <c r="EQ43" s="114"/>
      <c r="ER43" s="114"/>
    </row>
    <row r="44" spans="1:148" ht="30" customHeight="1" x14ac:dyDescent="0.25">
      <c r="A44" s="127"/>
      <c r="B44" s="132"/>
      <c r="C44" s="132"/>
      <c r="D44" s="132"/>
      <c r="E44" s="127"/>
      <c r="F44" s="131"/>
      <c r="G44" s="20" t="s">
        <v>56</v>
      </c>
      <c r="H44" s="23" t="s">
        <v>58</v>
      </c>
      <c r="I44" s="78" t="s">
        <v>269</v>
      </c>
      <c r="J44" s="78" t="s">
        <v>269</v>
      </c>
      <c r="K44" s="78" t="s">
        <v>269</v>
      </c>
      <c r="L44" s="78" t="s">
        <v>269</v>
      </c>
      <c r="M44" s="78" t="s">
        <v>269</v>
      </c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0"/>
      <c r="BR44" s="120"/>
      <c r="BS44" s="120"/>
      <c r="BT44" s="120"/>
      <c r="BU44" s="120"/>
      <c r="BV44" s="120"/>
      <c r="BW44" s="120"/>
      <c r="BX44" s="120"/>
      <c r="BY44" s="120"/>
      <c r="BZ44" s="120"/>
      <c r="CA44" s="120"/>
      <c r="CB44" s="120"/>
      <c r="CC44" s="120"/>
      <c r="CD44" s="120"/>
      <c r="CE44" s="120"/>
      <c r="CF44" s="120"/>
      <c r="CG44" s="120"/>
      <c r="CH44" s="120"/>
      <c r="CI44" s="120"/>
      <c r="CJ44" s="120"/>
      <c r="CK44" s="164"/>
      <c r="CL44" s="164"/>
      <c r="CM44" s="164"/>
      <c r="CN44" s="164"/>
      <c r="CO44" s="164"/>
      <c r="CP44" s="164"/>
      <c r="CQ44" s="164"/>
      <c r="CR44" s="164"/>
      <c r="CS44" s="164"/>
      <c r="CT44" s="164"/>
      <c r="CU44" s="164"/>
      <c r="CV44" s="164"/>
      <c r="CW44" s="164"/>
      <c r="CX44" s="164"/>
      <c r="CY44" s="164"/>
      <c r="CZ44" s="164"/>
      <c r="DA44" s="164"/>
      <c r="DB44" s="164"/>
      <c r="DC44" s="164"/>
      <c r="DD44" s="164"/>
      <c r="DE44" s="117"/>
      <c r="DF44" s="117"/>
      <c r="DG44" s="117"/>
      <c r="DH44" s="117"/>
      <c r="DI44" s="117"/>
      <c r="DJ44" s="117"/>
      <c r="DK44" s="117"/>
      <c r="DL44" s="117"/>
      <c r="DM44" s="117"/>
      <c r="DN44" s="117"/>
      <c r="DO44" s="117"/>
      <c r="DP44" s="117"/>
      <c r="DQ44" s="117"/>
      <c r="DR44" s="117"/>
      <c r="DS44" s="117"/>
      <c r="DT44" s="117"/>
      <c r="DU44" s="117"/>
      <c r="DV44" s="117"/>
      <c r="DW44" s="117"/>
      <c r="DX44" s="117"/>
      <c r="DY44" s="114"/>
      <c r="DZ44" s="114"/>
      <c r="EA44" s="114"/>
      <c r="EB44" s="114"/>
      <c r="EC44" s="114"/>
      <c r="ED44" s="114"/>
      <c r="EE44" s="114"/>
      <c r="EF44" s="114"/>
      <c r="EG44" s="114"/>
      <c r="EH44" s="114"/>
      <c r="EI44" s="114"/>
      <c r="EJ44" s="114"/>
      <c r="EK44" s="114"/>
      <c r="EL44" s="114"/>
      <c r="EM44" s="114"/>
      <c r="EN44" s="114"/>
      <c r="EO44" s="114"/>
      <c r="EP44" s="114"/>
      <c r="EQ44" s="114"/>
      <c r="ER44" s="114"/>
    </row>
    <row r="45" spans="1:148" ht="49.9" customHeight="1" x14ac:dyDescent="0.25">
      <c r="A45" s="127"/>
      <c r="B45" s="132"/>
      <c r="C45" s="132"/>
      <c r="D45" s="132"/>
      <c r="E45" s="127"/>
      <c r="F45" s="131"/>
      <c r="G45" s="20" t="s">
        <v>56</v>
      </c>
      <c r="H45" s="23" t="s">
        <v>59</v>
      </c>
      <c r="I45" s="78" t="s">
        <v>269</v>
      </c>
      <c r="J45" s="78" t="s">
        <v>269</v>
      </c>
      <c r="K45" s="78" t="s">
        <v>269</v>
      </c>
      <c r="L45" s="78" t="s">
        <v>269</v>
      </c>
      <c r="M45" s="78" t="s">
        <v>269</v>
      </c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0"/>
      <c r="CB45" s="120"/>
      <c r="CC45" s="120"/>
      <c r="CD45" s="120"/>
      <c r="CE45" s="120"/>
      <c r="CF45" s="120"/>
      <c r="CG45" s="120"/>
      <c r="CH45" s="120"/>
      <c r="CI45" s="120"/>
      <c r="CJ45" s="120"/>
      <c r="CK45" s="164"/>
      <c r="CL45" s="164"/>
      <c r="CM45" s="164"/>
      <c r="CN45" s="164"/>
      <c r="CO45" s="164"/>
      <c r="CP45" s="164"/>
      <c r="CQ45" s="164"/>
      <c r="CR45" s="164"/>
      <c r="CS45" s="164"/>
      <c r="CT45" s="164"/>
      <c r="CU45" s="164"/>
      <c r="CV45" s="164"/>
      <c r="CW45" s="164"/>
      <c r="CX45" s="164"/>
      <c r="CY45" s="164"/>
      <c r="CZ45" s="164"/>
      <c r="DA45" s="164"/>
      <c r="DB45" s="164"/>
      <c r="DC45" s="164"/>
      <c r="DD45" s="164"/>
      <c r="DE45" s="117"/>
      <c r="DF45" s="117"/>
      <c r="DG45" s="117"/>
      <c r="DH45" s="117"/>
      <c r="DI45" s="117"/>
      <c r="DJ45" s="117"/>
      <c r="DK45" s="117"/>
      <c r="DL45" s="117"/>
      <c r="DM45" s="117"/>
      <c r="DN45" s="117"/>
      <c r="DO45" s="117"/>
      <c r="DP45" s="117"/>
      <c r="DQ45" s="117"/>
      <c r="DR45" s="117"/>
      <c r="DS45" s="117"/>
      <c r="DT45" s="117"/>
      <c r="DU45" s="117"/>
      <c r="DV45" s="117"/>
      <c r="DW45" s="117"/>
      <c r="DX45" s="117"/>
      <c r="DY45" s="114"/>
      <c r="DZ45" s="114"/>
      <c r="EA45" s="114"/>
      <c r="EB45" s="114"/>
      <c r="EC45" s="114"/>
      <c r="ED45" s="114"/>
      <c r="EE45" s="114"/>
      <c r="EF45" s="114"/>
      <c r="EG45" s="114"/>
      <c r="EH45" s="114"/>
      <c r="EI45" s="114"/>
      <c r="EJ45" s="114"/>
      <c r="EK45" s="114"/>
      <c r="EL45" s="114"/>
      <c r="EM45" s="114"/>
      <c r="EN45" s="114"/>
      <c r="EO45" s="114"/>
      <c r="EP45" s="114"/>
      <c r="EQ45" s="114"/>
      <c r="ER45" s="114"/>
    </row>
    <row r="46" spans="1:148" ht="51" customHeight="1" x14ac:dyDescent="0.25">
      <c r="A46" s="127"/>
      <c r="B46" s="132"/>
      <c r="C46" s="132"/>
      <c r="D46" s="132"/>
      <c r="E46" s="127"/>
      <c r="F46" s="131"/>
      <c r="G46" s="20" t="s">
        <v>56</v>
      </c>
      <c r="H46" s="23" t="s">
        <v>60</v>
      </c>
      <c r="I46" s="78" t="s">
        <v>269</v>
      </c>
      <c r="J46" s="78" t="s">
        <v>269</v>
      </c>
      <c r="K46" s="78" t="s">
        <v>269</v>
      </c>
      <c r="L46" s="78" t="s">
        <v>269</v>
      </c>
      <c r="M46" s="78" t="s">
        <v>269</v>
      </c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0"/>
      <c r="CB46" s="120"/>
      <c r="CC46" s="120"/>
      <c r="CD46" s="120"/>
      <c r="CE46" s="120"/>
      <c r="CF46" s="120"/>
      <c r="CG46" s="120"/>
      <c r="CH46" s="120"/>
      <c r="CI46" s="120"/>
      <c r="CJ46" s="120"/>
      <c r="CK46" s="164"/>
      <c r="CL46" s="164"/>
      <c r="CM46" s="164"/>
      <c r="CN46" s="164"/>
      <c r="CO46" s="164"/>
      <c r="CP46" s="164"/>
      <c r="CQ46" s="164"/>
      <c r="CR46" s="164"/>
      <c r="CS46" s="164"/>
      <c r="CT46" s="164"/>
      <c r="CU46" s="164"/>
      <c r="CV46" s="164"/>
      <c r="CW46" s="164"/>
      <c r="CX46" s="164"/>
      <c r="CY46" s="164"/>
      <c r="CZ46" s="164"/>
      <c r="DA46" s="164"/>
      <c r="DB46" s="164"/>
      <c r="DC46" s="164"/>
      <c r="DD46" s="164"/>
      <c r="DE46" s="117"/>
      <c r="DF46" s="117"/>
      <c r="DG46" s="117"/>
      <c r="DH46" s="117"/>
      <c r="DI46" s="117"/>
      <c r="DJ46" s="117"/>
      <c r="DK46" s="117"/>
      <c r="DL46" s="117"/>
      <c r="DM46" s="117"/>
      <c r="DN46" s="117"/>
      <c r="DO46" s="117"/>
      <c r="DP46" s="117"/>
      <c r="DQ46" s="117"/>
      <c r="DR46" s="117"/>
      <c r="DS46" s="117"/>
      <c r="DT46" s="117"/>
      <c r="DU46" s="117"/>
      <c r="DV46" s="117"/>
      <c r="DW46" s="117"/>
      <c r="DX46" s="117"/>
      <c r="DY46" s="114"/>
      <c r="DZ46" s="114"/>
      <c r="EA46" s="114"/>
      <c r="EB46" s="114"/>
      <c r="EC46" s="114"/>
      <c r="ED46" s="114"/>
      <c r="EE46" s="114"/>
      <c r="EF46" s="114"/>
      <c r="EG46" s="114"/>
      <c r="EH46" s="114"/>
      <c r="EI46" s="114"/>
      <c r="EJ46" s="114"/>
      <c r="EK46" s="114"/>
      <c r="EL46" s="114"/>
      <c r="EM46" s="114"/>
      <c r="EN46" s="114"/>
      <c r="EO46" s="114"/>
      <c r="EP46" s="114"/>
      <c r="EQ46" s="114"/>
      <c r="ER46" s="114"/>
    </row>
    <row r="47" spans="1:148" ht="49.9" customHeight="1" x14ac:dyDescent="0.25">
      <c r="A47" s="127"/>
      <c r="B47" s="132"/>
      <c r="C47" s="132"/>
      <c r="D47" s="132"/>
      <c r="E47" s="127"/>
      <c r="F47" s="131"/>
      <c r="G47" s="20" t="s">
        <v>56</v>
      </c>
      <c r="H47" s="23" t="s">
        <v>61</v>
      </c>
      <c r="I47" s="78" t="s">
        <v>269</v>
      </c>
      <c r="J47" s="78" t="s">
        <v>269</v>
      </c>
      <c r="K47" s="78" t="s">
        <v>269</v>
      </c>
      <c r="L47" s="78" t="s">
        <v>269</v>
      </c>
      <c r="M47" s="78" t="s">
        <v>269</v>
      </c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0"/>
      <c r="CB47" s="120"/>
      <c r="CC47" s="120"/>
      <c r="CD47" s="120"/>
      <c r="CE47" s="120"/>
      <c r="CF47" s="120"/>
      <c r="CG47" s="120"/>
      <c r="CH47" s="120"/>
      <c r="CI47" s="120"/>
      <c r="CJ47" s="120"/>
      <c r="CK47" s="164"/>
      <c r="CL47" s="164"/>
      <c r="CM47" s="164"/>
      <c r="CN47" s="164"/>
      <c r="CO47" s="164"/>
      <c r="CP47" s="164"/>
      <c r="CQ47" s="164"/>
      <c r="CR47" s="164"/>
      <c r="CS47" s="164"/>
      <c r="CT47" s="164"/>
      <c r="CU47" s="164"/>
      <c r="CV47" s="164"/>
      <c r="CW47" s="164"/>
      <c r="CX47" s="164"/>
      <c r="CY47" s="164"/>
      <c r="CZ47" s="164"/>
      <c r="DA47" s="164"/>
      <c r="DB47" s="164"/>
      <c r="DC47" s="164"/>
      <c r="DD47" s="164"/>
      <c r="DE47" s="117"/>
      <c r="DF47" s="117"/>
      <c r="DG47" s="117"/>
      <c r="DH47" s="117"/>
      <c r="DI47" s="117"/>
      <c r="DJ47" s="117"/>
      <c r="DK47" s="117"/>
      <c r="DL47" s="117"/>
      <c r="DM47" s="117"/>
      <c r="DN47" s="117"/>
      <c r="DO47" s="117"/>
      <c r="DP47" s="117"/>
      <c r="DQ47" s="117"/>
      <c r="DR47" s="117"/>
      <c r="DS47" s="117"/>
      <c r="DT47" s="117"/>
      <c r="DU47" s="117"/>
      <c r="DV47" s="117"/>
      <c r="DW47" s="117"/>
      <c r="DX47" s="117"/>
      <c r="DY47" s="114"/>
      <c r="DZ47" s="114"/>
      <c r="EA47" s="114"/>
      <c r="EB47" s="114"/>
      <c r="EC47" s="114"/>
      <c r="ED47" s="114"/>
      <c r="EE47" s="114"/>
      <c r="EF47" s="114"/>
      <c r="EG47" s="114"/>
      <c r="EH47" s="114"/>
      <c r="EI47" s="114"/>
      <c r="EJ47" s="114"/>
      <c r="EK47" s="114"/>
      <c r="EL47" s="114"/>
      <c r="EM47" s="114"/>
      <c r="EN47" s="114"/>
      <c r="EO47" s="114"/>
      <c r="EP47" s="114"/>
      <c r="EQ47" s="114"/>
      <c r="ER47" s="114"/>
    </row>
    <row r="48" spans="1:148" ht="35.450000000000003" customHeight="1" x14ac:dyDescent="0.25">
      <c r="A48" s="127"/>
      <c r="B48" s="132"/>
      <c r="C48" s="132"/>
      <c r="D48" s="132"/>
      <c r="E48" s="127">
        <v>2</v>
      </c>
      <c r="F48" s="131" t="s">
        <v>55</v>
      </c>
      <c r="G48" s="20" t="s">
        <v>56</v>
      </c>
      <c r="H48" s="23" t="s">
        <v>62</v>
      </c>
      <c r="I48" s="78" t="s">
        <v>269</v>
      </c>
      <c r="J48" s="78" t="s">
        <v>269</v>
      </c>
      <c r="K48" s="78" t="s">
        <v>269</v>
      </c>
      <c r="L48" s="78" t="s">
        <v>269</v>
      </c>
      <c r="M48" s="78" t="s">
        <v>269</v>
      </c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122">
        <f t="shared" ref="AC48:AV48" si="46">IF(AND(I48="",I49="",I50="",I51="",I52="",I52=""),"",IF(COUNTIF(I48:I52,"v")=0,0,IF(AND(COUNTIF(I48:I52,"v")&gt;=1,COUNTIF(I48:I52,"v")&lt;4),1,2)))</f>
        <v>2</v>
      </c>
      <c r="AD48" s="122">
        <f t="shared" si="46"/>
        <v>2</v>
      </c>
      <c r="AE48" s="122">
        <f t="shared" si="46"/>
        <v>2</v>
      </c>
      <c r="AF48" s="122">
        <f t="shared" si="46"/>
        <v>2</v>
      </c>
      <c r="AG48" s="122">
        <f t="shared" si="46"/>
        <v>2</v>
      </c>
      <c r="AH48" s="122" t="str">
        <f t="shared" si="46"/>
        <v/>
      </c>
      <c r="AI48" s="122" t="str">
        <f t="shared" si="46"/>
        <v/>
      </c>
      <c r="AJ48" s="122" t="str">
        <f t="shared" si="46"/>
        <v/>
      </c>
      <c r="AK48" s="122" t="str">
        <f t="shared" si="46"/>
        <v/>
      </c>
      <c r="AL48" s="122" t="str">
        <f t="shared" si="46"/>
        <v/>
      </c>
      <c r="AM48" s="122" t="str">
        <f t="shared" si="46"/>
        <v/>
      </c>
      <c r="AN48" s="122" t="str">
        <f t="shared" si="46"/>
        <v/>
      </c>
      <c r="AO48" s="122" t="str">
        <f t="shared" si="46"/>
        <v/>
      </c>
      <c r="AP48" s="122" t="str">
        <f t="shared" si="46"/>
        <v/>
      </c>
      <c r="AQ48" s="122" t="str">
        <f t="shared" si="46"/>
        <v/>
      </c>
      <c r="AR48" s="122" t="str">
        <f t="shared" si="46"/>
        <v/>
      </c>
      <c r="AS48" s="122" t="str">
        <f t="shared" si="46"/>
        <v/>
      </c>
      <c r="AT48" s="122" t="str">
        <f t="shared" si="46"/>
        <v/>
      </c>
      <c r="AU48" s="122" t="str">
        <f t="shared" si="46"/>
        <v/>
      </c>
      <c r="AV48" s="122" t="str">
        <f t="shared" si="46"/>
        <v/>
      </c>
      <c r="AW48" s="121" t="str">
        <f t="shared" ref="AW48:BP48" si="47">IF(AC48="","",IF(AC48=0,"Ditolak",IF(AND(AC48&gt;=1,AC48&lt;4),"Diperbaiki","Digunakan")))</f>
        <v>Diperbaiki</v>
      </c>
      <c r="AX48" s="121" t="str">
        <f t="shared" si="47"/>
        <v>Diperbaiki</v>
      </c>
      <c r="AY48" s="121" t="str">
        <f t="shared" si="47"/>
        <v>Diperbaiki</v>
      </c>
      <c r="AZ48" s="121" t="str">
        <f t="shared" si="47"/>
        <v>Diperbaiki</v>
      </c>
      <c r="BA48" s="121" t="str">
        <f t="shared" si="47"/>
        <v>Diperbaiki</v>
      </c>
      <c r="BB48" s="121" t="str">
        <f t="shared" si="47"/>
        <v/>
      </c>
      <c r="BC48" s="121" t="str">
        <f t="shared" si="47"/>
        <v/>
      </c>
      <c r="BD48" s="121" t="str">
        <f t="shared" si="47"/>
        <v/>
      </c>
      <c r="BE48" s="121" t="str">
        <f t="shared" si="47"/>
        <v/>
      </c>
      <c r="BF48" s="121" t="str">
        <f t="shared" si="47"/>
        <v/>
      </c>
      <c r="BG48" s="121" t="str">
        <f t="shared" si="47"/>
        <v/>
      </c>
      <c r="BH48" s="121" t="str">
        <f t="shared" si="47"/>
        <v/>
      </c>
      <c r="BI48" s="121" t="str">
        <f t="shared" si="47"/>
        <v/>
      </c>
      <c r="BJ48" s="121" t="str">
        <f t="shared" si="47"/>
        <v/>
      </c>
      <c r="BK48" s="121" t="str">
        <f t="shared" si="47"/>
        <v/>
      </c>
      <c r="BL48" s="121" t="str">
        <f t="shared" si="47"/>
        <v/>
      </c>
      <c r="BM48" s="121" t="str">
        <f t="shared" si="47"/>
        <v/>
      </c>
      <c r="BN48" s="121" t="str">
        <f t="shared" si="47"/>
        <v/>
      </c>
      <c r="BO48" s="121" t="str">
        <f t="shared" si="47"/>
        <v/>
      </c>
      <c r="BP48" s="121" t="str">
        <f t="shared" si="47"/>
        <v/>
      </c>
      <c r="BQ48" s="120"/>
      <c r="BR48" s="120"/>
      <c r="BS48" s="120"/>
      <c r="BT48" s="120"/>
      <c r="BU48" s="120"/>
      <c r="BV48" s="120"/>
      <c r="BW48" s="120"/>
      <c r="BX48" s="120"/>
      <c r="BY48" s="120"/>
      <c r="BZ48" s="120"/>
      <c r="CA48" s="120"/>
      <c r="CB48" s="120"/>
      <c r="CC48" s="120"/>
      <c r="CD48" s="120"/>
      <c r="CE48" s="120"/>
      <c r="CF48" s="120"/>
      <c r="CG48" s="120"/>
      <c r="CH48" s="120"/>
      <c r="CI48" s="120"/>
      <c r="CJ48" s="120"/>
      <c r="CK48" s="164"/>
      <c r="CL48" s="164"/>
      <c r="CM48" s="164"/>
      <c r="CN48" s="164"/>
      <c r="CO48" s="164"/>
      <c r="CP48" s="164"/>
      <c r="CQ48" s="164"/>
      <c r="CR48" s="164"/>
      <c r="CS48" s="164"/>
      <c r="CT48" s="164"/>
      <c r="CU48" s="164"/>
      <c r="CV48" s="164"/>
      <c r="CW48" s="164"/>
      <c r="CX48" s="164"/>
      <c r="CY48" s="164"/>
      <c r="CZ48" s="164"/>
      <c r="DA48" s="164"/>
      <c r="DB48" s="164"/>
      <c r="DC48" s="164"/>
      <c r="DD48" s="164"/>
      <c r="DE48" s="117"/>
      <c r="DF48" s="117"/>
      <c r="DG48" s="117"/>
      <c r="DH48" s="117"/>
      <c r="DI48" s="117"/>
      <c r="DJ48" s="117"/>
      <c r="DK48" s="117"/>
      <c r="DL48" s="117"/>
      <c r="DM48" s="117"/>
      <c r="DN48" s="117"/>
      <c r="DO48" s="117"/>
      <c r="DP48" s="117"/>
      <c r="DQ48" s="117"/>
      <c r="DR48" s="117"/>
      <c r="DS48" s="117"/>
      <c r="DT48" s="117"/>
      <c r="DU48" s="117"/>
      <c r="DV48" s="117"/>
      <c r="DW48" s="117"/>
      <c r="DX48" s="117"/>
      <c r="DY48" s="114"/>
      <c r="DZ48" s="114"/>
      <c r="EA48" s="114"/>
      <c r="EB48" s="114"/>
      <c r="EC48" s="114"/>
      <c r="ED48" s="114"/>
      <c r="EE48" s="114"/>
      <c r="EF48" s="114"/>
      <c r="EG48" s="114"/>
      <c r="EH48" s="114"/>
      <c r="EI48" s="114"/>
      <c r="EJ48" s="114"/>
      <c r="EK48" s="114"/>
      <c r="EL48" s="114"/>
      <c r="EM48" s="114"/>
      <c r="EN48" s="114"/>
      <c r="EO48" s="114"/>
      <c r="EP48" s="114"/>
      <c r="EQ48" s="114"/>
      <c r="ER48" s="114"/>
    </row>
    <row r="49" spans="1:148" ht="31.5" x14ac:dyDescent="0.25">
      <c r="A49" s="127"/>
      <c r="B49" s="132"/>
      <c r="C49" s="132"/>
      <c r="D49" s="132"/>
      <c r="E49" s="127"/>
      <c r="F49" s="131"/>
      <c r="G49" s="20" t="s">
        <v>56</v>
      </c>
      <c r="H49" s="23" t="s">
        <v>63</v>
      </c>
      <c r="I49" s="78" t="s">
        <v>269</v>
      </c>
      <c r="J49" s="78" t="s">
        <v>269</v>
      </c>
      <c r="K49" s="78" t="s">
        <v>269</v>
      </c>
      <c r="L49" s="78" t="s">
        <v>269</v>
      </c>
      <c r="M49" s="78" t="s">
        <v>269</v>
      </c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0"/>
      <c r="BR49" s="120"/>
      <c r="BS49" s="120"/>
      <c r="BT49" s="120"/>
      <c r="BU49" s="120"/>
      <c r="BV49" s="120"/>
      <c r="BW49" s="120"/>
      <c r="BX49" s="120"/>
      <c r="BY49" s="120"/>
      <c r="BZ49" s="120"/>
      <c r="CA49" s="120"/>
      <c r="CB49" s="120"/>
      <c r="CC49" s="120"/>
      <c r="CD49" s="120"/>
      <c r="CE49" s="120"/>
      <c r="CF49" s="120"/>
      <c r="CG49" s="120"/>
      <c r="CH49" s="120"/>
      <c r="CI49" s="120"/>
      <c r="CJ49" s="120"/>
      <c r="CK49" s="164"/>
      <c r="CL49" s="164"/>
      <c r="CM49" s="164"/>
      <c r="CN49" s="164"/>
      <c r="CO49" s="164"/>
      <c r="CP49" s="164"/>
      <c r="CQ49" s="164"/>
      <c r="CR49" s="164"/>
      <c r="CS49" s="164"/>
      <c r="CT49" s="164"/>
      <c r="CU49" s="164"/>
      <c r="CV49" s="164"/>
      <c r="CW49" s="164"/>
      <c r="CX49" s="164"/>
      <c r="CY49" s="164"/>
      <c r="CZ49" s="164"/>
      <c r="DA49" s="164"/>
      <c r="DB49" s="164"/>
      <c r="DC49" s="164"/>
      <c r="DD49" s="164"/>
      <c r="DE49" s="117"/>
      <c r="DF49" s="117"/>
      <c r="DG49" s="117"/>
      <c r="DH49" s="117"/>
      <c r="DI49" s="117"/>
      <c r="DJ49" s="117"/>
      <c r="DK49" s="117"/>
      <c r="DL49" s="117"/>
      <c r="DM49" s="117"/>
      <c r="DN49" s="117"/>
      <c r="DO49" s="117"/>
      <c r="DP49" s="117"/>
      <c r="DQ49" s="117"/>
      <c r="DR49" s="117"/>
      <c r="DS49" s="117"/>
      <c r="DT49" s="117"/>
      <c r="DU49" s="117"/>
      <c r="DV49" s="117"/>
      <c r="DW49" s="117"/>
      <c r="DX49" s="117"/>
      <c r="DY49" s="114"/>
      <c r="DZ49" s="114"/>
      <c r="EA49" s="114"/>
      <c r="EB49" s="114"/>
      <c r="EC49" s="114"/>
      <c r="ED49" s="114"/>
      <c r="EE49" s="114"/>
      <c r="EF49" s="114"/>
      <c r="EG49" s="114"/>
      <c r="EH49" s="114"/>
      <c r="EI49" s="114"/>
      <c r="EJ49" s="114"/>
      <c r="EK49" s="114"/>
      <c r="EL49" s="114"/>
      <c r="EM49" s="114"/>
      <c r="EN49" s="114"/>
      <c r="EO49" s="114"/>
      <c r="EP49" s="114"/>
      <c r="EQ49" s="114"/>
      <c r="ER49" s="114"/>
    </row>
    <row r="50" spans="1:148" ht="63" x14ac:dyDescent="0.25">
      <c r="A50" s="127"/>
      <c r="B50" s="132"/>
      <c r="C50" s="132"/>
      <c r="D50" s="132"/>
      <c r="E50" s="127"/>
      <c r="F50" s="131"/>
      <c r="G50" s="20" t="s">
        <v>56</v>
      </c>
      <c r="H50" s="23" t="s">
        <v>64</v>
      </c>
      <c r="I50" s="78" t="s">
        <v>269</v>
      </c>
      <c r="J50" s="78" t="s">
        <v>269</v>
      </c>
      <c r="K50" s="78" t="s">
        <v>269</v>
      </c>
      <c r="L50" s="78" t="s">
        <v>269</v>
      </c>
      <c r="M50" s="78" t="s">
        <v>269</v>
      </c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0"/>
      <c r="BR50" s="120"/>
      <c r="BS50" s="120"/>
      <c r="BT50" s="120"/>
      <c r="BU50" s="120"/>
      <c r="BV50" s="120"/>
      <c r="BW50" s="120"/>
      <c r="BX50" s="120"/>
      <c r="BY50" s="120"/>
      <c r="BZ50" s="120"/>
      <c r="CA50" s="120"/>
      <c r="CB50" s="120"/>
      <c r="CC50" s="120"/>
      <c r="CD50" s="120"/>
      <c r="CE50" s="120"/>
      <c r="CF50" s="120"/>
      <c r="CG50" s="120"/>
      <c r="CH50" s="120"/>
      <c r="CI50" s="120"/>
      <c r="CJ50" s="120"/>
      <c r="CK50" s="164"/>
      <c r="CL50" s="164"/>
      <c r="CM50" s="164"/>
      <c r="CN50" s="164"/>
      <c r="CO50" s="164"/>
      <c r="CP50" s="164"/>
      <c r="CQ50" s="164"/>
      <c r="CR50" s="164"/>
      <c r="CS50" s="164"/>
      <c r="CT50" s="164"/>
      <c r="CU50" s="164"/>
      <c r="CV50" s="164"/>
      <c r="CW50" s="164"/>
      <c r="CX50" s="164"/>
      <c r="CY50" s="164"/>
      <c r="CZ50" s="164"/>
      <c r="DA50" s="164"/>
      <c r="DB50" s="164"/>
      <c r="DC50" s="164"/>
      <c r="DD50" s="164"/>
      <c r="DE50" s="117"/>
      <c r="DF50" s="117"/>
      <c r="DG50" s="117"/>
      <c r="DH50" s="117"/>
      <c r="DI50" s="117"/>
      <c r="DJ50" s="117"/>
      <c r="DK50" s="117"/>
      <c r="DL50" s="117"/>
      <c r="DM50" s="117"/>
      <c r="DN50" s="117"/>
      <c r="DO50" s="117"/>
      <c r="DP50" s="117"/>
      <c r="DQ50" s="117"/>
      <c r="DR50" s="117"/>
      <c r="DS50" s="117"/>
      <c r="DT50" s="117"/>
      <c r="DU50" s="117"/>
      <c r="DV50" s="117"/>
      <c r="DW50" s="117"/>
      <c r="DX50" s="117"/>
      <c r="DY50" s="114"/>
      <c r="DZ50" s="114"/>
      <c r="EA50" s="114"/>
      <c r="EB50" s="114"/>
      <c r="EC50" s="114"/>
      <c r="ED50" s="114"/>
      <c r="EE50" s="114"/>
      <c r="EF50" s="114"/>
      <c r="EG50" s="114"/>
      <c r="EH50" s="114"/>
      <c r="EI50" s="114"/>
      <c r="EJ50" s="114"/>
      <c r="EK50" s="114"/>
      <c r="EL50" s="114"/>
      <c r="EM50" s="114"/>
      <c r="EN50" s="114"/>
      <c r="EO50" s="114"/>
      <c r="EP50" s="114"/>
      <c r="EQ50" s="114"/>
      <c r="ER50" s="114"/>
    </row>
    <row r="51" spans="1:148" ht="47.25" x14ac:dyDescent="0.25">
      <c r="A51" s="127"/>
      <c r="B51" s="132"/>
      <c r="C51" s="132"/>
      <c r="D51" s="132"/>
      <c r="E51" s="127"/>
      <c r="F51" s="131"/>
      <c r="G51" s="20" t="s">
        <v>56</v>
      </c>
      <c r="H51" s="23" t="s">
        <v>65</v>
      </c>
      <c r="I51" s="78" t="s">
        <v>269</v>
      </c>
      <c r="J51" s="78" t="s">
        <v>269</v>
      </c>
      <c r="K51" s="78" t="s">
        <v>269</v>
      </c>
      <c r="L51" s="78" t="s">
        <v>269</v>
      </c>
      <c r="M51" s="78" t="s">
        <v>269</v>
      </c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0"/>
      <c r="BR51" s="120"/>
      <c r="BS51" s="120"/>
      <c r="BT51" s="120"/>
      <c r="BU51" s="120"/>
      <c r="BV51" s="120"/>
      <c r="BW51" s="120"/>
      <c r="BX51" s="120"/>
      <c r="BY51" s="120"/>
      <c r="BZ51" s="120"/>
      <c r="CA51" s="120"/>
      <c r="CB51" s="120"/>
      <c r="CC51" s="120"/>
      <c r="CD51" s="120"/>
      <c r="CE51" s="120"/>
      <c r="CF51" s="120"/>
      <c r="CG51" s="120"/>
      <c r="CH51" s="120"/>
      <c r="CI51" s="120"/>
      <c r="CJ51" s="120"/>
      <c r="CK51" s="164"/>
      <c r="CL51" s="164"/>
      <c r="CM51" s="164"/>
      <c r="CN51" s="164"/>
      <c r="CO51" s="164"/>
      <c r="CP51" s="164"/>
      <c r="CQ51" s="164"/>
      <c r="CR51" s="164"/>
      <c r="CS51" s="164"/>
      <c r="CT51" s="164"/>
      <c r="CU51" s="164"/>
      <c r="CV51" s="164"/>
      <c r="CW51" s="164"/>
      <c r="CX51" s="164"/>
      <c r="CY51" s="164"/>
      <c r="CZ51" s="164"/>
      <c r="DA51" s="164"/>
      <c r="DB51" s="164"/>
      <c r="DC51" s="164"/>
      <c r="DD51" s="164"/>
      <c r="DE51" s="117"/>
      <c r="DF51" s="117"/>
      <c r="DG51" s="117"/>
      <c r="DH51" s="117"/>
      <c r="DI51" s="117"/>
      <c r="DJ51" s="117"/>
      <c r="DK51" s="117"/>
      <c r="DL51" s="117"/>
      <c r="DM51" s="117"/>
      <c r="DN51" s="117"/>
      <c r="DO51" s="117"/>
      <c r="DP51" s="117"/>
      <c r="DQ51" s="117"/>
      <c r="DR51" s="117"/>
      <c r="DS51" s="117"/>
      <c r="DT51" s="117"/>
      <c r="DU51" s="117"/>
      <c r="DV51" s="117"/>
      <c r="DW51" s="117"/>
      <c r="DX51" s="117"/>
      <c r="DY51" s="114"/>
      <c r="DZ51" s="114"/>
      <c r="EA51" s="114"/>
      <c r="EB51" s="114"/>
      <c r="EC51" s="114"/>
      <c r="ED51" s="114"/>
      <c r="EE51" s="114"/>
      <c r="EF51" s="114"/>
      <c r="EG51" s="114"/>
      <c r="EH51" s="114"/>
      <c r="EI51" s="114"/>
      <c r="EJ51" s="114"/>
      <c r="EK51" s="114"/>
      <c r="EL51" s="114"/>
      <c r="EM51" s="114"/>
      <c r="EN51" s="114"/>
      <c r="EO51" s="114"/>
      <c r="EP51" s="114"/>
      <c r="EQ51" s="114"/>
      <c r="ER51" s="114"/>
    </row>
    <row r="52" spans="1:148" ht="48" customHeight="1" x14ac:dyDescent="0.25">
      <c r="A52" s="127"/>
      <c r="B52" s="132"/>
      <c r="C52" s="132"/>
      <c r="D52" s="132"/>
      <c r="E52" s="127"/>
      <c r="F52" s="131"/>
      <c r="G52" s="20" t="s">
        <v>56</v>
      </c>
      <c r="H52" s="23" t="s">
        <v>66</v>
      </c>
      <c r="I52" s="78" t="s">
        <v>269</v>
      </c>
      <c r="J52" s="78" t="s">
        <v>269</v>
      </c>
      <c r="K52" s="78" t="s">
        <v>269</v>
      </c>
      <c r="L52" s="78" t="s">
        <v>269</v>
      </c>
      <c r="M52" s="78" t="s">
        <v>269</v>
      </c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0"/>
      <c r="BR52" s="120"/>
      <c r="BS52" s="120"/>
      <c r="BT52" s="120"/>
      <c r="BU52" s="120"/>
      <c r="BV52" s="120"/>
      <c r="BW52" s="120"/>
      <c r="BX52" s="120"/>
      <c r="BY52" s="120"/>
      <c r="BZ52" s="120"/>
      <c r="CA52" s="120"/>
      <c r="CB52" s="120"/>
      <c r="CC52" s="120"/>
      <c r="CD52" s="120"/>
      <c r="CE52" s="120"/>
      <c r="CF52" s="120"/>
      <c r="CG52" s="120"/>
      <c r="CH52" s="120"/>
      <c r="CI52" s="120"/>
      <c r="CJ52" s="120"/>
      <c r="CK52" s="164"/>
      <c r="CL52" s="164"/>
      <c r="CM52" s="164"/>
      <c r="CN52" s="164"/>
      <c r="CO52" s="164"/>
      <c r="CP52" s="164"/>
      <c r="CQ52" s="164"/>
      <c r="CR52" s="164"/>
      <c r="CS52" s="164"/>
      <c r="CT52" s="164"/>
      <c r="CU52" s="164"/>
      <c r="CV52" s="164"/>
      <c r="CW52" s="164"/>
      <c r="CX52" s="164"/>
      <c r="CY52" s="164"/>
      <c r="CZ52" s="164"/>
      <c r="DA52" s="164"/>
      <c r="DB52" s="164"/>
      <c r="DC52" s="164"/>
      <c r="DD52" s="164"/>
      <c r="DE52" s="117"/>
      <c r="DF52" s="117"/>
      <c r="DG52" s="117"/>
      <c r="DH52" s="117"/>
      <c r="DI52" s="117"/>
      <c r="DJ52" s="117"/>
      <c r="DK52" s="117"/>
      <c r="DL52" s="117"/>
      <c r="DM52" s="117"/>
      <c r="DN52" s="117"/>
      <c r="DO52" s="117"/>
      <c r="DP52" s="117"/>
      <c r="DQ52" s="117"/>
      <c r="DR52" s="117"/>
      <c r="DS52" s="117"/>
      <c r="DT52" s="117"/>
      <c r="DU52" s="117"/>
      <c r="DV52" s="117"/>
      <c r="DW52" s="117"/>
      <c r="DX52" s="117"/>
      <c r="DY52" s="114"/>
      <c r="DZ52" s="114"/>
      <c r="EA52" s="114"/>
      <c r="EB52" s="114"/>
      <c r="EC52" s="114"/>
      <c r="ED52" s="114"/>
      <c r="EE52" s="114"/>
      <c r="EF52" s="114"/>
      <c r="EG52" s="114"/>
      <c r="EH52" s="114"/>
      <c r="EI52" s="114"/>
      <c r="EJ52" s="114"/>
      <c r="EK52" s="114"/>
      <c r="EL52" s="114"/>
      <c r="EM52" s="114"/>
      <c r="EN52" s="114"/>
      <c r="EO52" s="114"/>
      <c r="EP52" s="114"/>
      <c r="EQ52" s="114"/>
      <c r="ER52" s="114"/>
    </row>
    <row r="53" spans="1:148" ht="18" x14ac:dyDescent="0.25">
      <c r="A53" s="127" t="s">
        <v>104</v>
      </c>
      <c r="B53" s="133" t="s">
        <v>110</v>
      </c>
      <c r="C53" s="127">
        <v>1</v>
      </c>
      <c r="D53" s="126" t="s">
        <v>111</v>
      </c>
      <c r="E53" s="129" t="s">
        <v>112</v>
      </c>
      <c r="F53" s="128" t="s">
        <v>137</v>
      </c>
      <c r="G53" s="20" t="s">
        <v>56</v>
      </c>
      <c r="H53" s="23" t="s">
        <v>118</v>
      </c>
      <c r="I53" s="78" t="s">
        <v>269</v>
      </c>
      <c r="J53" s="78" t="s">
        <v>269</v>
      </c>
      <c r="K53" s="78" t="s">
        <v>269</v>
      </c>
      <c r="L53" s="78" t="s">
        <v>269</v>
      </c>
      <c r="M53" s="78" t="s">
        <v>269</v>
      </c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122">
        <f t="shared" ref="AC53:AV53" si="48">IF(AND(I53="",I54=""),"",COUNTIF(I53:I54,"v"))</f>
        <v>2</v>
      </c>
      <c r="AD53" s="122">
        <f t="shared" si="48"/>
        <v>2</v>
      </c>
      <c r="AE53" s="122">
        <f t="shared" si="48"/>
        <v>2</v>
      </c>
      <c r="AF53" s="122">
        <f t="shared" si="48"/>
        <v>2</v>
      </c>
      <c r="AG53" s="122">
        <f t="shared" si="48"/>
        <v>2</v>
      </c>
      <c r="AH53" s="122" t="str">
        <f t="shared" si="48"/>
        <v/>
      </c>
      <c r="AI53" s="122" t="str">
        <f t="shared" si="48"/>
        <v/>
      </c>
      <c r="AJ53" s="122" t="str">
        <f t="shared" si="48"/>
        <v/>
      </c>
      <c r="AK53" s="122" t="str">
        <f t="shared" si="48"/>
        <v/>
      </c>
      <c r="AL53" s="122" t="str">
        <f t="shared" si="48"/>
        <v/>
      </c>
      <c r="AM53" s="122" t="str">
        <f t="shared" si="48"/>
        <v/>
      </c>
      <c r="AN53" s="122" t="str">
        <f t="shared" si="48"/>
        <v/>
      </c>
      <c r="AO53" s="122" t="str">
        <f t="shared" si="48"/>
        <v/>
      </c>
      <c r="AP53" s="122" t="str">
        <f t="shared" si="48"/>
        <v/>
      </c>
      <c r="AQ53" s="122" t="str">
        <f t="shared" si="48"/>
        <v/>
      </c>
      <c r="AR53" s="122" t="str">
        <f t="shared" si="48"/>
        <v/>
      </c>
      <c r="AS53" s="122" t="str">
        <f t="shared" si="48"/>
        <v/>
      </c>
      <c r="AT53" s="122" t="str">
        <f t="shared" si="48"/>
        <v/>
      </c>
      <c r="AU53" s="122" t="str">
        <f t="shared" si="48"/>
        <v/>
      </c>
      <c r="AV53" s="122" t="str">
        <f t="shared" si="48"/>
        <v/>
      </c>
      <c r="AW53" s="124">
        <f t="shared" ref="AW53:CJ53" si="49">IF(AC53="","",IF(AC53&gt;=1,1,0))</f>
        <v>1</v>
      </c>
      <c r="AX53" s="124">
        <f t="shared" si="49"/>
        <v>1</v>
      </c>
      <c r="AY53" s="124">
        <f t="shared" si="49"/>
        <v>1</v>
      </c>
      <c r="AZ53" s="124">
        <f t="shared" si="49"/>
        <v>1</v>
      </c>
      <c r="BA53" s="124">
        <f t="shared" si="49"/>
        <v>1</v>
      </c>
      <c r="BB53" s="124" t="str">
        <f t="shared" si="49"/>
        <v/>
      </c>
      <c r="BC53" s="124" t="str">
        <f t="shared" si="49"/>
        <v/>
      </c>
      <c r="BD53" s="124" t="str">
        <f t="shared" si="49"/>
        <v/>
      </c>
      <c r="BE53" s="124" t="str">
        <f t="shared" si="49"/>
        <v/>
      </c>
      <c r="BF53" s="124" t="str">
        <f t="shared" si="49"/>
        <v/>
      </c>
      <c r="BG53" s="124" t="str">
        <f t="shared" si="49"/>
        <v/>
      </c>
      <c r="BH53" s="124" t="str">
        <f t="shared" si="49"/>
        <v/>
      </c>
      <c r="BI53" s="124" t="str">
        <f t="shared" si="49"/>
        <v/>
      </c>
      <c r="BJ53" s="124" t="str">
        <f t="shared" si="49"/>
        <v/>
      </c>
      <c r="BK53" s="124" t="str">
        <f t="shared" si="49"/>
        <v/>
      </c>
      <c r="BL53" s="124" t="str">
        <f t="shared" si="49"/>
        <v/>
      </c>
      <c r="BM53" s="124" t="str">
        <f t="shared" si="49"/>
        <v/>
      </c>
      <c r="BN53" s="124" t="str">
        <f t="shared" si="49"/>
        <v/>
      </c>
      <c r="BO53" s="124" t="str">
        <f t="shared" si="49"/>
        <v/>
      </c>
      <c r="BP53" s="124" t="str">
        <f t="shared" si="49"/>
        <v/>
      </c>
      <c r="BQ53" s="118">
        <f t="shared" si="49"/>
        <v>1</v>
      </c>
      <c r="BR53" s="118">
        <f t="shared" si="49"/>
        <v>1</v>
      </c>
      <c r="BS53" s="118">
        <f t="shared" si="49"/>
        <v>1</v>
      </c>
      <c r="BT53" s="118">
        <f t="shared" si="49"/>
        <v>1</v>
      </c>
      <c r="BU53" s="118">
        <f t="shared" si="49"/>
        <v>1</v>
      </c>
      <c r="BV53" s="118" t="str">
        <f t="shared" si="49"/>
        <v/>
      </c>
      <c r="BW53" s="118" t="str">
        <f t="shared" si="49"/>
        <v/>
      </c>
      <c r="BX53" s="118" t="str">
        <f t="shared" si="49"/>
        <v/>
      </c>
      <c r="BY53" s="118" t="str">
        <f t="shared" si="49"/>
        <v/>
      </c>
      <c r="BZ53" s="118" t="str">
        <f t="shared" si="49"/>
        <v/>
      </c>
      <c r="CA53" s="118" t="str">
        <f t="shared" si="49"/>
        <v/>
      </c>
      <c r="CB53" s="118" t="str">
        <f t="shared" si="49"/>
        <v/>
      </c>
      <c r="CC53" s="118" t="str">
        <f t="shared" si="49"/>
        <v/>
      </c>
      <c r="CD53" s="118" t="str">
        <f t="shared" si="49"/>
        <v/>
      </c>
      <c r="CE53" s="118" t="str">
        <f t="shared" si="49"/>
        <v/>
      </c>
      <c r="CF53" s="118" t="str">
        <f t="shared" si="49"/>
        <v/>
      </c>
      <c r="CG53" s="118" t="str">
        <f t="shared" si="49"/>
        <v/>
      </c>
      <c r="CH53" s="118" t="str">
        <f t="shared" si="49"/>
        <v/>
      </c>
      <c r="CI53" s="118" t="str">
        <f t="shared" si="49"/>
        <v/>
      </c>
      <c r="CJ53" s="118" t="str">
        <f t="shared" si="49"/>
        <v/>
      </c>
      <c r="CK53" s="163" t="s">
        <v>117</v>
      </c>
      <c r="CL53" s="163" t="s">
        <v>112</v>
      </c>
      <c r="CM53" s="163" t="s">
        <v>112</v>
      </c>
      <c r="CN53" s="163" t="s">
        <v>112</v>
      </c>
      <c r="CO53" s="163" t="s">
        <v>113</v>
      </c>
      <c r="CP53" s="163" t="str">
        <f t="shared" ref="CP53:DD53" si="50">IF(MAX(BB53:BB71)=1,"C1",IF(MAX(BB53:BB71)=2,"C2",IF(MAX(BB53:BB71)=3,"C3",IF(MAX(BB53:BB71)=4,"C4",IF(MAX(BB53:BB71)=5,"C5",IF(MAX(BB53:BB71)=6,"C6",""))))))</f>
        <v/>
      </c>
      <c r="CQ53" s="163" t="str">
        <f t="shared" si="50"/>
        <v/>
      </c>
      <c r="CR53" s="163" t="str">
        <f t="shared" si="50"/>
        <v/>
      </c>
      <c r="CS53" s="163" t="str">
        <f t="shared" si="50"/>
        <v/>
      </c>
      <c r="CT53" s="163" t="str">
        <f t="shared" si="50"/>
        <v/>
      </c>
      <c r="CU53" s="163" t="str">
        <f t="shared" si="50"/>
        <v/>
      </c>
      <c r="CV53" s="163" t="str">
        <f t="shared" si="50"/>
        <v/>
      </c>
      <c r="CW53" s="163" t="str">
        <f t="shared" si="50"/>
        <v/>
      </c>
      <c r="CX53" s="163" t="str">
        <f t="shared" si="50"/>
        <v/>
      </c>
      <c r="CY53" s="163" t="str">
        <f t="shared" si="50"/>
        <v/>
      </c>
      <c r="CZ53" s="163" t="str">
        <f t="shared" si="50"/>
        <v/>
      </c>
      <c r="DA53" s="163" t="str">
        <f t="shared" si="50"/>
        <v/>
      </c>
      <c r="DB53" s="163" t="str">
        <f t="shared" si="50"/>
        <v/>
      </c>
      <c r="DC53" s="163" t="str">
        <f t="shared" si="50"/>
        <v/>
      </c>
      <c r="DD53" s="163" t="str">
        <f t="shared" si="50"/>
        <v/>
      </c>
      <c r="DE53" s="49"/>
      <c r="DF53" s="49"/>
      <c r="DG53" s="49"/>
      <c r="DH53" s="49"/>
      <c r="DI53" s="49"/>
      <c r="DJ53" s="49"/>
      <c r="DK53" s="49"/>
      <c r="DL53" s="49"/>
      <c r="DM53" s="49"/>
      <c r="DN53" s="49"/>
      <c r="DO53" s="49"/>
      <c r="DP53" s="49"/>
      <c r="DQ53" s="49"/>
      <c r="DR53" s="49"/>
      <c r="DS53" s="49"/>
      <c r="DT53" s="49"/>
      <c r="DU53" s="49"/>
      <c r="DV53" s="49"/>
      <c r="DW53" s="49"/>
      <c r="DX53" s="49"/>
      <c r="DY53" s="49"/>
      <c r="DZ53" s="49"/>
      <c r="EA53" s="49"/>
      <c r="EB53" s="49"/>
      <c r="EC53" s="49"/>
      <c r="ED53" s="49"/>
      <c r="EE53" s="49"/>
      <c r="EF53" s="49"/>
      <c r="EG53" s="49"/>
      <c r="EH53" s="49"/>
      <c r="EI53" s="49"/>
      <c r="EJ53" s="49"/>
      <c r="EK53" s="49"/>
      <c r="EL53" s="49"/>
      <c r="EM53" s="49"/>
      <c r="EN53" s="49"/>
      <c r="EO53" s="49"/>
      <c r="EP53" s="49"/>
      <c r="EQ53" s="49"/>
      <c r="ER53" s="49"/>
    </row>
    <row r="54" spans="1:148" ht="63.6" customHeight="1" x14ac:dyDescent="0.25">
      <c r="A54" s="127"/>
      <c r="B54" s="133"/>
      <c r="C54" s="127"/>
      <c r="D54" s="126"/>
      <c r="E54" s="129"/>
      <c r="F54" s="128"/>
      <c r="G54" s="20" t="s">
        <v>56</v>
      </c>
      <c r="H54" s="23" t="s">
        <v>119</v>
      </c>
      <c r="I54" s="78" t="s">
        <v>269</v>
      </c>
      <c r="J54" s="78" t="s">
        <v>269</v>
      </c>
      <c r="K54" s="78" t="s">
        <v>269</v>
      </c>
      <c r="L54" s="78" t="s">
        <v>269</v>
      </c>
      <c r="M54" s="78" t="s">
        <v>269</v>
      </c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4"/>
      <c r="AX54" s="124"/>
      <c r="AY54" s="124"/>
      <c r="AZ54" s="124"/>
      <c r="BA54" s="124"/>
      <c r="BB54" s="124"/>
      <c r="BC54" s="124"/>
      <c r="BD54" s="124"/>
      <c r="BE54" s="124"/>
      <c r="BF54" s="124"/>
      <c r="BG54" s="124"/>
      <c r="BH54" s="124"/>
      <c r="BI54" s="124"/>
      <c r="BJ54" s="124"/>
      <c r="BK54" s="124"/>
      <c r="BL54" s="124"/>
      <c r="BM54" s="124"/>
      <c r="BN54" s="124"/>
      <c r="BO54" s="124"/>
      <c r="BP54" s="124"/>
      <c r="BQ54" s="118"/>
      <c r="BR54" s="118"/>
      <c r="BS54" s="118"/>
      <c r="BT54" s="118"/>
      <c r="BU54" s="118"/>
      <c r="BV54" s="118"/>
      <c r="BW54" s="118"/>
      <c r="BX54" s="118"/>
      <c r="BY54" s="118"/>
      <c r="BZ54" s="118"/>
      <c r="CA54" s="118"/>
      <c r="CB54" s="118"/>
      <c r="CC54" s="118"/>
      <c r="CD54" s="118"/>
      <c r="CE54" s="118"/>
      <c r="CF54" s="118"/>
      <c r="CG54" s="118"/>
      <c r="CH54" s="118"/>
      <c r="CI54" s="118"/>
      <c r="CJ54" s="118"/>
      <c r="CK54" s="163"/>
      <c r="CL54" s="163"/>
      <c r="CM54" s="163"/>
      <c r="CN54" s="163"/>
      <c r="CO54" s="163"/>
      <c r="CP54" s="163"/>
      <c r="CQ54" s="163"/>
      <c r="CR54" s="163"/>
      <c r="CS54" s="163"/>
      <c r="CT54" s="163"/>
      <c r="CU54" s="163"/>
      <c r="CV54" s="163"/>
      <c r="CW54" s="163"/>
      <c r="CX54" s="163"/>
      <c r="CY54" s="163"/>
      <c r="CZ54" s="163"/>
      <c r="DA54" s="163"/>
      <c r="DB54" s="163"/>
      <c r="DC54" s="163"/>
      <c r="DD54" s="163"/>
      <c r="DE54" s="49"/>
      <c r="DF54" s="49"/>
      <c r="DG54" s="49"/>
      <c r="DH54" s="49"/>
      <c r="DI54" s="49"/>
      <c r="DJ54" s="49"/>
      <c r="DK54" s="49"/>
      <c r="DL54" s="49"/>
      <c r="DM54" s="49"/>
      <c r="DN54" s="49"/>
      <c r="DO54" s="49"/>
      <c r="DP54" s="49"/>
      <c r="DQ54" s="49"/>
      <c r="DR54" s="49"/>
      <c r="DS54" s="49"/>
      <c r="DT54" s="49"/>
      <c r="DU54" s="49"/>
      <c r="DV54" s="49"/>
      <c r="DW54" s="49"/>
      <c r="DX54" s="49"/>
      <c r="DY54" s="49"/>
      <c r="DZ54" s="49"/>
      <c r="EA54" s="49"/>
      <c r="EB54" s="49"/>
      <c r="EC54" s="49"/>
      <c r="ED54" s="49"/>
      <c r="EE54" s="49"/>
      <c r="EF54" s="49"/>
      <c r="EG54" s="49"/>
      <c r="EH54" s="49"/>
      <c r="EI54" s="49"/>
      <c r="EJ54" s="49"/>
      <c r="EK54" s="49"/>
      <c r="EL54" s="49"/>
      <c r="EM54" s="49"/>
      <c r="EN54" s="49"/>
      <c r="EO54" s="49"/>
      <c r="EP54" s="49"/>
      <c r="EQ54" s="49"/>
      <c r="ER54" s="49"/>
    </row>
    <row r="55" spans="1:148" ht="18" customHeight="1" x14ac:dyDescent="0.25">
      <c r="A55" s="127"/>
      <c r="B55" s="133"/>
      <c r="C55" s="127">
        <v>2</v>
      </c>
      <c r="D55" s="126" t="s">
        <v>105</v>
      </c>
      <c r="E55" s="129" t="s">
        <v>113</v>
      </c>
      <c r="F55" s="130" t="s">
        <v>138</v>
      </c>
      <c r="G55" s="20" t="s">
        <v>56</v>
      </c>
      <c r="H55" s="23" t="s">
        <v>120</v>
      </c>
      <c r="I55" s="78" t="s">
        <v>269</v>
      </c>
      <c r="J55" s="78" t="s">
        <v>269</v>
      </c>
      <c r="K55" s="78" t="s">
        <v>269</v>
      </c>
      <c r="L55" s="78" t="s">
        <v>269</v>
      </c>
      <c r="M55" s="78" t="s">
        <v>269</v>
      </c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122">
        <f t="shared" ref="AC55:AV55" si="51">IF(AND(I55="",I56="",I57="",I58="",I59="",I60="",I61=""),"",COUNTIF(I55:I61,"v"))</f>
        <v>7</v>
      </c>
      <c r="AD55" s="122">
        <f t="shared" si="51"/>
        <v>7</v>
      </c>
      <c r="AE55" s="122">
        <f t="shared" si="51"/>
        <v>7</v>
      </c>
      <c r="AF55" s="122">
        <f t="shared" si="51"/>
        <v>7</v>
      </c>
      <c r="AG55" s="122">
        <f t="shared" si="51"/>
        <v>7</v>
      </c>
      <c r="AH55" s="122" t="str">
        <f t="shared" si="51"/>
        <v/>
      </c>
      <c r="AI55" s="122" t="str">
        <f t="shared" si="51"/>
        <v/>
      </c>
      <c r="AJ55" s="122" t="str">
        <f t="shared" si="51"/>
        <v/>
      </c>
      <c r="AK55" s="122" t="str">
        <f t="shared" si="51"/>
        <v/>
      </c>
      <c r="AL55" s="122" t="str">
        <f t="shared" si="51"/>
        <v/>
      </c>
      <c r="AM55" s="122" t="str">
        <f t="shared" si="51"/>
        <v/>
      </c>
      <c r="AN55" s="122" t="str">
        <f t="shared" si="51"/>
        <v/>
      </c>
      <c r="AO55" s="122" t="str">
        <f t="shared" si="51"/>
        <v/>
      </c>
      <c r="AP55" s="122" t="str">
        <f t="shared" si="51"/>
        <v/>
      </c>
      <c r="AQ55" s="122" t="str">
        <f t="shared" si="51"/>
        <v/>
      </c>
      <c r="AR55" s="122" t="str">
        <f t="shared" si="51"/>
        <v/>
      </c>
      <c r="AS55" s="122" t="str">
        <f t="shared" si="51"/>
        <v/>
      </c>
      <c r="AT55" s="122" t="str">
        <f t="shared" si="51"/>
        <v/>
      </c>
      <c r="AU55" s="122" t="str">
        <f t="shared" si="51"/>
        <v/>
      </c>
      <c r="AV55" s="122" t="str">
        <f t="shared" si="51"/>
        <v/>
      </c>
      <c r="AW55" s="124">
        <f t="shared" ref="AW55:CJ55" si="52">IF(AC55="","",IF(AC55&gt;=1,2,0))</f>
        <v>2</v>
      </c>
      <c r="AX55" s="124">
        <f t="shared" si="52"/>
        <v>2</v>
      </c>
      <c r="AY55" s="124">
        <f t="shared" si="52"/>
        <v>2</v>
      </c>
      <c r="AZ55" s="124">
        <f t="shared" si="52"/>
        <v>2</v>
      </c>
      <c r="BA55" s="124">
        <f t="shared" si="52"/>
        <v>2</v>
      </c>
      <c r="BB55" s="124" t="str">
        <f t="shared" si="52"/>
        <v/>
      </c>
      <c r="BC55" s="124" t="str">
        <f t="shared" si="52"/>
        <v/>
      </c>
      <c r="BD55" s="124" t="str">
        <f t="shared" si="52"/>
        <v/>
      </c>
      <c r="BE55" s="124" t="str">
        <f t="shared" si="52"/>
        <v/>
      </c>
      <c r="BF55" s="124" t="str">
        <f t="shared" si="52"/>
        <v/>
      </c>
      <c r="BG55" s="124" t="str">
        <f t="shared" si="52"/>
        <v/>
      </c>
      <c r="BH55" s="124" t="str">
        <f t="shared" si="52"/>
        <v/>
      </c>
      <c r="BI55" s="124" t="str">
        <f t="shared" si="52"/>
        <v/>
      </c>
      <c r="BJ55" s="124" t="str">
        <f t="shared" si="52"/>
        <v/>
      </c>
      <c r="BK55" s="124" t="str">
        <f t="shared" si="52"/>
        <v/>
      </c>
      <c r="BL55" s="124" t="str">
        <f t="shared" si="52"/>
        <v/>
      </c>
      <c r="BM55" s="124" t="str">
        <f t="shared" si="52"/>
        <v/>
      </c>
      <c r="BN55" s="124" t="str">
        <f t="shared" si="52"/>
        <v/>
      </c>
      <c r="BO55" s="124" t="str">
        <f t="shared" si="52"/>
        <v/>
      </c>
      <c r="BP55" s="124" t="str">
        <f t="shared" si="52"/>
        <v/>
      </c>
      <c r="BQ55" s="118">
        <f t="shared" si="52"/>
        <v>2</v>
      </c>
      <c r="BR55" s="118">
        <f t="shared" si="52"/>
        <v>2</v>
      </c>
      <c r="BS55" s="118">
        <f t="shared" si="52"/>
        <v>2</v>
      </c>
      <c r="BT55" s="118">
        <f t="shared" si="52"/>
        <v>2</v>
      </c>
      <c r="BU55" s="118">
        <f t="shared" si="52"/>
        <v>2</v>
      </c>
      <c r="BV55" s="118" t="str">
        <f t="shared" si="52"/>
        <v/>
      </c>
      <c r="BW55" s="118" t="str">
        <f t="shared" si="52"/>
        <v/>
      </c>
      <c r="BX55" s="118" t="str">
        <f t="shared" si="52"/>
        <v/>
      </c>
      <c r="BY55" s="118" t="str">
        <f t="shared" si="52"/>
        <v/>
      </c>
      <c r="BZ55" s="118" t="str">
        <f t="shared" si="52"/>
        <v/>
      </c>
      <c r="CA55" s="118" t="str">
        <f t="shared" si="52"/>
        <v/>
      </c>
      <c r="CB55" s="118" t="str">
        <f t="shared" si="52"/>
        <v/>
      </c>
      <c r="CC55" s="118" t="str">
        <f t="shared" si="52"/>
        <v/>
      </c>
      <c r="CD55" s="118" t="str">
        <f t="shared" si="52"/>
        <v/>
      </c>
      <c r="CE55" s="118" t="str">
        <f t="shared" si="52"/>
        <v/>
      </c>
      <c r="CF55" s="118" t="str">
        <f t="shared" si="52"/>
        <v/>
      </c>
      <c r="CG55" s="118" t="str">
        <f t="shared" si="52"/>
        <v/>
      </c>
      <c r="CH55" s="118" t="str">
        <f t="shared" si="52"/>
        <v/>
      </c>
      <c r="CI55" s="118" t="str">
        <f t="shared" si="52"/>
        <v/>
      </c>
      <c r="CJ55" s="118" t="str">
        <f t="shared" si="52"/>
        <v/>
      </c>
      <c r="CK55" s="163"/>
      <c r="CL55" s="163"/>
      <c r="CM55" s="163"/>
      <c r="CN55" s="163"/>
      <c r="CO55" s="163"/>
      <c r="CP55" s="163"/>
      <c r="CQ55" s="163"/>
      <c r="CR55" s="163"/>
      <c r="CS55" s="163"/>
      <c r="CT55" s="163"/>
      <c r="CU55" s="163"/>
      <c r="CV55" s="163"/>
      <c r="CW55" s="163"/>
      <c r="CX55" s="163"/>
      <c r="CY55" s="163"/>
      <c r="CZ55" s="163"/>
      <c r="DA55" s="163"/>
      <c r="DB55" s="163"/>
      <c r="DC55" s="163"/>
      <c r="DD55" s="163"/>
      <c r="DE55" s="49"/>
      <c r="DF55" s="49"/>
      <c r="DG55" s="49"/>
      <c r="DH55" s="49"/>
      <c r="DI55" s="49"/>
      <c r="DJ55" s="49"/>
      <c r="DK55" s="49"/>
      <c r="DL55" s="49"/>
      <c r="DM55" s="49"/>
      <c r="DN55" s="49"/>
      <c r="DO55" s="49"/>
      <c r="DP55" s="49"/>
      <c r="DQ55" s="49"/>
      <c r="DR55" s="49"/>
      <c r="DS55" s="49"/>
      <c r="DT55" s="49"/>
      <c r="DU55" s="49"/>
      <c r="DV55" s="49"/>
      <c r="DW55" s="49"/>
      <c r="DX55" s="49"/>
      <c r="DY55" s="49"/>
      <c r="DZ55" s="49"/>
      <c r="EA55" s="49"/>
      <c r="EB55" s="49"/>
      <c r="EC55" s="49"/>
      <c r="ED55" s="49"/>
      <c r="EE55" s="49"/>
      <c r="EF55" s="49"/>
      <c r="EG55" s="49"/>
      <c r="EH55" s="49"/>
      <c r="EI55" s="49"/>
      <c r="EJ55" s="49"/>
      <c r="EK55" s="49"/>
      <c r="EL55" s="49"/>
      <c r="EM55" s="49"/>
      <c r="EN55" s="49"/>
      <c r="EO55" s="49"/>
      <c r="EP55" s="49"/>
      <c r="EQ55" s="49"/>
      <c r="ER55" s="49"/>
    </row>
    <row r="56" spans="1:148" ht="18" x14ac:dyDescent="0.25">
      <c r="A56" s="127"/>
      <c r="B56" s="133"/>
      <c r="C56" s="127"/>
      <c r="D56" s="126"/>
      <c r="E56" s="129"/>
      <c r="F56" s="130"/>
      <c r="G56" s="20" t="s">
        <v>56</v>
      </c>
      <c r="H56" s="23" t="s">
        <v>121</v>
      </c>
      <c r="I56" s="78" t="s">
        <v>269</v>
      </c>
      <c r="J56" s="78" t="s">
        <v>269</v>
      </c>
      <c r="K56" s="78" t="s">
        <v>269</v>
      </c>
      <c r="L56" s="78" t="s">
        <v>269</v>
      </c>
      <c r="M56" s="78" t="s">
        <v>269</v>
      </c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4"/>
      <c r="AX56" s="124"/>
      <c r="AY56" s="124"/>
      <c r="AZ56" s="124"/>
      <c r="BA56" s="124"/>
      <c r="BB56" s="124"/>
      <c r="BC56" s="124"/>
      <c r="BD56" s="124"/>
      <c r="BE56" s="124"/>
      <c r="BF56" s="124"/>
      <c r="BG56" s="124"/>
      <c r="BH56" s="124"/>
      <c r="BI56" s="124"/>
      <c r="BJ56" s="124"/>
      <c r="BK56" s="124"/>
      <c r="BL56" s="124"/>
      <c r="BM56" s="124"/>
      <c r="BN56" s="124"/>
      <c r="BO56" s="124"/>
      <c r="BP56" s="124"/>
      <c r="BQ56" s="118"/>
      <c r="BR56" s="118"/>
      <c r="BS56" s="118"/>
      <c r="BT56" s="118"/>
      <c r="BU56" s="118"/>
      <c r="BV56" s="118"/>
      <c r="BW56" s="118"/>
      <c r="BX56" s="118"/>
      <c r="BY56" s="118"/>
      <c r="BZ56" s="118"/>
      <c r="CA56" s="118"/>
      <c r="CB56" s="118"/>
      <c r="CC56" s="118"/>
      <c r="CD56" s="118"/>
      <c r="CE56" s="118"/>
      <c r="CF56" s="118"/>
      <c r="CG56" s="118"/>
      <c r="CH56" s="118"/>
      <c r="CI56" s="118"/>
      <c r="CJ56" s="118"/>
      <c r="CK56" s="163"/>
      <c r="CL56" s="163"/>
      <c r="CM56" s="163"/>
      <c r="CN56" s="163"/>
      <c r="CO56" s="163"/>
      <c r="CP56" s="163"/>
      <c r="CQ56" s="163"/>
      <c r="CR56" s="163"/>
      <c r="CS56" s="163"/>
      <c r="CT56" s="163"/>
      <c r="CU56" s="163"/>
      <c r="CV56" s="163"/>
      <c r="CW56" s="163"/>
      <c r="CX56" s="163"/>
      <c r="CY56" s="163"/>
      <c r="CZ56" s="163"/>
      <c r="DA56" s="163"/>
      <c r="DB56" s="163"/>
      <c r="DC56" s="163"/>
      <c r="DD56" s="163"/>
      <c r="DE56" s="49"/>
      <c r="DF56" s="49"/>
      <c r="DG56" s="49"/>
      <c r="DH56" s="49"/>
      <c r="DI56" s="49"/>
      <c r="DJ56" s="49"/>
      <c r="DK56" s="49"/>
      <c r="DL56" s="49"/>
      <c r="DM56" s="49"/>
      <c r="DN56" s="49"/>
      <c r="DO56" s="49"/>
      <c r="DP56" s="49"/>
      <c r="DQ56" s="49"/>
      <c r="DR56" s="49"/>
      <c r="DS56" s="49"/>
      <c r="DT56" s="49"/>
      <c r="DU56" s="49"/>
      <c r="DV56" s="49"/>
      <c r="DW56" s="49"/>
      <c r="DX56" s="49"/>
      <c r="DY56" s="49"/>
      <c r="DZ56" s="49"/>
      <c r="EA56" s="49"/>
      <c r="EB56" s="49"/>
      <c r="EC56" s="49"/>
      <c r="ED56" s="49"/>
      <c r="EE56" s="49"/>
      <c r="EF56" s="49"/>
      <c r="EG56" s="49"/>
      <c r="EH56" s="49"/>
      <c r="EI56" s="49"/>
      <c r="EJ56" s="49"/>
      <c r="EK56" s="49"/>
      <c r="EL56" s="49"/>
      <c r="EM56" s="49"/>
      <c r="EN56" s="49"/>
      <c r="EO56" s="49"/>
      <c r="EP56" s="49"/>
      <c r="EQ56" s="49"/>
      <c r="ER56" s="49"/>
    </row>
    <row r="57" spans="1:148" ht="18" x14ac:dyDescent="0.25">
      <c r="A57" s="127"/>
      <c r="B57" s="133"/>
      <c r="C57" s="127"/>
      <c r="D57" s="126"/>
      <c r="E57" s="129"/>
      <c r="F57" s="130"/>
      <c r="G57" s="20" t="s">
        <v>56</v>
      </c>
      <c r="H57" s="23" t="s">
        <v>122</v>
      </c>
      <c r="I57" s="78" t="s">
        <v>269</v>
      </c>
      <c r="J57" s="78" t="s">
        <v>269</v>
      </c>
      <c r="K57" s="78" t="s">
        <v>269</v>
      </c>
      <c r="L57" s="78" t="s">
        <v>269</v>
      </c>
      <c r="M57" s="78" t="s">
        <v>269</v>
      </c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4"/>
      <c r="AX57" s="124"/>
      <c r="AY57" s="124"/>
      <c r="AZ57" s="124"/>
      <c r="BA57" s="124"/>
      <c r="BB57" s="124"/>
      <c r="BC57" s="124"/>
      <c r="BD57" s="124"/>
      <c r="BE57" s="124"/>
      <c r="BF57" s="124"/>
      <c r="BG57" s="124"/>
      <c r="BH57" s="124"/>
      <c r="BI57" s="124"/>
      <c r="BJ57" s="124"/>
      <c r="BK57" s="124"/>
      <c r="BL57" s="124"/>
      <c r="BM57" s="124"/>
      <c r="BN57" s="124"/>
      <c r="BO57" s="124"/>
      <c r="BP57" s="124"/>
      <c r="BQ57" s="118"/>
      <c r="BR57" s="118"/>
      <c r="BS57" s="118"/>
      <c r="BT57" s="118"/>
      <c r="BU57" s="118"/>
      <c r="BV57" s="118"/>
      <c r="BW57" s="118"/>
      <c r="BX57" s="118"/>
      <c r="BY57" s="118"/>
      <c r="BZ57" s="118"/>
      <c r="CA57" s="118"/>
      <c r="CB57" s="118"/>
      <c r="CC57" s="118"/>
      <c r="CD57" s="118"/>
      <c r="CE57" s="118"/>
      <c r="CF57" s="118"/>
      <c r="CG57" s="118"/>
      <c r="CH57" s="118"/>
      <c r="CI57" s="118"/>
      <c r="CJ57" s="118"/>
      <c r="CK57" s="163"/>
      <c r="CL57" s="163"/>
      <c r="CM57" s="163"/>
      <c r="CN57" s="163"/>
      <c r="CO57" s="163"/>
      <c r="CP57" s="163"/>
      <c r="CQ57" s="163"/>
      <c r="CR57" s="163"/>
      <c r="CS57" s="163"/>
      <c r="CT57" s="163"/>
      <c r="CU57" s="163"/>
      <c r="CV57" s="163"/>
      <c r="CW57" s="163"/>
      <c r="CX57" s="163"/>
      <c r="CY57" s="163"/>
      <c r="CZ57" s="163"/>
      <c r="DA57" s="163"/>
      <c r="DB57" s="163"/>
      <c r="DC57" s="163"/>
      <c r="DD57" s="163"/>
      <c r="DE57" s="49"/>
      <c r="DF57" s="49"/>
      <c r="DG57" s="49"/>
      <c r="DH57" s="49"/>
      <c r="DI57" s="49"/>
      <c r="DJ57" s="49"/>
      <c r="DK57" s="49"/>
      <c r="DL57" s="49"/>
      <c r="DM57" s="49"/>
      <c r="DN57" s="49"/>
      <c r="DO57" s="49"/>
      <c r="DP57" s="49"/>
      <c r="DQ57" s="49"/>
      <c r="DR57" s="49"/>
      <c r="DS57" s="49"/>
      <c r="DT57" s="49"/>
      <c r="DU57" s="49"/>
      <c r="DV57" s="49"/>
      <c r="DW57" s="49"/>
      <c r="DX57" s="49"/>
      <c r="DY57" s="49"/>
      <c r="DZ57" s="49"/>
      <c r="EA57" s="49"/>
      <c r="EB57" s="49"/>
      <c r="EC57" s="49"/>
      <c r="ED57" s="49"/>
      <c r="EE57" s="49"/>
      <c r="EF57" s="49"/>
      <c r="EG57" s="49"/>
      <c r="EH57" s="49"/>
      <c r="EI57" s="49"/>
      <c r="EJ57" s="49"/>
      <c r="EK57" s="49"/>
      <c r="EL57" s="49"/>
      <c r="EM57" s="49"/>
      <c r="EN57" s="49"/>
      <c r="EO57" s="49"/>
      <c r="EP57" s="49"/>
      <c r="EQ57" s="49"/>
      <c r="ER57" s="49"/>
    </row>
    <row r="58" spans="1:148" ht="18" x14ac:dyDescent="0.25">
      <c r="A58" s="127"/>
      <c r="B58" s="133"/>
      <c r="C58" s="127"/>
      <c r="D58" s="126"/>
      <c r="E58" s="129"/>
      <c r="F58" s="130"/>
      <c r="G58" s="20" t="s">
        <v>56</v>
      </c>
      <c r="H58" s="23" t="s">
        <v>123</v>
      </c>
      <c r="I58" s="78" t="s">
        <v>269</v>
      </c>
      <c r="J58" s="78" t="s">
        <v>269</v>
      </c>
      <c r="K58" s="78" t="s">
        <v>269</v>
      </c>
      <c r="L58" s="78" t="s">
        <v>269</v>
      </c>
      <c r="M58" s="78" t="s">
        <v>269</v>
      </c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4"/>
      <c r="AX58" s="124"/>
      <c r="AY58" s="124"/>
      <c r="AZ58" s="124"/>
      <c r="BA58" s="124"/>
      <c r="BB58" s="124"/>
      <c r="BC58" s="124"/>
      <c r="BD58" s="124"/>
      <c r="BE58" s="124"/>
      <c r="BF58" s="124"/>
      <c r="BG58" s="124"/>
      <c r="BH58" s="124"/>
      <c r="BI58" s="124"/>
      <c r="BJ58" s="124"/>
      <c r="BK58" s="124"/>
      <c r="BL58" s="124"/>
      <c r="BM58" s="124"/>
      <c r="BN58" s="124"/>
      <c r="BO58" s="124"/>
      <c r="BP58" s="124"/>
      <c r="BQ58" s="118"/>
      <c r="BR58" s="118"/>
      <c r="BS58" s="118"/>
      <c r="BT58" s="118"/>
      <c r="BU58" s="118"/>
      <c r="BV58" s="118"/>
      <c r="BW58" s="118"/>
      <c r="BX58" s="118"/>
      <c r="BY58" s="118"/>
      <c r="BZ58" s="118"/>
      <c r="CA58" s="118"/>
      <c r="CB58" s="118"/>
      <c r="CC58" s="118"/>
      <c r="CD58" s="118"/>
      <c r="CE58" s="118"/>
      <c r="CF58" s="118"/>
      <c r="CG58" s="118"/>
      <c r="CH58" s="118"/>
      <c r="CI58" s="118"/>
      <c r="CJ58" s="118"/>
      <c r="CK58" s="163"/>
      <c r="CL58" s="163"/>
      <c r="CM58" s="163"/>
      <c r="CN58" s="163"/>
      <c r="CO58" s="163"/>
      <c r="CP58" s="163"/>
      <c r="CQ58" s="163"/>
      <c r="CR58" s="163"/>
      <c r="CS58" s="163"/>
      <c r="CT58" s="163"/>
      <c r="CU58" s="163"/>
      <c r="CV58" s="163"/>
      <c r="CW58" s="163"/>
      <c r="CX58" s="163"/>
      <c r="CY58" s="163"/>
      <c r="CZ58" s="163"/>
      <c r="DA58" s="163"/>
      <c r="DB58" s="163"/>
      <c r="DC58" s="163"/>
      <c r="DD58" s="163"/>
      <c r="DE58" s="49"/>
      <c r="DF58" s="49"/>
      <c r="DG58" s="49"/>
      <c r="DH58" s="49"/>
      <c r="DI58" s="49"/>
      <c r="DJ58" s="49"/>
      <c r="DK58" s="49"/>
      <c r="DL58" s="49"/>
      <c r="DM58" s="49"/>
      <c r="DN58" s="49"/>
      <c r="DO58" s="49"/>
      <c r="DP58" s="49"/>
      <c r="DQ58" s="49"/>
      <c r="DR58" s="49"/>
      <c r="DS58" s="49"/>
      <c r="DT58" s="49"/>
      <c r="DU58" s="49"/>
      <c r="DV58" s="49"/>
      <c r="DW58" s="49"/>
      <c r="DX58" s="49"/>
      <c r="DY58" s="49"/>
      <c r="DZ58" s="49"/>
      <c r="EA58" s="49"/>
      <c r="EB58" s="49"/>
      <c r="EC58" s="49"/>
      <c r="ED58" s="49"/>
      <c r="EE58" s="49"/>
      <c r="EF58" s="49"/>
      <c r="EG58" s="49"/>
      <c r="EH58" s="49"/>
      <c r="EI58" s="49"/>
      <c r="EJ58" s="49"/>
      <c r="EK58" s="49"/>
      <c r="EL58" s="49"/>
      <c r="EM58" s="49"/>
      <c r="EN58" s="49"/>
      <c r="EO58" s="49"/>
      <c r="EP58" s="49"/>
      <c r="EQ58" s="49"/>
      <c r="ER58" s="49"/>
    </row>
    <row r="59" spans="1:148" ht="18" x14ac:dyDescent="0.25">
      <c r="A59" s="127"/>
      <c r="B59" s="133"/>
      <c r="C59" s="127"/>
      <c r="D59" s="126"/>
      <c r="E59" s="129"/>
      <c r="F59" s="130"/>
      <c r="G59" s="20" t="s">
        <v>56</v>
      </c>
      <c r="H59" s="23" t="s">
        <v>124</v>
      </c>
      <c r="I59" s="78" t="s">
        <v>269</v>
      </c>
      <c r="J59" s="78" t="s">
        <v>269</v>
      </c>
      <c r="K59" s="78" t="s">
        <v>269</v>
      </c>
      <c r="L59" s="78" t="s">
        <v>269</v>
      </c>
      <c r="M59" s="78" t="s">
        <v>269</v>
      </c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  <c r="AU59" s="122"/>
      <c r="AV59" s="122"/>
      <c r="AW59" s="124"/>
      <c r="AX59" s="124"/>
      <c r="AY59" s="124"/>
      <c r="AZ59" s="124"/>
      <c r="BA59" s="124"/>
      <c r="BB59" s="124"/>
      <c r="BC59" s="124"/>
      <c r="BD59" s="124"/>
      <c r="BE59" s="124"/>
      <c r="BF59" s="124"/>
      <c r="BG59" s="124"/>
      <c r="BH59" s="124"/>
      <c r="BI59" s="124"/>
      <c r="BJ59" s="124"/>
      <c r="BK59" s="124"/>
      <c r="BL59" s="124"/>
      <c r="BM59" s="124"/>
      <c r="BN59" s="124"/>
      <c r="BO59" s="124"/>
      <c r="BP59" s="124"/>
      <c r="BQ59" s="118"/>
      <c r="BR59" s="118"/>
      <c r="BS59" s="118"/>
      <c r="BT59" s="118"/>
      <c r="BU59" s="118"/>
      <c r="BV59" s="118"/>
      <c r="BW59" s="118"/>
      <c r="BX59" s="118"/>
      <c r="BY59" s="118"/>
      <c r="BZ59" s="118"/>
      <c r="CA59" s="118"/>
      <c r="CB59" s="118"/>
      <c r="CC59" s="118"/>
      <c r="CD59" s="118"/>
      <c r="CE59" s="118"/>
      <c r="CF59" s="118"/>
      <c r="CG59" s="118"/>
      <c r="CH59" s="118"/>
      <c r="CI59" s="118"/>
      <c r="CJ59" s="118"/>
      <c r="CK59" s="163"/>
      <c r="CL59" s="163"/>
      <c r="CM59" s="163"/>
      <c r="CN59" s="163"/>
      <c r="CO59" s="163"/>
      <c r="CP59" s="163"/>
      <c r="CQ59" s="163"/>
      <c r="CR59" s="163"/>
      <c r="CS59" s="163"/>
      <c r="CT59" s="163"/>
      <c r="CU59" s="163"/>
      <c r="CV59" s="163"/>
      <c r="CW59" s="163"/>
      <c r="CX59" s="163"/>
      <c r="CY59" s="163"/>
      <c r="CZ59" s="163"/>
      <c r="DA59" s="163"/>
      <c r="DB59" s="163"/>
      <c r="DC59" s="163"/>
      <c r="DD59" s="163"/>
      <c r="DE59" s="49"/>
      <c r="DF59" s="49"/>
      <c r="DG59" s="49"/>
      <c r="DH59" s="49"/>
      <c r="DI59" s="49"/>
      <c r="DJ59" s="49"/>
      <c r="DK59" s="49"/>
      <c r="DL59" s="49"/>
      <c r="DM59" s="49"/>
      <c r="DN59" s="49"/>
      <c r="DO59" s="49"/>
      <c r="DP59" s="49"/>
      <c r="DQ59" s="49"/>
      <c r="DR59" s="49"/>
      <c r="DS59" s="49"/>
      <c r="DT59" s="49"/>
      <c r="DU59" s="49"/>
      <c r="DV59" s="49"/>
      <c r="DW59" s="49"/>
      <c r="DX59" s="49"/>
      <c r="DY59" s="49"/>
      <c r="DZ59" s="49"/>
      <c r="EA59" s="49"/>
      <c r="EB59" s="49"/>
      <c r="EC59" s="49"/>
      <c r="ED59" s="49"/>
      <c r="EE59" s="49"/>
      <c r="EF59" s="49"/>
      <c r="EG59" s="49"/>
      <c r="EH59" s="49"/>
      <c r="EI59" s="49"/>
      <c r="EJ59" s="49"/>
      <c r="EK59" s="49"/>
      <c r="EL59" s="49"/>
      <c r="EM59" s="49"/>
      <c r="EN59" s="49"/>
      <c r="EO59" s="49"/>
      <c r="EP59" s="49"/>
      <c r="EQ59" s="49"/>
      <c r="ER59" s="49"/>
    </row>
    <row r="60" spans="1:148" ht="18" x14ac:dyDescent="0.25">
      <c r="A60" s="127"/>
      <c r="B60" s="133"/>
      <c r="C60" s="127"/>
      <c r="D60" s="126"/>
      <c r="E60" s="129"/>
      <c r="F60" s="130"/>
      <c r="G60" s="20" t="s">
        <v>56</v>
      </c>
      <c r="H60" s="23" t="s">
        <v>125</v>
      </c>
      <c r="I60" s="78" t="s">
        <v>269</v>
      </c>
      <c r="J60" s="78" t="s">
        <v>269</v>
      </c>
      <c r="K60" s="78" t="s">
        <v>269</v>
      </c>
      <c r="L60" s="78" t="s">
        <v>269</v>
      </c>
      <c r="M60" s="78" t="s">
        <v>269</v>
      </c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  <c r="AS60" s="122"/>
      <c r="AT60" s="122"/>
      <c r="AU60" s="122"/>
      <c r="AV60" s="122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18"/>
      <c r="BR60" s="118"/>
      <c r="BS60" s="118"/>
      <c r="BT60" s="118"/>
      <c r="BU60" s="118"/>
      <c r="BV60" s="118"/>
      <c r="BW60" s="118"/>
      <c r="BX60" s="118"/>
      <c r="BY60" s="118"/>
      <c r="BZ60" s="118"/>
      <c r="CA60" s="118"/>
      <c r="CB60" s="118"/>
      <c r="CC60" s="118"/>
      <c r="CD60" s="118"/>
      <c r="CE60" s="118"/>
      <c r="CF60" s="118"/>
      <c r="CG60" s="118"/>
      <c r="CH60" s="118"/>
      <c r="CI60" s="118"/>
      <c r="CJ60" s="118"/>
      <c r="CK60" s="163"/>
      <c r="CL60" s="163"/>
      <c r="CM60" s="163"/>
      <c r="CN60" s="163"/>
      <c r="CO60" s="163"/>
      <c r="CP60" s="163"/>
      <c r="CQ60" s="163"/>
      <c r="CR60" s="163"/>
      <c r="CS60" s="163"/>
      <c r="CT60" s="163"/>
      <c r="CU60" s="163"/>
      <c r="CV60" s="163"/>
      <c r="CW60" s="163"/>
      <c r="CX60" s="163"/>
      <c r="CY60" s="163"/>
      <c r="CZ60" s="163"/>
      <c r="DA60" s="163"/>
      <c r="DB60" s="163"/>
      <c r="DC60" s="163"/>
      <c r="DD60" s="163"/>
      <c r="DE60" s="49"/>
      <c r="DF60" s="49"/>
      <c r="DG60" s="49"/>
      <c r="DH60" s="49"/>
      <c r="DI60" s="49"/>
      <c r="DJ60" s="49"/>
      <c r="DK60" s="49"/>
      <c r="DL60" s="49"/>
      <c r="DM60" s="49"/>
      <c r="DN60" s="49"/>
      <c r="DO60" s="49"/>
      <c r="DP60" s="49"/>
      <c r="DQ60" s="49"/>
      <c r="DR60" s="49"/>
      <c r="DS60" s="49"/>
      <c r="DT60" s="49"/>
      <c r="DU60" s="49"/>
      <c r="DV60" s="49"/>
      <c r="DW60" s="49"/>
      <c r="DX60" s="49"/>
      <c r="DY60" s="49"/>
      <c r="DZ60" s="49"/>
      <c r="EA60" s="49"/>
      <c r="EB60" s="49"/>
      <c r="EC60" s="49"/>
      <c r="ED60" s="49"/>
      <c r="EE60" s="49"/>
      <c r="EF60" s="49"/>
      <c r="EG60" s="49"/>
      <c r="EH60" s="49"/>
      <c r="EI60" s="49"/>
      <c r="EJ60" s="49"/>
      <c r="EK60" s="49"/>
      <c r="EL60" s="49"/>
      <c r="EM60" s="49"/>
      <c r="EN60" s="49"/>
      <c r="EO60" s="49"/>
      <c r="EP60" s="49"/>
      <c r="EQ60" s="49"/>
      <c r="ER60" s="49"/>
    </row>
    <row r="61" spans="1:148" ht="18" x14ac:dyDescent="0.25">
      <c r="A61" s="127"/>
      <c r="B61" s="133"/>
      <c r="C61" s="127"/>
      <c r="D61" s="126"/>
      <c r="E61" s="129"/>
      <c r="F61" s="130"/>
      <c r="G61" s="20" t="s">
        <v>56</v>
      </c>
      <c r="H61" s="23" t="s">
        <v>126</v>
      </c>
      <c r="I61" s="78" t="s">
        <v>269</v>
      </c>
      <c r="J61" s="78" t="s">
        <v>269</v>
      </c>
      <c r="K61" s="78" t="s">
        <v>269</v>
      </c>
      <c r="L61" s="78" t="s">
        <v>269</v>
      </c>
      <c r="M61" s="78" t="s">
        <v>269</v>
      </c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  <c r="AU61" s="122"/>
      <c r="AV61" s="122"/>
      <c r="AW61" s="124"/>
      <c r="AX61" s="124"/>
      <c r="AY61" s="124"/>
      <c r="AZ61" s="124"/>
      <c r="BA61" s="124"/>
      <c r="BB61" s="124"/>
      <c r="BC61" s="124"/>
      <c r="BD61" s="124"/>
      <c r="BE61" s="124"/>
      <c r="BF61" s="124"/>
      <c r="BG61" s="124"/>
      <c r="BH61" s="124"/>
      <c r="BI61" s="124"/>
      <c r="BJ61" s="124"/>
      <c r="BK61" s="124"/>
      <c r="BL61" s="124"/>
      <c r="BM61" s="124"/>
      <c r="BN61" s="124"/>
      <c r="BO61" s="124"/>
      <c r="BP61" s="124"/>
      <c r="BQ61" s="118"/>
      <c r="BR61" s="118"/>
      <c r="BS61" s="118"/>
      <c r="BT61" s="118"/>
      <c r="BU61" s="118"/>
      <c r="BV61" s="118"/>
      <c r="BW61" s="118"/>
      <c r="BX61" s="118"/>
      <c r="BY61" s="118"/>
      <c r="BZ61" s="118"/>
      <c r="CA61" s="118"/>
      <c r="CB61" s="118"/>
      <c r="CC61" s="118"/>
      <c r="CD61" s="118"/>
      <c r="CE61" s="118"/>
      <c r="CF61" s="118"/>
      <c r="CG61" s="118"/>
      <c r="CH61" s="118"/>
      <c r="CI61" s="118"/>
      <c r="CJ61" s="118"/>
      <c r="CK61" s="163"/>
      <c r="CL61" s="163"/>
      <c r="CM61" s="163"/>
      <c r="CN61" s="163"/>
      <c r="CO61" s="163"/>
      <c r="CP61" s="163"/>
      <c r="CQ61" s="163"/>
      <c r="CR61" s="163"/>
      <c r="CS61" s="163"/>
      <c r="CT61" s="163"/>
      <c r="CU61" s="163"/>
      <c r="CV61" s="163"/>
      <c r="CW61" s="163"/>
      <c r="CX61" s="163"/>
      <c r="CY61" s="163"/>
      <c r="CZ61" s="163"/>
      <c r="DA61" s="163"/>
      <c r="DB61" s="163"/>
      <c r="DC61" s="163"/>
      <c r="DD61" s="163"/>
      <c r="DE61" s="49"/>
      <c r="DF61" s="49"/>
      <c r="DG61" s="49"/>
      <c r="DH61" s="49"/>
      <c r="DI61" s="49"/>
      <c r="DJ61" s="49"/>
      <c r="DK61" s="49"/>
      <c r="DL61" s="49"/>
      <c r="DM61" s="49"/>
      <c r="DN61" s="49"/>
      <c r="DO61" s="49"/>
      <c r="DP61" s="49"/>
      <c r="DQ61" s="49"/>
      <c r="DR61" s="49"/>
      <c r="DS61" s="49"/>
      <c r="DT61" s="49"/>
      <c r="DU61" s="49"/>
      <c r="DV61" s="49"/>
      <c r="DW61" s="49"/>
      <c r="DX61" s="49"/>
      <c r="DY61" s="49"/>
      <c r="DZ61" s="49"/>
      <c r="EA61" s="49"/>
      <c r="EB61" s="49"/>
      <c r="EC61" s="49"/>
      <c r="ED61" s="49"/>
      <c r="EE61" s="49"/>
      <c r="EF61" s="49"/>
      <c r="EG61" s="49"/>
      <c r="EH61" s="49"/>
      <c r="EI61" s="49"/>
      <c r="EJ61" s="49"/>
      <c r="EK61" s="49"/>
      <c r="EL61" s="49"/>
      <c r="EM61" s="49"/>
      <c r="EN61" s="49"/>
      <c r="EO61" s="49"/>
      <c r="EP61" s="49"/>
      <c r="EQ61" s="49"/>
      <c r="ER61" s="49"/>
    </row>
    <row r="62" spans="1:148" ht="18" customHeight="1" x14ac:dyDescent="0.25">
      <c r="A62" s="127"/>
      <c r="B62" s="133"/>
      <c r="C62" s="127">
        <v>3</v>
      </c>
      <c r="D62" s="126" t="s">
        <v>106</v>
      </c>
      <c r="E62" s="129" t="s">
        <v>114</v>
      </c>
      <c r="F62" s="130" t="s">
        <v>139</v>
      </c>
      <c r="G62" s="20" t="s">
        <v>56</v>
      </c>
      <c r="H62" s="23" t="s">
        <v>127</v>
      </c>
      <c r="I62" s="78" t="s">
        <v>269</v>
      </c>
      <c r="J62" s="78" t="s">
        <v>269</v>
      </c>
      <c r="K62" s="78" t="s">
        <v>269</v>
      </c>
      <c r="L62" s="78" t="s">
        <v>269</v>
      </c>
      <c r="M62" s="78" t="s">
        <v>269</v>
      </c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122">
        <f t="shared" ref="AC62:AV62" si="53">IF(AND(I62="",I63=""),"",COUNTIF(I62:I63,"v"))</f>
        <v>2</v>
      </c>
      <c r="AD62" s="122">
        <f t="shared" si="53"/>
        <v>2</v>
      </c>
      <c r="AE62" s="122">
        <f t="shared" si="53"/>
        <v>2</v>
      </c>
      <c r="AF62" s="122">
        <f t="shared" si="53"/>
        <v>2</v>
      </c>
      <c r="AG62" s="122">
        <f t="shared" si="53"/>
        <v>2</v>
      </c>
      <c r="AH62" s="122" t="str">
        <f t="shared" si="53"/>
        <v/>
      </c>
      <c r="AI62" s="122" t="str">
        <f t="shared" si="53"/>
        <v/>
      </c>
      <c r="AJ62" s="122" t="str">
        <f t="shared" si="53"/>
        <v/>
      </c>
      <c r="AK62" s="122" t="str">
        <f t="shared" si="53"/>
        <v/>
      </c>
      <c r="AL62" s="122" t="str">
        <f t="shared" si="53"/>
        <v/>
      </c>
      <c r="AM62" s="122" t="str">
        <f t="shared" si="53"/>
        <v/>
      </c>
      <c r="AN62" s="122" t="str">
        <f t="shared" si="53"/>
        <v/>
      </c>
      <c r="AO62" s="122" t="str">
        <f t="shared" si="53"/>
        <v/>
      </c>
      <c r="AP62" s="122" t="str">
        <f t="shared" si="53"/>
        <v/>
      </c>
      <c r="AQ62" s="122" t="str">
        <f t="shared" si="53"/>
        <v/>
      </c>
      <c r="AR62" s="122" t="str">
        <f t="shared" si="53"/>
        <v/>
      </c>
      <c r="AS62" s="122" t="str">
        <f t="shared" si="53"/>
        <v/>
      </c>
      <c r="AT62" s="122" t="str">
        <f t="shared" si="53"/>
        <v/>
      </c>
      <c r="AU62" s="122" t="str">
        <f t="shared" si="53"/>
        <v/>
      </c>
      <c r="AV62" s="122" t="str">
        <f t="shared" si="53"/>
        <v/>
      </c>
      <c r="AW62" s="124">
        <f t="shared" ref="AW62:CJ62" si="54">IF(AC62="","",IF(AC62&gt;=1,3,0))</f>
        <v>3</v>
      </c>
      <c r="AX62" s="124">
        <f t="shared" si="54"/>
        <v>3</v>
      </c>
      <c r="AY62" s="124">
        <f t="shared" si="54"/>
        <v>3</v>
      </c>
      <c r="AZ62" s="124">
        <f t="shared" si="54"/>
        <v>3</v>
      </c>
      <c r="BA62" s="124">
        <f t="shared" si="54"/>
        <v>3</v>
      </c>
      <c r="BB62" s="124" t="str">
        <f t="shared" si="54"/>
        <v/>
      </c>
      <c r="BC62" s="124" t="str">
        <f t="shared" si="54"/>
        <v/>
      </c>
      <c r="BD62" s="124" t="str">
        <f t="shared" si="54"/>
        <v/>
      </c>
      <c r="BE62" s="124" t="str">
        <f t="shared" si="54"/>
        <v/>
      </c>
      <c r="BF62" s="124" t="str">
        <f t="shared" si="54"/>
        <v/>
      </c>
      <c r="BG62" s="124" t="str">
        <f t="shared" si="54"/>
        <v/>
      </c>
      <c r="BH62" s="124" t="str">
        <f t="shared" si="54"/>
        <v/>
      </c>
      <c r="BI62" s="124" t="str">
        <f t="shared" si="54"/>
        <v/>
      </c>
      <c r="BJ62" s="124" t="str">
        <f t="shared" si="54"/>
        <v/>
      </c>
      <c r="BK62" s="124" t="str">
        <f t="shared" si="54"/>
        <v/>
      </c>
      <c r="BL62" s="124" t="str">
        <f t="shared" si="54"/>
        <v/>
      </c>
      <c r="BM62" s="124" t="str">
        <f t="shared" si="54"/>
        <v/>
      </c>
      <c r="BN62" s="124" t="str">
        <f t="shared" si="54"/>
        <v/>
      </c>
      <c r="BO62" s="124" t="str">
        <f t="shared" si="54"/>
        <v/>
      </c>
      <c r="BP62" s="124" t="str">
        <f t="shared" si="54"/>
        <v/>
      </c>
      <c r="BQ62" s="118">
        <f t="shared" si="54"/>
        <v>3</v>
      </c>
      <c r="BR62" s="118">
        <f t="shared" si="54"/>
        <v>3</v>
      </c>
      <c r="BS62" s="118">
        <f t="shared" si="54"/>
        <v>3</v>
      </c>
      <c r="BT62" s="118">
        <f t="shared" si="54"/>
        <v>3</v>
      </c>
      <c r="BU62" s="118">
        <f t="shared" si="54"/>
        <v>3</v>
      </c>
      <c r="BV62" s="118" t="str">
        <f t="shared" si="54"/>
        <v/>
      </c>
      <c r="BW62" s="118" t="str">
        <f t="shared" si="54"/>
        <v/>
      </c>
      <c r="BX62" s="118" t="str">
        <f t="shared" si="54"/>
        <v/>
      </c>
      <c r="BY62" s="118" t="str">
        <f t="shared" si="54"/>
        <v/>
      </c>
      <c r="BZ62" s="118" t="str">
        <f t="shared" si="54"/>
        <v/>
      </c>
      <c r="CA62" s="118" t="str">
        <f t="shared" si="54"/>
        <v/>
      </c>
      <c r="CB62" s="118" t="str">
        <f t="shared" si="54"/>
        <v/>
      </c>
      <c r="CC62" s="118" t="str">
        <f t="shared" si="54"/>
        <v/>
      </c>
      <c r="CD62" s="118" t="str">
        <f t="shared" si="54"/>
        <v/>
      </c>
      <c r="CE62" s="118" t="str">
        <f t="shared" si="54"/>
        <v/>
      </c>
      <c r="CF62" s="118" t="str">
        <f t="shared" si="54"/>
        <v/>
      </c>
      <c r="CG62" s="118" t="str">
        <f t="shared" si="54"/>
        <v/>
      </c>
      <c r="CH62" s="118" t="str">
        <f t="shared" si="54"/>
        <v/>
      </c>
      <c r="CI62" s="118" t="str">
        <f t="shared" si="54"/>
        <v/>
      </c>
      <c r="CJ62" s="118" t="str">
        <f t="shared" si="54"/>
        <v/>
      </c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  <c r="DA62" s="163"/>
      <c r="DB62" s="163"/>
      <c r="DC62" s="163"/>
      <c r="DD62" s="163"/>
      <c r="DE62" s="49"/>
      <c r="DF62" s="49"/>
      <c r="DG62" s="49"/>
      <c r="DH62" s="49"/>
      <c r="DI62" s="49"/>
      <c r="DJ62" s="49"/>
      <c r="DK62" s="49"/>
      <c r="DL62" s="49"/>
      <c r="DM62" s="49"/>
      <c r="DN62" s="49"/>
      <c r="DO62" s="49"/>
      <c r="DP62" s="49"/>
      <c r="DQ62" s="49"/>
      <c r="DR62" s="49"/>
      <c r="DS62" s="49"/>
      <c r="DT62" s="49"/>
      <c r="DU62" s="49"/>
      <c r="DV62" s="49"/>
      <c r="DW62" s="49"/>
      <c r="DX62" s="49"/>
      <c r="DY62" s="49"/>
      <c r="DZ62" s="49"/>
      <c r="EA62" s="49"/>
      <c r="EB62" s="49"/>
      <c r="EC62" s="49"/>
      <c r="ED62" s="49"/>
      <c r="EE62" s="49"/>
      <c r="EF62" s="49"/>
      <c r="EG62" s="49"/>
      <c r="EH62" s="49"/>
      <c r="EI62" s="49"/>
      <c r="EJ62" s="49"/>
      <c r="EK62" s="49"/>
      <c r="EL62" s="49"/>
      <c r="EM62" s="49"/>
      <c r="EN62" s="49"/>
      <c r="EO62" s="49"/>
      <c r="EP62" s="49"/>
      <c r="EQ62" s="49"/>
      <c r="ER62" s="49"/>
    </row>
    <row r="63" spans="1:148" ht="62.45" customHeight="1" x14ac:dyDescent="0.25">
      <c r="A63" s="127"/>
      <c r="B63" s="133"/>
      <c r="C63" s="127"/>
      <c r="D63" s="126"/>
      <c r="E63" s="129"/>
      <c r="F63" s="130"/>
      <c r="G63" s="20" t="s">
        <v>56</v>
      </c>
      <c r="H63" s="23" t="s">
        <v>128</v>
      </c>
      <c r="I63" s="78" t="s">
        <v>269</v>
      </c>
      <c r="J63" s="78" t="s">
        <v>269</v>
      </c>
      <c r="K63" s="78" t="s">
        <v>269</v>
      </c>
      <c r="L63" s="78" t="s">
        <v>269</v>
      </c>
      <c r="M63" s="78" t="s">
        <v>269</v>
      </c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4"/>
      <c r="AX63" s="124"/>
      <c r="AY63" s="124"/>
      <c r="AZ63" s="124"/>
      <c r="BA63" s="124"/>
      <c r="BB63" s="124"/>
      <c r="BC63" s="124"/>
      <c r="BD63" s="124"/>
      <c r="BE63" s="124"/>
      <c r="BF63" s="124"/>
      <c r="BG63" s="124"/>
      <c r="BH63" s="124"/>
      <c r="BI63" s="124"/>
      <c r="BJ63" s="124"/>
      <c r="BK63" s="124"/>
      <c r="BL63" s="124"/>
      <c r="BM63" s="124"/>
      <c r="BN63" s="124"/>
      <c r="BO63" s="124"/>
      <c r="BP63" s="124"/>
      <c r="BQ63" s="118"/>
      <c r="BR63" s="118"/>
      <c r="BS63" s="118"/>
      <c r="BT63" s="118"/>
      <c r="BU63" s="118"/>
      <c r="BV63" s="118"/>
      <c r="BW63" s="118"/>
      <c r="BX63" s="118"/>
      <c r="BY63" s="118"/>
      <c r="BZ63" s="118"/>
      <c r="CA63" s="118"/>
      <c r="CB63" s="118"/>
      <c r="CC63" s="118"/>
      <c r="CD63" s="118"/>
      <c r="CE63" s="118"/>
      <c r="CF63" s="118"/>
      <c r="CG63" s="118"/>
      <c r="CH63" s="118"/>
      <c r="CI63" s="118"/>
      <c r="CJ63" s="118"/>
      <c r="CK63" s="163"/>
      <c r="CL63" s="163"/>
      <c r="CM63" s="163"/>
      <c r="CN63" s="163"/>
      <c r="CO63" s="163"/>
      <c r="CP63" s="163"/>
      <c r="CQ63" s="163"/>
      <c r="CR63" s="163"/>
      <c r="CS63" s="163"/>
      <c r="CT63" s="163"/>
      <c r="CU63" s="163"/>
      <c r="CV63" s="163"/>
      <c r="CW63" s="163"/>
      <c r="CX63" s="163"/>
      <c r="CY63" s="163"/>
      <c r="CZ63" s="163"/>
      <c r="DA63" s="163"/>
      <c r="DB63" s="163"/>
      <c r="DC63" s="163"/>
      <c r="DD63" s="163"/>
      <c r="DE63" s="49"/>
      <c r="DF63" s="49"/>
      <c r="DG63" s="49"/>
      <c r="DH63" s="49"/>
      <c r="DI63" s="49"/>
      <c r="DJ63" s="49"/>
      <c r="DK63" s="49"/>
      <c r="DL63" s="49"/>
      <c r="DM63" s="49"/>
      <c r="DN63" s="49"/>
      <c r="DO63" s="49"/>
      <c r="DP63" s="49"/>
      <c r="DQ63" s="49"/>
      <c r="DR63" s="49"/>
      <c r="DS63" s="49"/>
      <c r="DT63" s="49"/>
      <c r="DU63" s="49"/>
      <c r="DV63" s="49"/>
      <c r="DW63" s="49"/>
      <c r="DX63" s="49"/>
      <c r="DY63" s="49"/>
      <c r="DZ63" s="49"/>
      <c r="EA63" s="49"/>
      <c r="EB63" s="49"/>
      <c r="EC63" s="49"/>
      <c r="ED63" s="49"/>
      <c r="EE63" s="49"/>
      <c r="EF63" s="49"/>
      <c r="EG63" s="49"/>
      <c r="EH63" s="49"/>
      <c r="EI63" s="49"/>
      <c r="EJ63" s="49"/>
      <c r="EK63" s="49"/>
      <c r="EL63" s="49"/>
      <c r="EM63" s="49"/>
      <c r="EN63" s="49"/>
      <c r="EO63" s="49"/>
      <c r="EP63" s="49"/>
      <c r="EQ63" s="49"/>
      <c r="ER63" s="49"/>
    </row>
    <row r="64" spans="1:148" ht="18" x14ac:dyDescent="0.25">
      <c r="A64" s="127"/>
      <c r="B64" s="133"/>
      <c r="C64" s="127">
        <v>4</v>
      </c>
      <c r="D64" s="126" t="s">
        <v>107</v>
      </c>
      <c r="E64" s="129" t="s">
        <v>115</v>
      </c>
      <c r="F64" s="130" t="s">
        <v>140</v>
      </c>
      <c r="G64" s="20" t="s">
        <v>56</v>
      </c>
      <c r="H64" s="23" t="s">
        <v>129</v>
      </c>
      <c r="I64" s="78" t="s">
        <v>269</v>
      </c>
      <c r="J64" s="78" t="s">
        <v>269</v>
      </c>
      <c r="K64" s="78" t="s">
        <v>269</v>
      </c>
      <c r="L64" s="78" t="s">
        <v>269</v>
      </c>
      <c r="M64" s="78" t="s">
        <v>269</v>
      </c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122">
        <f t="shared" ref="AC64:AV64" si="55">IF(AND(I64="",I65="",I66=""),"",COUNTIF(I64:I66,"v"))</f>
        <v>3</v>
      </c>
      <c r="AD64" s="122">
        <f t="shared" si="55"/>
        <v>3</v>
      </c>
      <c r="AE64" s="122">
        <f t="shared" si="55"/>
        <v>3</v>
      </c>
      <c r="AF64" s="122">
        <f t="shared" si="55"/>
        <v>3</v>
      </c>
      <c r="AG64" s="122">
        <f t="shared" si="55"/>
        <v>3</v>
      </c>
      <c r="AH64" s="122" t="str">
        <f t="shared" si="55"/>
        <v/>
      </c>
      <c r="AI64" s="122" t="str">
        <f t="shared" si="55"/>
        <v/>
      </c>
      <c r="AJ64" s="122" t="str">
        <f t="shared" si="55"/>
        <v/>
      </c>
      <c r="AK64" s="122" t="str">
        <f t="shared" si="55"/>
        <v/>
      </c>
      <c r="AL64" s="122" t="str">
        <f t="shared" si="55"/>
        <v/>
      </c>
      <c r="AM64" s="122" t="str">
        <f t="shared" si="55"/>
        <v/>
      </c>
      <c r="AN64" s="122" t="str">
        <f t="shared" si="55"/>
        <v/>
      </c>
      <c r="AO64" s="122" t="str">
        <f t="shared" si="55"/>
        <v/>
      </c>
      <c r="AP64" s="122" t="str">
        <f t="shared" si="55"/>
        <v/>
      </c>
      <c r="AQ64" s="122" t="str">
        <f t="shared" si="55"/>
        <v/>
      </c>
      <c r="AR64" s="122" t="str">
        <f t="shared" si="55"/>
        <v/>
      </c>
      <c r="AS64" s="122" t="str">
        <f t="shared" si="55"/>
        <v/>
      </c>
      <c r="AT64" s="122" t="str">
        <f t="shared" si="55"/>
        <v/>
      </c>
      <c r="AU64" s="122" t="str">
        <f t="shared" si="55"/>
        <v/>
      </c>
      <c r="AV64" s="122" t="str">
        <f t="shared" si="55"/>
        <v/>
      </c>
      <c r="AW64" s="124">
        <f t="shared" ref="AW64:CJ64" si="56">IF(AC64="","",IF(AC64&gt;=1,4,0))</f>
        <v>4</v>
      </c>
      <c r="AX64" s="124">
        <f t="shared" si="56"/>
        <v>4</v>
      </c>
      <c r="AY64" s="124">
        <f t="shared" si="56"/>
        <v>4</v>
      </c>
      <c r="AZ64" s="124">
        <f t="shared" si="56"/>
        <v>4</v>
      </c>
      <c r="BA64" s="124">
        <f t="shared" si="56"/>
        <v>4</v>
      </c>
      <c r="BB64" s="124" t="str">
        <f t="shared" si="56"/>
        <v/>
      </c>
      <c r="BC64" s="124" t="str">
        <f t="shared" si="56"/>
        <v/>
      </c>
      <c r="BD64" s="124" t="str">
        <f t="shared" si="56"/>
        <v/>
      </c>
      <c r="BE64" s="124" t="str">
        <f t="shared" si="56"/>
        <v/>
      </c>
      <c r="BF64" s="124" t="str">
        <f t="shared" si="56"/>
        <v/>
      </c>
      <c r="BG64" s="124" t="str">
        <f t="shared" si="56"/>
        <v/>
      </c>
      <c r="BH64" s="124" t="str">
        <f t="shared" si="56"/>
        <v/>
      </c>
      <c r="BI64" s="124" t="str">
        <f t="shared" si="56"/>
        <v/>
      </c>
      <c r="BJ64" s="124" t="str">
        <f t="shared" si="56"/>
        <v/>
      </c>
      <c r="BK64" s="124" t="str">
        <f t="shared" si="56"/>
        <v/>
      </c>
      <c r="BL64" s="124" t="str">
        <f t="shared" si="56"/>
        <v/>
      </c>
      <c r="BM64" s="124" t="str">
        <f t="shared" si="56"/>
        <v/>
      </c>
      <c r="BN64" s="124" t="str">
        <f t="shared" si="56"/>
        <v/>
      </c>
      <c r="BO64" s="124" t="str">
        <f t="shared" si="56"/>
        <v/>
      </c>
      <c r="BP64" s="124" t="str">
        <f t="shared" si="56"/>
        <v/>
      </c>
      <c r="BQ64" s="118">
        <f t="shared" si="56"/>
        <v>4</v>
      </c>
      <c r="BR64" s="118">
        <f t="shared" si="56"/>
        <v>4</v>
      </c>
      <c r="BS64" s="118">
        <f t="shared" si="56"/>
        <v>4</v>
      </c>
      <c r="BT64" s="118">
        <f t="shared" si="56"/>
        <v>4</v>
      </c>
      <c r="BU64" s="118">
        <f t="shared" si="56"/>
        <v>4</v>
      </c>
      <c r="BV64" s="118" t="str">
        <f t="shared" si="56"/>
        <v/>
      </c>
      <c r="BW64" s="118" t="str">
        <f t="shared" si="56"/>
        <v/>
      </c>
      <c r="BX64" s="118" t="str">
        <f t="shared" si="56"/>
        <v/>
      </c>
      <c r="BY64" s="118" t="str">
        <f t="shared" si="56"/>
        <v/>
      </c>
      <c r="BZ64" s="118" t="str">
        <f t="shared" si="56"/>
        <v/>
      </c>
      <c r="CA64" s="118" t="str">
        <f t="shared" si="56"/>
        <v/>
      </c>
      <c r="CB64" s="118" t="str">
        <f t="shared" si="56"/>
        <v/>
      </c>
      <c r="CC64" s="118" t="str">
        <f t="shared" si="56"/>
        <v/>
      </c>
      <c r="CD64" s="118" t="str">
        <f t="shared" si="56"/>
        <v/>
      </c>
      <c r="CE64" s="118" t="str">
        <f t="shared" si="56"/>
        <v/>
      </c>
      <c r="CF64" s="118" t="str">
        <f t="shared" si="56"/>
        <v/>
      </c>
      <c r="CG64" s="118" t="str">
        <f t="shared" si="56"/>
        <v/>
      </c>
      <c r="CH64" s="118" t="str">
        <f t="shared" si="56"/>
        <v/>
      </c>
      <c r="CI64" s="118" t="str">
        <f t="shared" si="56"/>
        <v/>
      </c>
      <c r="CJ64" s="118" t="str">
        <f t="shared" si="56"/>
        <v/>
      </c>
      <c r="CK64" s="163"/>
      <c r="CL64" s="163"/>
      <c r="CM64" s="163"/>
      <c r="CN64" s="163"/>
      <c r="CO64" s="163"/>
      <c r="CP64" s="163"/>
      <c r="CQ64" s="163"/>
      <c r="CR64" s="163"/>
      <c r="CS64" s="163"/>
      <c r="CT64" s="163"/>
      <c r="CU64" s="163"/>
      <c r="CV64" s="163"/>
      <c r="CW64" s="163"/>
      <c r="CX64" s="163"/>
      <c r="CY64" s="163"/>
      <c r="CZ64" s="163"/>
      <c r="DA64" s="163"/>
      <c r="DB64" s="163"/>
      <c r="DC64" s="163"/>
      <c r="DD64" s="163"/>
      <c r="DE64" s="49"/>
      <c r="DF64" s="49"/>
      <c r="DG64" s="49"/>
      <c r="DH64" s="49"/>
      <c r="DI64" s="49"/>
      <c r="DJ64" s="49"/>
      <c r="DK64" s="49"/>
      <c r="DL64" s="49"/>
      <c r="DM64" s="49"/>
      <c r="DN64" s="49"/>
      <c r="DO64" s="49"/>
      <c r="DP64" s="49"/>
      <c r="DQ64" s="49"/>
      <c r="DR64" s="49"/>
      <c r="DS64" s="49"/>
      <c r="DT64" s="49"/>
      <c r="DU64" s="49"/>
      <c r="DV64" s="49"/>
      <c r="DW64" s="49"/>
      <c r="DX64" s="49"/>
      <c r="DY64" s="49"/>
      <c r="DZ64" s="49"/>
      <c r="EA64" s="49"/>
      <c r="EB64" s="49"/>
      <c r="EC64" s="49"/>
      <c r="ED64" s="49"/>
      <c r="EE64" s="49"/>
      <c r="EF64" s="49"/>
      <c r="EG64" s="49"/>
      <c r="EH64" s="49"/>
      <c r="EI64" s="49"/>
      <c r="EJ64" s="49"/>
      <c r="EK64" s="49"/>
      <c r="EL64" s="49"/>
      <c r="EM64" s="49"/>
      <c r="EN64" s="49"/>
      <c r="EO64" s="49"/>
      <c r="EP64" s="49"/>
      <c r="EQ64" s="49"/>
      <c r="ER64" s="49"/>
    </row>
    <row r="65" spans="1:148" ht="18" x14ac:dyDescent="0.25">
      <c r="A65" s="127"/>
      <c r="B65" s="133"/>
      <c r="C65" s="127"/>
      <c r="D65" s="126"/>
      <c r="E65" s="129"/>
      <c r="F65" s="130"/>
      <c r="G65" s="20" t="s">
        <v>56</v>
      </c>
      <c r="H65" s="23" t="s">
        <v>130</v>
      </c>
      <c r="I65" s="78" t="s">
        <v>269</v>
      </c>
      <c r="J65" s="78" t="s">
        <v>269</v>
      </c>
      <c r="K65" s="78" t="s">
        <v>269</v>
      </c>
      <c r="L65" s="78" t="s">
        <v>269</v>
      </c>
      <c r="M65" s="78" t="s">
        <v>269</v>
      </c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4"/>
      <c r="AX65" s="124"/>
      <c r="AY65" s="124"/>
      <c r="AZ65" s="124"/>
      <c r="BA65" s="124"/>
      <c r="BB65" s="124"/>
      <c r="BC65" s="124"/>
      <c r="BD65" s="124"/>
      <c r="BE65" s="124"/>
      <c r="BF65" s="124"/>
      <c r="BG65" s="124"/>
      <c r="BH65" s="124"/>
      <c r="BI65" s="124"/>
      <c r="BJ65" s="124"/>
      <c r="BK65" s="124"/>
      <c r="BL65" s="124"/>
      <c r="BM65" s="124"/>
      <c r="BN65" s="124"/>
      <c r="BO65" s="124"/>
      <c r="BP65" s="124"/>
      <c r="BQ65" s="118"/>
      <c r="BR65" s="118"/>
      <c r="BS65" s="118"/>
      <c r="BT65" s="118"/>
      <c r="BU65" s="118"/>
      <c r="BV65" s="118"/>
      <c r="BW65" s="118"/>
      <c r="BX65" s="118"/>
      <c r="BY65" s="118"/>
      <c r="BZ65" s="118"/>
      <c r="CA65" s="118"/>
      <c r="CB65" s="118"/>
      <c r="CC65" s="118"/>
      <c r="CD65" s="118"/>
      <c r="CE65" s="118"/>
      <c r="CF65" s="118"/>
      <c r="CG65" s="118"/>
      <c r="CH65" s="118"/>
      <c r="CI65" s="118"/>
      <c r="CJ65" s="118"/>
      <c r="CK65" s="163"/>
      <c r="CL65" s="163"/>
      <c r="CM65" s="163"/>
      <c r="CN65" s="163"/>
      <c r="CO65" s="163"/>
      <c r="CP65" s="163"/>
      <c r="CQ65" s="163"/>
      <c r="CR65" s="163"/>
      <c r="CS65" s="163"/>
      <c r="CT65" s="163"/>
      <c r="CU65" s="163"/>
      <c r="CV65" s="163"/>
      <c r="CW65" s="163"/>
      <c r="CX65" s="163"/>
      <c r="CY65" s="163"/>
      <c r="CZ65" s="163"/>
      <c r="DA65" s="163"/>
      <c r="DB65" s="163"/>
      <c r="DC65" s="163"/>
      <c r="DD65" s="163"/>
      <c r="DE65" s="49"/>
      <c r="DF65" s="49"/>
      <c r="DG65" s="49"/>
      <c r="DH65" s="49"/>
      <c r="DI65" s="49"/>
      <c r="DJ65" s="49"/>
      <c r="DK65" s="49"/>
      <c r="DL65" s="49"/>
      <c r="DM65" s="49"/>
      <c r="DN65" s="49"/>
      <c r="DO65" s="49"/>
      <c r="DP65" s="49"/>
      <c r="DQ65" s="49"/>
      <c r="DR65" s="49"/>
      <c r="DS65" s="49"/>
      <c r="DT65" s="49"/>
      <c r="DU65" s="49"/>
      <c r="DV65" s="49"/>
      <c r="DW65" s="49"/>
      <c r="DX65" s="49"/>
      <c r="DY65" s="49"/>
      <c r="DZ65" s="49"/>
      <c r="EA65" s="49"/>
      <c r="EB65" s="49"/>
      <c r="EC65" s="49"/>
      <c r="ED65" s="49"/>
      <c r="EE65" s="49"/>
      <c r="EF65" s="49"/>
      <c r="EG65" s="49"/>
      <c r="EH65" s="49"/>
      <c r="EI65" s="49"/>
      <c r="EJ65" s="49"/>
      <c r="EK65" s="49"/>
      <c r="EL65" s="49"/>
      <c r="EM65" s="49"/>
      <c r="EN65" s="49"/>
      <c r="EO65" s="49"/>
      <c r="EP65" s="49"/>
      <c r="EQ65" s="49"/>
      <c r="ER65" s="49"/>
    </row>
    <row r="66" spans="1:148" ht="107.45" customHeight="1" x14ac:dyDescent="0.25">
      <c r="A66" s="127"/>
      <c r="B66" s="133"/>
      <c r="C66" s="127"/>
      <c r="D66" s="126"/>
      <c r="E66" s="129"/>
      <c r="F66" s="130"/>
      <c r="G66" s="20" t="s">
        <v>56</v>
      </c>
      <c r="H66" s="23" t="s">
        <v>131</v>
      </c>
      <c r="I66" s="78" t="s">
        <v>269</v>
      </c>
      <c r="J66" s="78" t="s">
        <v>269</v>
      </c>
      <c r="K66" s="78" t="s">
        <v>269</v>
      </c>
      <c r="L66" s="78" t="s">
        <v>269</v>
      </c>
      <c r="M66" s="78" t="s">
        <v>269</v>
      </c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4"/>
      <c r="AX66" s="124"/>
      <c r="AY66" s="124"/>
      <c r="AZ66" s="124"/>
      <c r="BA66" s="124"/>
      <c r="BB66" s="124"/>
      <c r="BC66" s="124"/>
      <c r="BD66" s="124"/>
      <c r="BE66" s="124"/>
      <c r="BF66" s="124"/>
      <c r="BG66" s="124"/>
      <c r="BH66" s="124"/>
      <c r="BI66" s="124"/>
      <c r="BJ66" s="124"/>
      <c r="BK66" s="124"/>
      <c r="BL66" s="124"/>
      <c r="BM66" s="124"/>
      <c r="BN66" s="124"/>
      <c r="BO66" s="124"/>
      <c r="BP66" s="124"/>
      <c r="BQ66" s="118"/>
      <c r="BR66" s="118"/>
      <c r="BS66" s="118"/>
      <c r="BT66" s="118"/>
      <c r="BU66" s="118"/>
      <c r="BV66" s="118"/>
      <c r="BW66" s="118"/>
      <c r="BX66" s="118"/>
      <c r="BY66" s="118"/>
      <c r="BZ66" s="118"/>
      <c r="CA66" s="118"/>
      <c r="CB66" s="118"/>
      <c r="CC66" s="118"/>
      <c r="CD66" s="118"/>
      <c r="CE66" s="118"/>
      <c r="CF66" s="118"/>
      <c r="CG66" s="118"/>
      <c r="CH66" s="118"/>
      <c r="CI66" s="118"/>
      <c r="CJ66" s="118"/>
      <c r="CK66" s="163"/>
      <c r="CL66" s="163"/>
      <c r="CM66" s="163"/>
      <c r="CN66" s="163"/>
      <c r="CO66" s="163"/>
      <c r="CP66" s="163"/>
      <c r="CQ66" s="163"/>
      <c r="CR66" s="163"/>
      <c r="CS66" s="163"/>
      <c r="CT66" s="163"/>
      <c r="CU66" s="163"/>
      <c r="CV66" s="163"/>
      <c r="CW66" s="163"/>
      <c r="CX66" s="163"/>
      <c r="CY66" s="163"/>
      <c r="CZ66" s="163"/>
      <c r="DA66" s="163"/>
      <c r="DB66" s="163"/>
      <c r="DC66" s="163"/>
      <c r="DD66" s="163"/>
      <c r="DE66" s="49"/>
      <c r="DF66" s="49"/>
      <c r="DG66" s="49"/>
      <c r="DH66" s="49"/>
      <c r="DI66" s="49"/>
      <c r="DJ66" s="49"/>
      <c r="DK66" s="49"/>
      <c r="DL66" s="49"/>
      <c r="DM66" s="49"/>
      <c r="DN66" s="49"/>
      <c r="DO66" s="49"/>
      <c r="DP66" s="49"/>
      <c r="DQ66" s="49"/>
      <c r="DR66" s="49"/>
      <c r="DS66" s="49"/>
      <c r="DT66" s="49"/>
      <c r="DU66" s="49"/>
      <c r="DV66" s="49"/>
      <c r="DW66" s="49"/>
      <c r="DX66" s="49"/>
      <c r="DY66" s="49"/>
      <c r="DZ66" s="49"/>
      <c r="EA66" s="49"/>
      <c r="EB66" s="49"/>
      <c r="EC66" s="49"/>
      <c r="ED66" s="49"/>
      <c r="EE66" s="49"/>
      <c r="EF66" s="49"/>
      <c r="EG66" s="49"/>
      <c r="EH66" s="49"/>
      <c r="EI66" s="49"/>
      <c r="EJ66" s="49"/>
      <c r="EK66" s="49"/>
      <c r="EL66" s="49"/>
      <c r="EM66" s="49"/>
      <c r="EN66" s="49"/>
      <c r="EO66" s="49"/>
      <c r="EP66" s="49"/>
      <c r="EQ66" s="49"/>
      <c r="ER66" s="49"/>
    </row>
    <row r="67" spans="1:148" ht="18" x14ac:dyDescent="0.25">
      <c r="A67" s="127"/>
      <c r="B67" s="133"/>
      <c r="C67" s="127">
        <v>5</v>
      </c>
      <c r="D67" s="126" t="s">
        <v>108</v>
      </c>
      <c r="E67" s="129" t="s">
        <v>116</v>
      </c>
      <c r="F67" s="128" t="s">
        <v>141</v>
      </c>
      <c r="G67" s="20" t="s">
        <v>56</v>
      </c>
      <c r="H67" s="23" t="s">
        <v>132</v>
      </c>
      <c r="I67" s="78" t="s">
        <v>269</v>
      </c>
      <c r="J67" s="78" t="s">
        <v>269</v>
      </c>
      <c r="K67" s="78" t="s">
        <v>269</v>
      </c>
      <c r="L67" s="78" t="s">
        <v>269</v>
      </c>
      <c r="M67" s="78" t="s">
        <v>269</v>
      </c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122">
        <f t="shared" ref="AC67:AV67" si="57">IF(AND(I67="",I68=""),"",COUNTIF(I67:I68,"v"))</f>
        <v>2</v>
      </c>
      <c r="AD67" s="122">
        <f t="shared" si="57"/>
        <v>2</v>
      </c>
      <c r="AE67" s="122">
        <f t="shared" si="57"/>
        <v>2</v>
      </c>
      <c r="AF67" s="122">
        <f t="shared" si="57"/>
        <v>2</v>
      </c>
      <c r="AG67" s="122">
        <f t="shared" si="57"/>
        <v>2</v>
      </c>
      <c r="AH67" s="122" t="str">
        <f t="shared" si="57"/>
        <v/>
      </c>
      <c r="AI67" s="122" t="str">
        <f t="shared" si="57"/>
        <v/>
      </c>
      <c r="AJ67" s="122" t="str">
        <f t="shared" si="57"/>
        <v/>
      </c>
      <c r="AK67" s="122" t="str">
        <f t="shared" si="57"/>
        <v/>
      </c>
      <c r="AL67" s="122" t="str">
        <f t="shared" si="57"/>
        <v/>
      </c>
      <c r="AM67" s="122" t="str">
        <f t="shared" si="57"/>
        <v/>
      </c>
      <c r="AN67" s="122" t="str">
        <f t="shared" si="57"/>
        <v/>
      </c>
      <c r="AO67" s="122" t="str">
        <f t="shared" si="57"/>
        <v/>
      </c>
      <c r="AP67" s="122" t="str">
        <f t="shared" si="57"/>
        <v/>
      </c>
      <c r="AQ67" s="122" t="str">
        <f t="shared" si="57"/>
        <v/>
      </c>
      <c r="AR67" s="122" t="str">
        <f t="shared" si="57"/>
        <v/>
      </c>
      <c r="AS67" s="122" t="str">
        <f t="shared" si="57"/>
        <v/>
      </c>
      <c r="AT67" s="122" t="str">
        <f t="shared" si="57"/>
        <v/>
      </c>
      <c r="AU67" s="122" t="str">
        <f t="shared" si="57"/>
        <v/>
      </c>
      <c r="AV67" s="122" t="str">
        <f t="shared" si="57"/>
        <v/>
      </c>
      <c r="AW67" s="124">
        <f t="shared" ref="AW67:CJ67" si="58">IF(AC67="","",IF(AC67&gt;=1,5,0))</f>
        <v>5</v>
      </c>
      <c r="AX67" s="124">
        <f t="shared" si="58"/>
        <v>5</v>
      </c>
      <c r="AY67" s="124">
        <f t="shared" si="58"/>
        <v>5</v>
      </c>
      <c r="AZ67" s="124">
        <f t="shared" si="58"/>
        <v>5</v>
      </c>
      <c r="BA67" s="124">
        <f t="shared" si="58"/>
        <v>5</v>
      </c>
      <c r="BB67" s="124" t="str">
        <f t="shared" si="58"/>
        <v/>
      </c>
      <c r="BC67" s="124" t="str">
        <f t="shared" si="58"/>
        <v/>
      </c>
      <c r="BD67" s="124" t="str">
        <f t="shared" si="58"/>
        <v/>
      </c>
      <c r="BE67" s="124" t="str">
        <f t="shared" si="58"/>
        <v/>
      </c>
      <c r="BF67" s="124" t="str">
        <f t="shared" si="58"/>
        <v/>
      </c>
      <c r="BG67" s="124" t="str">
        <f t="shared" si="58"/>
        <v/>
      </c>
      <c r="BH67" s="124" t="str">
        <f t="shared" si="58"/>
        <v/>
      </c>
      <c r="BI67" s="124" t="str">
        <f t="shared" si="58"/>
        <v/>
      </c>
      <c r="BJ67" s="124" t="str">
        <f t="shared" si="58"/>
        <v/>
      </c>
      <c r="BK67" s="124" t="str">
        <f t="shared" si="58"/>
        <v/>
      </c>
      <c r="BL67" s="124" t="str">
        <f t="shared" si="58"/>
        <v/>
      </c>
      <c r="BM67" s="124" t="str">
        <f t="shared" si="58"/>
        <v/>
      </c>
      <c r="BN67" s="124" t="str">
        <f t="shared" si="58"/>
        <v/>
      </c>
      <c r="BO67" s="124" t="str">
        <f t="shared" si="58"/>
        <v/>
      </c>
      <c r="BP67" s="124" t="str">
        <f t="shared" si="58"/>
        <v/>
      </c>
      <c r="BQ67" s="118">
        <f t="shared" si="58"/>
        <v>5</v>
      </c>
      <c r="BR67" s="118">
        <f t="shared" si="58"/>
        <v>5</v>
      </c>
      <c r="BS67" s="118">
        <f t="shared" si="58"/>
        <v>5</v>
      </c>
      <c r="BT67" s="118">
        <f t="shared" si="58"/>
        <v>5</v>
      </c>
      <c r="BU67" s="118">
        <f t="shared" si="58"/>
        <v>5</v>
      </c>
      <c r="BV67" s="118" t="str">
        <f t="shared" si="58"/>
        <v/>
      </c>
      <c r="BW67" s="118" t="str">
        <f t="shared" si="58"/>
        <v/>
      </c>
      <c r="BX67" s="118" t="str">
        <f t="shared" si="58"/>
        <v/>
      </c>
      <c r="BY67" s="118" t="str">
        <f t="shared" si="58"/>
        <v/>
      </c>
      <c r="BZ67" s="118" t="str">
        <f t="shared" si="58"/>
        <v/>
      </c>
      <c r="CA67" s="118" t="str">
        <f t="shared" si="58"/>
        <v/>
      </c>
      <c r="CB67" s="118" t="str">
        <f t="shared" si="58"/>
        <v/>
      </c>
      <c r="CC67" s="118" t="str">
        <f t="shared" si="58"/>
        <v/>
      </c>
      <c r="CD67" s="118" t="str">
        <f t="shared" si="58"/>
        <v/>
      </c>
      <c r="CE67" s="118" t="str">
        <f t="shared" si="58"/>
        <v/>
      </c>
      <c r="CF67" s="118" t="str">
        <f t="shared" si="58"/>
        <v/>
      </c>
      <c r="CG67" s="118" t="str">
        <f t="shared" si="58"/>
        <v/>
      </c>
      <c r="CH67" s="118" t="str">
        <f t="shared" si="58"/>
        <v/>
      </c>
      <c r="CI67" s="118" t="str">
        <f t="shared" si="58"/>
        <v/>
      </c>
      <c r="CJ67" s="118" t="str">
        <f t="shared" si="58"/>
        <v/>
      </c>
      <c r="CK67" s="163"/>
      <c r="CL67" s="163"/>
      <c r="CM67" s="163"/>
      <c r="CN67" s="163"/>
      <c r="CO67" s="163"/>
      <c r="CP67" s="163"/>
      <c r="CQ67" s="163"/>
      <c r="CR67" s="163"/>
      <c r="CS67" s="163"/>
      <c r="CT67" s="163"/>
      <c r="CU67" s="163"/>
      <c r="CV67" s="163"/>
      <c r="CW67" s="163"/>
      <c r="CX67" s="163"/>
      <c r="CY67" s="163"/>
      <c r="CZ67" s="163"/>
      <c r="DA67" s="163"/>
      <c r="DB67" s="163"/>
      <c r="DC67" s="163"/>
      <c r="DD67" s="163"/>
      <c r="DE67" s="49"/>
      <c r="DF67" s="49"/>
      <c r="DG67" s="49"/>
      <c r="DH67" s="49"/>
      <c r="DI67" s="49"/>
      <c r="DJ67" s="49"/>
      <c r="DK67" s="49"/>
      <c r="DL67" s="49"/>
      <c r="DM67" s="49"/>
      <c r="DN67" s="49"/>
      <c r="DO67" s="49"/>
      <c r="DP67" s="49"/>
      <c r="DQ67" s="49"/>
      <c r="DR67" s="49"/>
      <c r="DS67" s="49"/>
      <c r="DT67" s="49"/>
      <c r="DU67" s="49"/>
      <c r="DV67" s="49"/>
      <c r="DW67" s="49"/>
      <c r="DX67" s="49"/>
      <c r="DY67" s="49"/>
      <c r="DZ67" s="49"/>
      <c r="EA67" s="49"/>
      <c r="EB67" s="49"/>
      <c r="EC67" s="49"/>
      <c r="ED67" s="49"/>
      <c r="EE67" s="49"/>
      <c r="EF67" s="49"/>
      <c r="EG67" s="49"/>
      <c r="EH67" s="49"/>
      <c r="EI67" s="49"/>
      <c r="EJ67" s="49"/>
      <c r="EK67" s="49"/>
      <c r="EL67" s="49"/>
      <c r="EM67" s="49"/>
      <c r="EN67" s="49"/>
      <c r="EO67" s="49"/>
      <c r="EP67" s="49"/>
      <c r="EQ67" s="49"/>
      <c r="ER67" s="49"/>
    </row>
    <row r="68" spans="1:148" ht="32.450000000000003" customHeight="1" x14ac:dyDescent="0.25">
      <c r="A68" s="127"/>
      <c r="B68" s="133"/>
      <c r="C68" s="127"/>
      <c r="D68" s="126"/>
      <c r="E68" s="129"/>
      <c r="F68" s="128"/>
      <c r="G68" s="20" t="s">
        <v>56</v>
      </c>
      <c r="H68" s="23" t="s">
        <v>133</v>
      </c>
      <c r="I68" s="78" t="s">
        <v>269</v>
      </c>
      <c r="J68" s="78" t="s">
        <v>269</v>
      </c>
      <c r="K68" s="78" t="s">
        <v>269</v>
      </c>
      <c r="L68" s="78" t="s">
        <v>269</v>
      </c>
      <c r="M68" s="78" t="s">
        <v>269</v>
      </c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  <c r="AS68" s="122"/>
      <c r="AT68" s="122"/>
      <c r="AU68" s="122"/>
      <c r="AV68" s="122"/>
      <c r="AW68" s="124"/>
      <c r="AX68" s="124"/>
      <c r="AY68" s="124"/>
      <c r="AZ68" s="124"/>
      <c r="BA68" s="124"/>
      <c r="BB68" s="124"/>
      <c r="BC68" s="124"/>
      <c r="BD68" s="124"/>
      <c r="BE68" s="124"/>
      <c r="BF68" s="124"/>
      <c r="BG68" s="124"/>
      <c r="BH68" s="124"/>
      <c r="BI68" s="124"/>
      <c r="BJ68" s="124"/>
      <c r="BK68" s="124"/>
      <c r="BL68" s="124"/>
      <c r="BM68" s="124"/>
      <c r="BN68" s="124"/>
      <c r="BO68" s="124"/>
      <c r="BP68" s="124"/>
      <c r="BQ68" s="118"/>
      <c r="BR68" s="118"/>
      <c r="BS68" s="118"/>
      <c r="BT68" s="118"/>
      <c r="BU68" s="118"/>
      <c r="BV68" s="118"/>
      <c r="BW68" s="118"/>
      <c r="BX68" s="118"/>
      <c r="BY68" s="118"/>
      <c r="BZ68" s="118"/>
      <c r="CA68" s="118"/>
      <c r="CB68" s="118"/>
      <c r="CC68" s="118"/>
      <c r="CD68" s="118"/>
      <c r="CE68" s="118"/>
      <c r="CF68" s="118"/>
      <c r="CG68" s="118"/>
      <c r="CH68" s="118"/>
      <c r="CI68" s="118"/>
      <c r="CJ68" s="118"/>
      <c r="CK68" s="163"/>
      <c r="CL68" s="163"/>
      <c r="CM68" s="163"/>
      <c r="CN68" s="163"/>
      <c r="CO68" s="163"/>
      <c r="CP68" s="163"/>
      <c r="CQ68" s="163"/>
      <c r="CR68" s="163"/>
      <c r="CS68" s="163"/>
      <c r="CT68" s="163"/>
      <c r="CU68" s="163"/>
      <c r="CV68" s="163"/>
      <c r="CW68" s="163"/>
      <c r="CX68" s="163"/>
      <c r="CY68" s="163"/>
      <c r="CZ68" s="163"/>
      <c r="DA68" s="163"/>
      <c r="DB68" s="163"/>
      <c r="DC68" s="163"/>
      <c r="DD68" s="163"/>
      <c r="DE68" s="49"/>
      <c r="DF68" s="49"/>
      <c r="DG68" s="49"/>
      <c r="DH68" s="49"/>
      <c r="DI68" s="49"/>
      <c r="DJ68" s="49"/>
      <c r="DK68" s="49"/>
      <c r="DL68" s="49"/>
      <c r="DM68" s="49"/>
      <c r="DN68" s="49"/>
      <c r="DO68" s="49"/>
      <c r="DP68" s="49"/>
      <c r="DQ68" s="49"/>
      <c r="DR68" s="49"/>
      <c r="DS68" s="49"/>
      <c r="DT68" s="49"/>
      <c r="DU68" s="49"/>
      <c r="DV68" s="49"/>
      <c r="DW68" s="49"/>
      <c r="DX68" s="49"/>
      <c r="DY68" s="49"/>
      <c r="DZ68" s="49"/>
      <c r="EA68" s="49"/>
      <c r="EB68" s="49"/>
      <c r="EC68" s="49"/>
      <c r="ED68" s="49"/>
      <c r="EE68" s="49"/>
      <c r="EF68" s="49"/>
      <c r="EG68" s="49"/>
      <c r="EH68" s="49"/>
      <c r="EI68" s="49"/>
      <c r="EJ68" s="49"/>
      <c r="EK68" s="49"/>
      <c r="EL68" s="49"/>
      <c r="EM68" s="49"/>
      <c r="EN68" s="49"/>
      <c r="EO68" s="49"/>
      <c r="EP68" s="49"/>
      <c r="EQ68" s="49"/>
      <c r="ER68" s="49"/>
    </row>
    <row r="69" spans="1:148" ht="18" x14ac:dyDescent="0.25">
      <c r="A69" s="127"/>
      <c r="B69" s="133"/>
      <c r="C69" s="127">
        <v>6</v>
      </c>
      <c r="D69" s="126" t="s">
        <v>109</v>
      </c>
      <c r="E69" s="129" t="s">
        <v>117</v>
      </c>
      <c r="F69" s="128" t="s">
        <v>142</v>
      </c>
      <c r="G69" s="20" t="s">
        <v>56</v>
      </c>
      <c r="H69" s="23" t="s">
        <v>134</v>
      </c>
      <c r="I69" s="78" t="s">
        <v>269</v>
      </c>
      <c r="J69" s="78" t="s">
        <v>269</v>
      </c>
      <c r="K69" s="78" t="s">
        <v>269</v>
      </c>
      <c r="L69" s="78" t="s">
        <v>269</v>
      </c>
      <c r="M69" s="78" t="s">
        <v>269</v>
      </c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122">
        <f t="shared" ref="AC69:AV69" si="59">IF(AND(I69="",I70="",I71=""),"",COUNTIF(I69:I71,"v"))</f>
        <v>3</v>
      </c>
      <c r="AD69" s="122">
        <f t="shared" si="59"/>
        <v>3</v>
      </c>
      <c r="AE69" s="122">
        <f t="shared" si="59"/>
        <v>3</v>
      </c>
      <c r="AF69" s="122">
        <f t="shared" si="59"/>
        <v>3</v>
      </c>
      <c r="AG69" s="122">
        <f t="shared" si="59"/>
        <v>3</v>
      </c>
      <c r="AH69" s="122" t="str">
        <f t="shared" si="59"/>
        <v/>
      </c>
      <c r="AI69" s="122" t="str">
        <f t="shared" si="59"/>
        <v/>
      </c>
      <c r="AJ69" s="122" t="str">
        <f t="shared" si="59"/>
        <v/>
      </c>
      <c r="AK69" s="122" t="str">
        <f t="shared" si="59"/>
        <v/>
      </c>
      <c r="AL69" s="122" t="str">
        <f t="shared" si="59"/>
        <v/>
      </c>
      <c r="AM69" s="122" t="str">
        <f t="shared" si="59"/>
        <v/>
      </c>
      <c r="AN69" s="122" t="str">
        <f t="shared" si="59"/>
        <v/>
      </c>
      <c r="AO69" s="122" t="str">
        <f t="shared" si="59"/>
        <v/>
      </c>
      <c r="AP69" s="122" t="str">
        <f t="shared" si="59"/>
        <v/>
      </c>
      <c r="AQ69" s="122" t="str">
        <f t="shared" si="59"/>
        <v/>
      </c>
      <c r="AR69" s="122" t="str">
        <f t="shared" si="59"/>
        <v/>
      </c>
      <c r="AS69" s="122" t="str">
        <f t="shared" si="59"/>
        <v/>
      </c>
      <c r="AT69" s="122" t="str">
        <f t="shared" si="59"/>
        <v/>
      </c>
      <c r="AU69" s="122" t="str">
        <f t="shared" si="59"/>
        <v/>
      </c>
      <c r="AV69" s="122" t="str">
        <f t="shared" si="59"/>
        <v/>
      </c>
      <c r="AW69" s="124">
        <f t="shared" ref="AW69:CJ69" si="60">IF(AC69="","",IF(AC69&gt;=1,6,0))</f>
        <v>6</v>
      </c>
      <c r="AX69" s="124">
        <f t="shared" si="60"/>
        <v>6</v>
      </c>
      <c r="AY69" s="124">
        <f t="shared" si="60"/>
        <v>6</v>
      </c>
      <c r="AZ69" s="124">
        <f t="shared" si="60"/>
        <v>6</v>
      </c>
      <c r="BA69" s="124">
        <f t="shared" si="60"/>
        <v>6</v>
      </c>
      <c r="BB69" s="124" t="str">
        <f t="shared" si="60"/>
        <v/>
      </c>
      <c r="BC69" s="124" t="str">
        <f t="shared" si="60"/>
        <v/>
      </c>
      <c r="BD69" s="124" t="str">
        <f t="shared" si="60"/>
        <v/>
      </c>
      <c r="BE69" s="124" t="str">
        <f t="shared" si="60"/>
        <v/>
      </c>
      <c r="BF69" s="124" t="str">
        <f t="shared" si="60"/>
        <v/>
      </c>
      <c r="BG69" s="124" t="str">
        <f t="shared" si="60"/>
        <v/>
      </c>
      <c r="BH69" s="124" t="str">
        <f t="shared" si="60"/>
        <v/>
      </c>
      <c r="BI69" s="124" t="str">
        <f t="shared" si="60"/>
        <v/>
      </c>
      <c r="BJ69" s="124" t="str">
        <f t="shared" si="60"/>
        <v/>
      </c>
      <c r="BK69" s="124" t="str">
        <f t="shared" si="60"/>
        <v/>
      </c>
      <c r="BL69" s="124" t="str">
        <f t="shared" si="60"/>
        <v/>
      </c>
      <c r="BM69" s="124" t="str">
        <f t="shared" si="60"/>
        <v/>
      </c>
      <c r="BN69" s="124" t="str">
        <f t="shared" si="60"/>
        <v/>
      </c>
      <c r="BO69" s="124" t="str">
        <f t="shared" si="60"/>
        <v/>
      </c>
      <c r="BP69" s="124" t="str">
        <f t="shared" si="60"/>
        <v/>
      </c>
      <c r="BQ69" s="118">
        <f t="shared" si="60"/>
        <v>6</v>
      </c>
      <c r="BR69" s="118">
        <f t="shared" si="60"/>
        <v>6</v>
      </c>
      <c r="BS69" s="118">
        <f t="shared" si="60"/>
        <v>6</v>
      </c>
      <c r="BT69" s="118">
        <f t="shared" si="60"/>
        <v>6</v>
      </c>
      <c r="BU69" s="118">
        <f t="shared" si="60"/>
        <v>6</v>
      </c>
      <c r="BV69" s="118" t="str">
        <f t="shared" si="60"/>
        <v/>
      </c>
      <c r="BW69" s="118" t="str">
        <f t="shared" si="60"/>
        <v/>
      </c>
      <c r="BX69" s="118" t="str">
        <f t="shared" si="60"/>
        <v/>
      </c>
      <c r="BY69" s="118" t="str">
        <f t="shared" si="60"/>
        <v/>
      </c>
      <c r="BZ69" s="118" t="str">
        <f t="shared" si="60"/>
        <v/>
      </c>
      <c r="CA69" s="118" t="str">
        <f t="shared" si="60"/>
        <v/>
      </c>
      <c r="CB69" s="118" t="str">
        <f t="shared" si="60"/>
        <v/>
      </c>
      <c r="CC69" s="118" t="str">
        <f t="shared" si="60"/>
        <v/>
      </c>
      <c r="CD69" s="118" t="str">
        <f t="shared" si="60"/>
        <v/>
      </c>
      <c r="CE69" s="118" t="str">
        <f t="shared" si="60"/>
        <v/>
      </c>
      <c r="CF69" s="118" t="str">
        <f t="shared" si="60"/>
        <v/>
      </c>
      <c r="CG69" s="118" t="str">
        <f t="shared" si="60"/>
        <v/>
      </c>
      <c r="CH69" s="118" t="str">
        <f t="shared" si="60"/>
        <v/>
      </c>
      <c r="CI69" s="118" t="str">
        <f t="shared" si="60"/>
        <v/>
      </c>
      <c r="CJ69" s="118" t="str">
        <f t="shared" si="60"/>
        <v/>
      </c>
      <c r="CK69" s="163"/>
      <c r="CL69" s="163"/>
      <c r="CM69" s="163"/>
      <c r="CN69" s="163"/>
      <c r="CO69" s="163"/>
      <c r="CP69" s="163"/>
      <c r="CQ69" s="163"/>
      <c r="CR69" s="163"/>
      <c r="CS69" s="163"/>
      <c r="CT69" s="163"/>
      <c r="CU69" s="163"/>
      <c r="CV69" s="163"/>
      <c r="CW69" s="163"/>
      <c r="CX69" s="163"/>
      <c r="CY69" s="163"/>
      <c r="CZ69" s="163"/>
      <c r="DA69" s="163"/>
      <c r="DB69" s="163"/>
      <c r="DC69" s="163"/>
      <c r="DD69" s="163"/>
      <c r="DE69" s="49"/>
      <c r="DF69" s="49"/>
      <c r="DG69" s="49"/>
      <c r="DH69" s="49"/>
      <c r="DI69" s="49"/>
      <c r="DJ69" s="49"/>
      <c r="DK69" s="49"/>
      <c r="DL69" s="49"/>
      <c r="DM69" s="49"/>
      <c r="DN69" s="49"/>
      <c r="DO69" s="49"/>
      <c r="DP69" s="49"/>
      <c r="DQ69" s="49"/>
      <c r="DR69" s="49"/>
      <c r="DS69" s="49"/>
      <c r="DT69" s="49"/>
      <c r="DU69" s="49"/>
      <c r="DV69" s="49"/>
      <c r="DW69" s="49"/>
      <c r="DX69" s="49"/>
      <c r="DY69" s="49"/>
      <c r="DZ69" s="49"/>
      <c r="EA69" s="49"/>
      <c r="EB69" s="49"/>
      <c r="EC69" s="49"/>
      <c r="ED69" s="49"/>
      <c r="EE69" s="49"/>
      <c r="EF69" s="49"/>
      <c r="EG69" s="49"/>
      <c r="EH69" s="49"/>
      <c r="EI69" s="49"/>
      <c r="EJ69" s="49"/>
      <c r="EK69" s="49"/>
      <c r="EL69" s="49"/>
      <c r="EM69" s="49"/>
      <c r="EN69" s="49"/>
      <c r="EO69" s="49"/>
      <c r="EP69" s="49"/>
      <c r="EQ69" s="49"/>
      <c r="ER69" s="49"/>
    </row>
    <row r="70" spans="1:148" ht="18" x14ac:dyDescent="0.25">
      <c r="A70" s="127"/>
      <c r="B70" s="133"/>
      <c r="C70" s="127"/>
      <c r="D70" s="126"/>
      <c r="E70" s="129"/>
      <c r="F70" s="128"/>
      <c r="G70" s="20" t="s">
        <v>56</v>
      </c>
      <c r="H70" s="23" t="s">
        <v>135</v>
      </c>
      <c r="I70" s="78" t="s">
        <v>269</v>
      </c>
      <c r="J70" s="78" t="s">
        <v>269</v>
      </c>
      <c r="K70" s="78" t="s">
        <v>269</v>
      </c>
      <c r="L70" s="78" t="s">
        <v>269</v>
      </c>
      <c r="M70" s="78" t="s">
        <v>269</v>
      </c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4"/>
      <c r="AX70" s="124"/>
      <c r="AY70" s="124"/>
      <c r="AZ70" s="124"/>
      <c r="BA70" s="124"/>
      <c r="BB70" s="124"/>
      <c r="BC70" s="124"/>
      <c r="BD70" s="124"/>
      <c r="BE70" s="124"/>
      <c r="BF70" s="124"/>
      <c r="BG70" s="124"/>
      <c r="BH70" s="124"/>
      <c r="BI70" s="124"/>
      <c r="BJ70" s="124"/>
      <c r="BK70" s="124"/>
      <c r="BL70" s="124"/>
      <c r="BM70" s="124"/>
      <c r="BN70" s="124"/>
      <c r="BO70" s="124"/>
      <c r="BP70" s="124"/>
      <c r="BQ70" s="118"/>
      <c r="BR70" s="118"/>
      <c r="BS70" s="118"/>
      <c r="BT70" s="118"/>
      <c r="BU70" s="118"/>
      <c r="BV70" s="118"/>
      <c r="BW70" s="118"/>
      <c r="BX70" s="118"/>
      <c r="BY70" s="118"/>
      <c r="BZ70" s="118"/>
      <c r="CA70" s="118"/>
      <c r="CB70" s="118"/>
      <c r="CC70" s="118"/>
      <c r="CD70" s="118"/>
      <c r="CE70" s="118"/>
      <c r="CF70" s="118"/>
      <c r="CG70" s="118"/>
      <c r="CH70" s="118"/>
      <c r="CI70" s="118"/>
      <c r="CJ70" s="118"/>
      <c r="CK70" s="163"/>
      <c r="CL70" s="163"/>
      <c r="CM70" s="163"/>
      <c r="CN70" s="163"/>
      <c r="CO70" s="163"/>
      <c r="CP70" s="163"/>
      <c r="CQ70" s="163"/>
      <c r="CR70" s="163"/>
      <c r="CS70" s="163"/>
      <c r="CT70" s="163"/>
      <c r="CU70" s="163"/>
      <c r="CV70" s="163"/>
      <c r="CW70" s="163"/>
      <c r="CX70" s="163"/>
      <c r="CY70" s="163"/>
      <c r="CZ70" s="163"/>
      <c r="DA70" s="163"/>
      <c r="DB70" s="163"/>
      <c r="DC70" s="163"/>
      <c r="DD70" s="163"/>
      <c r="DE70" s="49"/>
      <c r="DF70" s="49"/>
      <c r="DG70" s="49"/>
      <c r="DH70" s="49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49"/>
      <c r="DW70" s="49"/>
      <c r="DX70" s="49"/>
      <c r="DY70" s="49"/>
      <c r="DZ70" s="49"/>
      <c r="EA70" s="49"/>
      <c r="EB70" s="49"/>
      <c r="EC70" s="49"/>
      <c r="ED70" s="49"/>
      <c r="EE70" s="49"/>
      <c r="EF70" s="49"/>
      <c r="EG70" s="49"/>
      <c r="EH70" s="49"/>
      <c r="EI70" s="49"/>
      <c r="EJ70" s="49"/>
      <c r="EK70" s="49"/>
      <c r="EL70" s="49"/>
      <c r="EM70" s="49"/>
      <c r="EN70" s="49"/>
      <c r="EO70" s="49"/>
      <c r="EP70" s="49"/>
      <c r="EQ70" s="49"/>
      <c r="ER70" s="49"/>
    </row>
    <row r="71" spans="1:148" ht="77.45" customHeight="1" x14ac:dyDescent="0.25">
      <c r="A71" s="127"/>
      <c r="B71" s="133"/>
      <c r="C71" s="127"/>
      <c r="D71" s="126"/>
      <c r="E71" s="129"/>
      <c r="F71" s="128"/>
      <c r="G71" s="20" t="s">
        <v>56</v>
      </c>
      <c r="H71" s="23" t="s">
        <v>136</v>
      </c>
      <c r="I71" s="78" t="s">
        <v>269</v>
      </c>
      <c r="J71" s="78" t="s">
        <v>269</v>
      </c>
      <c r="K71" s="78" t="s">
        <v>269</v>
      </c>
      <c r="L71" s="78" t="s">
        <v>269</v>
      </c>
      <c r="M71" s="78" t="s">
        <v>269</v>
      </c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4"/>
      <c r="AX71" s="124"/>
      <c r="AY71" s="124"/>
      <c r="AZ71" s="124"/>
      <c r="BA71" s="124"/>
      <c r="BB71" s="124"/>
      <c r="BC71" s="124"/>
      <c r="BD71" s="124"/>
      <c r="BE71" s="124"/>
      <c r="BF71" s="124"/>
      <c r="BG71" s="124"/>
      <c r="BH71" s="124"/>
      <c r="BI71" s="124"/>
      <c r="BJ71" s="124"/>
      <c r="BK71" s="124"/>
      <c r="BL71" s="124"/>
      <c r="BM71" s="124"/>
      <c r="BN71" s="124"/>
      <c r="BO71" s="124"/>
      <c r="BP71" s="124"/>
      <c r="BQ71" s="118"/>
      <c r="BR71" s="118"/>
      <c r="BS71" s="118"/>
      <c r="BT71" s="118"/>
      <c r="BU71" s="118"/>
      <c r="BV71" s="118"/>
      <c r="BW71" s="118"/>
      <c r="BX71" s="118"/>
      <c r="BY71" s="118"/>
      <c r="BZ71" s="118"/>
      <c r="CA71" s="118"/>
      <c r="CB71" s="118"/>
      <c r="CC71" s="118"/>
      <c r="CD71" s="118"/>
      <c r="CE71" s="118"/>
      <c r="CF71" s="118"/>
      <c r="CG71" s="118"/>
      <c r="CH71" s="118"/>
      <c r="CI71" s="118"/>
      <c r="CJ71" s="118"/>
      <c r="CK71" s="163"/>
      <c r="CL71" s="163"/>
      <c r="CM71" s="163"/>
      <c r="CN71" s="163"/>
      <c r="CO71" s="163"/>
      <c r="CP71" s="163"/>
      <c r="CQ71" s="163"/>
      <c r="CR71" s="163"/>
      <c r="CS71" s="163"/>
      <c r="CT71" s="163"/>
      <c r="CU71" s="163"/>
      <c r="CV71" s="163"/>
      <c r="CW71" s="163"/>
      <c r="CX71" s="163"/>
      <c r="CY71" s="163"/>
      <c r="CZ71" s="163"/>
      <c r="DA71" s="163"/>
      <c r="DB71" s="163"/>
      <c r="DC71" s="163"/>
      <c r="DD71" s="163"/>
      <c r="DE71" s="49"/>
      <c r="DF71" s="49"/>
      <c r="DG71" s="49"/>
      <c r="DH71" s="49"/>
      <c r="DI71" s="49"/>
      <c r="DJ71" s="49"/>
      <c r="DK71" s="49"/>
      <c r="DL71" s="49"/>
      <c r="DM71" s="49"/>
      <c r="DN71" s="49"/>
      <c r="DO71" s="49"/>
      <c r="DP71" s="49"/>
      <c r="DQ71" s="49"/>
      <c r="DR71" s="49"/>
      <c r="DS71" s="49"/>
      <c r="DT71" s="49"/>
      <c r="DU71" s="49"/>
      <c r="DV71" s="49"/>
      <c r="DW71" s="49"/>
      <c r="DX71" s="49"/>
      <c r="DY71" s="49"/>
      <c r="DZ71" s="49"/>
      <c r="EA71" s="49"/>
      <c r="EB71" s="49"/>
      <c r="EC71" s="49"/>
      <c r="ED71" s="49"/>
      <c r="EE71" s="49"/>
      <c r="EF71" s="49"/>
      <c r="EG71" s="49"/>
      <c r="EH71" s="49"/>
      <c r="EI71" s="49"/>
      <c r="EJ71" s="49"/>
      <c r="EK71" s="49"/>
      <c r="EL71" s="49"/>
      <c r="EM71" s="49"/>
      <c r="EN71" s="49"/>
      <c r="EO71" s="49"/>
      <c r="EP71" s="49"/>
      <c r="EQ71" s="49"/>
      <c r="ER71" s="49"/>
    </row>
  </sheetData>
  <mergeCells count="1424">
    <mergeCell ref="AK6:AK9"/>
    <mergeCell ref="AL6:AL9"/>
    <mergeCell ref="AM6:AM9"/>
    <mergeCell ref="AN6:AN9"/>
    <mergeCell ref="AO6:AO9"/>
    <mergeCell ref="AP6:AP9"/>
    <mergeCell ref="AE6:AE9"/>
    <mergeCell ref="AF6:AF9"/>
    <mergeCell ref="AG6:AG9"/>
    <mergeCell ref="AH6:AH9"/>
    <mergeCell ref="AI6:AI9"/>
    <mergeCell ref="AJ6:AJ9"/>
    <mergeCell ref="AW4:BP4"/>
    <mergeCell ref="BQ4:DD4"/>
    <mergeCell ref="DE4:DX4"/>
    <mergeCell ref="DY4:ER4"/>
    <mergeCell ref="A6:A14"/>
    <mergeCell ref="B6:B14"/>
    <mergeCell ref="C6:C9"/>
    <mergeCell ref="D6:F9"/>
    <mergeCell ref="AC6:AC9"/>
    <mergeCell ref="AD6:AD9"/>
    <mergeCell ref="A4:A5"/>
    <mergeCell ref="B4:B5"/>
    <mergeCell ref="C4:F5"/>
    <mergeCell ref="G4:H5"/>
    <mergeCell ref="I4:AB4"/>
    <mergeCell ref="AC4:AV4"/>
    <mergeCell ref="BB6:BB9"/>
    <mergeCell ref="BC6:BC9"/>
    <mergeCell ref="BD6:BD9"/>
    <mergeCell ref="BE6:BE9"/>
    <mergeCell ref="BF6:BF9"/>
    <mergeCell ref="BG6:BG9"/>
    <mergeCell ref="AW6:AW9"/>
    <mergeCell ref="AX6:AX9"/>
    <mergeCell ref="AY6:AY9"/>
    <mergeCell ref="AZ6:AZ9"/>
    <mergeCell ref="BA6:BA9"/>
    <mergeCell ref="AQ6:AQ9"/>
    <mergeCell ref="AR6:AR9"/>
    <mergeCell ref="AS6:AS9"/>
    <mergeCell ref="AT6:AT9"/>
    <mergeCell ref="AU6:AU9"/>
    <mergeCell ref="AV6:AV9"/>
    <mergeCell ref="BS6:BS14"/>
    <mergeCell ref="BT6:BT14"/>
    <mergeCell ref="BU6:BU14"/>
    <mergeCell ref="BV6:BV14"/>
    <mergeCell ref="BW6:BW14"/>
    <mergeCell ref="BX6:BX14"/>
    <mergeCell ref="BQ6:BQ14"/>
    <mergeCell ref="BR6:BR14"/>
    <mergeCell ref="BN6:BN9"/>
    <mergeCell ref="BO6:BO9"/>
    <mergeCell ref="BP6:BP9"/>
    <mergeCell ref="BH6:BH9"/>
    <mergeCell ref="BI6:BI9"/>
    <mergeCell ref="BJ6:BJ9"/>
    <mergeCell ref="BK6:BK9"/>
    <mergeCell ref="BL6:BL9"/>
    <mergeCell ref="BM6:BM9"/>
    <mergeCell ref="CK6:CK14"/>
    <mergeCell ref="CL6:CL14"/>
    <mergeCell ref="CM6:CM14"/>
    <mergeCell ref="CN6:CN14"/>
    <mergeCell ref="CO6:CO14"/>
    <mergeCell ref="CE6:CE14"/>
    <mergeCell ref="CF6:CF14"/>
    <mergeCell ref="CG6:CG14"/>
    <mergeCell ref="CH6:CH14"/>
    <mergeCell ref="CI6:CI14"/>
    <mergeCell ref="CJ6:CJ14"/>
    <mergeCell ref="BY6:BY14"/>
    <mergeCell ref="BZ6:BZ14"/>
    <mergeCell ref="CA6:CA14"/>
    <mergeCell ref="CB6:CB14"/>
    <mergeCell ref="CC6:CC14"/>
    <mergeCell ref="CD6:CD14"/>
    <mergeCell ref="DJ6:DJ52"/>
    <mergeCell ref="DK6:DK52"/>
    <mergeCell ref="DL6:DL52"/>
    <mergeCell ref="DE6:DE52"/>
    <mergeCell ref="DF6:DF52"/>
    <mergeCell ref="DB6:DB14"/>
    <mergeCell ref="DC6:DC14"/>
    <mergeCell ref="DD6:DD14"/>
    <mergeCell ref="CV6:CV14"/>
    <mergeCell ref="CW6:CW14"/>
    <mergeCell ref="CX6:CX14"/>
    <mergeCell ref="CY6:CY14"/>
    <mergeCell ref="CZ6:CZ14"/>
    <mergeCell ref="DA6:DA14"/>
    <mergeCell ref="CP6:CP14"/>
    <mergeCell ref="CQ6:CQ14"/>
    <mergeCell ref="CR6:CR14"/>
    <mergeCell ref="CS6:CS14"/>
    <mergeCell ref="CT6:CT14"/>
    <mergeCell ref="CU6:CU14"/>
    <mergeCell ref="EQ6:EQ52"/>
    <mergeCell ref="ER6:ER52"/>
    <mergeCell ref="EJ6:EJ52"/>
    <mergeCell ref="EK6:EK52"/>
    <mergeCell ref="EL6:EL52"/>
    <mergeCell ref="EM6:EM52"/>
    <mergeCell ref="EN6:EN52"/>
    <mergeCell ref="EO6:EO52"/>
    <mergeCell ref="ED6:ED52"/>
    <mergeCell ref="EE6:EE52"/>
    <mergeCell ref="EF6:EF52"/>
    <mergeCell ref="EG6:EG52"/>
    <mergeCell ref="EH6:EH52"/>
    <mergeCell ref="EI6:EI52"/>
    <mergeCell ref="DY6:DY52"/>
    <mergeCell ref="DZ6:DZ52"/>
    <mergeCell ref="EA6:EA52"/>
    <mergeCell ref="EB6:EB52"/>
    <mergeCell ref="EC6:EC52"/>
    <mergeCell ref="DD31:DD42"/>
    <mergeCell ref="DB31:DB42"/>
    <mergeCell ref="DC31:DC42"/>
    <mergeCell ref="DB43:DB52"/>
    <mergeCell ref="DC43:DC52"/>
    <mergeCell ref="DD43:DD52"/>
    <mergeCell ref="CV43:CV52"/>
    <mergeCell ref="CW43:CW52"/>
    <mergeCell ref="CX43:CX52"/>
    <mergeCell ref="CY43:CY52"/>
    <mergeCell ref="CZ43:CZ52"/>
    <mergeCell ref="DA43:DA52"/>
    <mergeCell ref="AO10:AO14"/>
    <mergeCell ref="AP10:AP14"/>
    <mergeCell ref="AQ10:AQ14"/>
    <mergeCell ref="AR10:AR14"/>
    <mergeCell ref="AG10:AG14"/>
    <mergeCell ref="AH10:AH14"/>
    <mergeCell ref="AI10:AI14"/>
    <mergeCell ref="AJ10:AJ14"/>
    <mergeCell ref="AK10:AK14"/>
    <mergeCell ref="AL10:AL14"/>
    <mergeCell ref="C10:C14"/>
    <mergeCell ref="D10:F14"/>
    <mergeCell ref="AC10:AC14"/>
    <mergeCell ref="AD10:AD14"/>
    <mergeCell ref="AE10:AE14"/>
    <mergeCell ref="AF10:AF14"/>
    <mergeCell ref="EP6:EP52"/>
    <mergeCell ref="DS6:DS52"/>
    <mergeCell ref="DT6:DT52"/>
    <mergeCell ref="DU6:DU52"/>
    <mergeCell ref="DV6:DV52"/>
    <mergeCell ref="DW6:DW52"/>
    <mergeCell ref="DX6:DX52"/>
    <mergeCell ref="DM6:DM52"/>
    <mergeCell ref="DN6:DN52"/>
    <mergeCell ref="DO6:DO52"/>
    <mergeCell ref="DP6:DP52"/>
    <mergeCell ref="DQ6:DQ52"/>
    <mergeCell ref="DR6:DR52"/>
    <mergeCell ref="DG6:DG52"/>
    <mergeCell ref="DH6:DH52"/>
    <mergeCell ref="DI6:DI52"/>
    <mergeCell ref="E15:E16"/>
    <mergeCell ref="F15:F16"/>
    <mergeCell ref="E17:E18"/>
    <mergeCell ref="F17:F18"/>
    <mergeCell ref="E19:E20"/>
    <mergeCell ref="F19:F20"/>
    <mergeCell ref="BP10:BP14"/>
    <mergeCell ref="BJ10:BJ14"/>
    <mergeCell ref="BK10:BK14"/>
    <mergeCell ref="BL10:BL14"/>
    <mergeCell ref="BM10:BM14"/>
    <mergeCell ref="BN10:BN14"/>
    <mergeCell ref="BO10:BO14"/>
    <mergeCell ref="BD10:BD14"/>
    <mergeCell ref="BE10:BE14"/>
    <mergeCell ref="BF10:BF14"/>
    <mergeCell ref="BG10:BG14"/>
    <mergeCell ref="BH10:BH14"/>
    <mergeCell ref="BI10:BI14"/>
    <mergeCell ref="AX10:AX14"/>
    <mergeCell ref="AY10:AY14"/>
    <mergeCell ref="AZ10:AZ14"/>
    <mergeCell ref="BA10:BA14"/>
    <mergeCell ref="BB10:BB14"/>
    <mergeCell ref="BC10:BC14"/>
    <mergeCell ref="AW10:AW14"/>
    <mergeCell ref="AS10:AS14"/>
    <mergeCell ref="AT10:AT14"/>
    <mergeCell ref="AU10:AU14"/>
    <mergeCell ref="AV10:AV14"/>
    <mergeCell ref="AM10:AM14"/>
    <mergeCell ref="AN10:AN14"/>
    <mergeCell ref="AU15:AU16"/>
    <mergeCell ref="AV15:AV16"/>
    <mergeCell ref="AO15:AO16"/>
    <mergeCell ref="AP15:AP16"/>
    <mergeCell ref="AQ15:AQ16"/>
    <mergeCell ref="AR15:AR16"/>
    <mergeCell ref="AS15:AS16"/>
    <mergeCell ref="AT15:AT16"/>
    <mergeCell ref="AI15:AI16"/>
    <mergeCell ref="AJ15:AJ16"/>
    <mergeCell ref="AK15:AK16"/>
    <mergeCell ref="AL15:AL16"/>
    <mergeCell ref="AM15:AM16"/>
    <mergeCell ref="AN15:AN16"/>
    <mergeCell ref="AC15:AC16"/>
    <mergeCell ref="AD15:AD16"/>
    <mergeCell ref="AE15:AE16"/>
    <mergeCell ref="AF15:AF16"/>
    <mergeCell ref="AG15:AG16"/>
    <mergeCell ref="AH15:AH16"/>
    <mergeCell ref="BM15:BM16"/>
    <mergeCell ref="BN15:BN16"/>
    <mergeCell ref="BO15:BO16"/>
    <mergeCell ref="BP15:BP16"/>
    <mergeCell ref="BF15:BF16"/>
    <mergeCell ref="BG15:BG16"/>
    <mergeCell ref="BH15:BH16"/>
    <mergeCell ref="BI15:BI16"/>
    <mergeCell ref="BJ15:BJ16"/>
    <mergeCell ref="BK15:BK16"/>
    <mergeCell ref="AZ15:AZ16"/>
    <mergeCell ref="BA15:BA16"/>
    <mergeCell ref="BB15:BB16"/>
    <mergeCell ref="BC15:BC16"/>
    <mergeCell ref="BD15:BD16"/>
    <mergeCell ref="BE15:BE16"/>
    <mergeCell ref="AW15:AW16"/>
    <mergeCell ref="AX15:AX16"/>
    <mergeCell ref="AY15:AY16"/>
    <mergeCell ref="AI17:AI18"/>
    <mergeCell ref="AJ17:AJ18"/>
    <mergeCell ref="AK17:AK18"/>
    <mergeCell ref="AL17:AL18"/>
    <mergeCell ref="AM17:AM18"/>
    <mergeCell ref="AN17:AN18"/>
    <mergeCell ref="AC17:AC18"/>
    <mergeCell ref="AD17:AD18"/>
    <mergeCell ref="AE17:AE18"/>
    <mergeCell ref="AF17:AF18"/>
    <mergeCell ref="AG17:AG18"/>
    <mergeCell ref="AH17:AH18"/>
    <mergeCell ref="DD15:DD22"/>
    <mergeCell ref="CT15:CT22"/>
    <mergeCell ref="CU15:CU22"/>
    <mergeCell ref="CV15:CV22"/>
    <mergeCell ref="CW15:CW22"/>
    <mergeCell ref="CR15:CR22"/>
    <mergeCell ref="CS15:CS22"/>
    <mergeCell ref="CK15:CK22"/>
    <mergeCell ref="CI15:CI22"/>
    <mergeCell ref="CJ15:CJ22"/>
    <mergeCell ref="CG15:CG22"/>
    <mergeCell ref="CH15:CH22"/>
    <mergeCell ref="BW15:BW22"/>
    <mergeCell ref="BX15:BX22"/>
    <mergeCell ref="BY15:BY22"/>
    <mergeCell ref="BZ15:BZ22"/>
    <mergeCell ref="BT15:BT22"/>
    <mergeCell ref="BU15:BU22"/>
    <mergeCell ref="BV15:BV22"/>
    <mergeCell ref="BL15:BL16"/>
    <mergeCell ref="AZ17:AZ18"/>
    <mergeCell ref="BA17:BA18"/>
    <mergeCell ref="BB17:BB18"/>
    <mergeCell ref="BC17:BC18"/>
    <mergeCell ref="BD17:BD18"/>
    <mergeCell ref="BE17:BE18"/>
    <mergeCell ref="AW17:AW18"/>
    <mergeCell ref="AX17:AX18"/>
    <mergeCell ref="AY17:AY18"/>
    <mergeCell ref="AU17:AU18"/>
    <mergeCell ref="AV17:AV18"/>
    <mergeCell ref="AO17:AO18"/>
    <mergeCell ref="AP17:AP18"/>
    <mergeCell ref="AQ17:AQ18"/>
    <mergeCell ref="AR17:AR18"/>
    <mergeCell ref="AS17:AS18"/>
    <mergeCell ref="AT17:AT18"/>
    <mergeCell ref="AU19:AU20"/>
    <mergeCell ref="AV19:AV20"/>
    <mergeCell ref="AO19:AO20"/>
    <mergeCell ref="AP19:AP20"/>
    <mergeCell ref="AQ19:AQ20"/>
    <mergeCell ref="AR19:AR20"/>
    <mergeCell ref="AS19:AS20"/>
    <mergeCell ref="AT19:AT20"/>
    <mergeCell ref="AI19:AI20"/>
    <mergeCell ref="AJ19:AJ20"/>
    <mergeCell ref="AK19:AK20"/>
    <mergeCell ref="AL19:AL20"/>
    <mergeCell ref="AM19:AM20"/>
    <mergeCell ref="AN19:AN20"/>
    <mergeCell ref="AC19:AC20"/>
    <mergeCell ref="AD19:AD20"/>
    <mergeCell ref="AE19:AE20"/>
    <mergeCell ref="AF19:AF20"/>
    <mergeCell ref="AG19:AG20"/>
    <mergeCell ref="AH19:AH20"/>
    <mergeCell ref="AE23:AE24"/>
    <mergeCell ref="AF23:AF24"/>
    <mergeCell ref="AG23:AG24"/>
    <mergeCell ref="AH23:AH24"/>
    <mergeCell ref="AI23:AI24"/>
    <mergeCell ref="AJ23:AJ24"/>
    <mergeCell ref="C23:C30"/>
    <mergeCell ref="D23:D30"/>
    <mergeCell ref="E23:E24"/>
    <mergeCell ref="F23:F24"/>
    <mergeCell ref="AC23:AC24"/>
    <mergeCell ref="AD23:AD24"/>
    <mergeCell ref="E25:E26"/>
    <mergeCell ref="F25:F26"/>
    <mergeCell ref="AC25:AC26"/>
    <mergeCell ref="AD25:AD26"/>
    <mergeCell ref="BL19:BL20"/>
    <mergeCell ref="BF19:BF20"/>
    <mergeCell ref="BG19:BG20"/>
    <mergeCell ref="BH19:BH20"/>
    <mergeCell ref="BI19:BI20"/>
    <mergeCell ref="BJ19:BJ20"/>
    <mergeCell ref="BK19:BK20"/>
    <mergeCell ref="AZ19:AZ20"/>
    <mergeCell ref="BA19:BA20"/>
    <mergeCell ref="BB19:BB20"/>
    <mergeCell ref="BC19:BC20"/>
    <mergeCell ref="BD19:BD20"/>
    <mergeCell ref="BE19:BE20"/>
    <mergeCell ref="AW19:AW20"/>
    <mergeCell ref="AX19:AX20"/>
    <mergeCell ref="AY19:AY20"/>
    <mergeCell ref="AW23:AW24"/>
    <mergeCell ref="AX23:AX24"/>
    <mergeCell ref="AY23:AY24"/>
    <mergeCell ref="AZ23:AZ24"/>
    <mergeCell ref="BA23:BA24"/>
    <mergeCell ref="AQ23:AQ24"/>
    <mergeCell ref="AR23:AR24"/>
    <mergeCell ref="AS23:AS24"/>
    <mergeCell ref="AT23:AT24"/>
    <mergeCell ref="AU23:AU24"/>
    <mergeCell ref="AV23:AV24"/>
    <mergeCell ref="AK23:AK24"/>
    <mergeCell ref="AL23:AL24"/>
    <mergeCell ref="AM23:AM24"/>
    <mergeCell ref="AN23:AN24"/>
    <mergeCell ref="AO23:AO24"/>
    <mergeCell ref="AP23:AP24"/>
    <mergeCell ref="BQ23:BQ30"/>
    <mergeCell ref="BR23:BR30"/>
    <mergeCell ref="BN23:BN24"/>
    <mergeCell ref="BO23:BO24"/>
    <mergeCell ref="BP23:BP24"/>
    <mergeCell ref="BH23:BH24"/>
    <mergeCell ref="BI23:BI24"/>
    <mergeCell ref="BJ23:BJ24"/>
    <mergeCell ref="BK23:BK24"/>
    <mergeCell ref="BL23:BL24"/>
    <mergeCell ref="BM23:BM24"/>
    <mergeCell ref="BB23:BB24"/>
    <mergeCell ref="BC23:BC24"/>
    <mergeCell ref="BD23:BD24"/>
    <mergeCell ref="BE23:BE24"/>
    <mergeCell ref="BF23:BF24"/>
    <mergeCell ref="BG23:BG24"/>
    <mergeCell ref="BP27:BP28"/>
    <mergeCell ref="BJ27:BJ28"/>
    <mergeCell ref="BK27:BK28"/>
    <mergeCell ref="BL27:BL28"/>
    <mergeCell ref="BM27:BM28"/>
    <mergeCell ref="BN27:BN28"/>
    <mergeCell ref="BO27:BO28"/>
    <mergeCell ref="BD27:BD28"/>
    <mergeCell ref="BE27:BE28"/>
    <mergeCell ref="BF27:BF28"/>
    <mergeCell ref="BG27:BG28"/>
    <mergeCell ref="BH27:BH28"/>
    <mergeCell ref="BI27:BI28"/>
    <mergeCell ref="BL29:BL30"/>
    <mergeCell ref="BM29:BM30"/>
    <mergeCell ref="CE23:CE30"/>
    <mergeCell ref="CF23:CF30"/>
    <mergeCell ref="CG23:CG30"/>
    <mergeCell ref="CH23:CH30"/>
    <mergeCell ref="CI23:CI30"/>
    <mergeCell ref="CJ23:CJ30"/>
    <mergeCell ref="BY23:BY30"/>
    <mergeCell ref="BZ23:BZ30"/>
    <mergeCell ref="CA23:CA30"/>
    <mergeCell ref="CB23:CB30"/>
    <mergeCell ref="CC23:CC30"/>
    <mergeCell ref="CD23:CD30"/>
    <mergeCell ref="BS23:BS30"/>
    <mergeCell ref="BT23:BT30"/>
    <mergeCell ref="BU23:BU30"/>
    <mergeCell ref="BV23:BV30"/>
    <mergeCell ref="BW23:BW30"/>
    <mergeCell ref="BX23:BX30"/>
    <mergeCell ref="DB23:DB30"/>
    <mergeCell ref="DC23:DC30"/>
    <mergeCell ref="DD23:DD30"/>
    <mergeCell ref="CV23:CV30"/>
    <mergeCell ref="CW23:CW30"/>
    <mergeCell ref="CX23:CX30"/>
    <mergeCell ref="CY23:CY30"/>
    <mergeCell ref="CZ23:CZ30"/>
    <mergeCell ref="DA23:DA30"/>
    <mergeCell ref="CP23:CP30"/>
    <mergeCell ref="CQ23:CQ30"/>
    <mergeCell ref="CR23:CR30"/>
    <mergeCell ref="CS23:CS30"/>
    <mergeCell ref="CT23:CT30"/>
    <mergeCell ref="CU23:CU30"/>
    <mergeCell ref="CK23:CK30"/>
    <mergeCell ref="CL23:CL30"/>
    <mergeCell ref="CM23:CM30"/>
    <mergeCell ref="CN23:CN30"/>
    <mergeCell ref="CO23:CO30"/>
    <mergeCell ref="AQ25:AQ26"/>
    <mergeCell ref="AR25:AR26"/>
    <mergeCell ref="AS25:AS26"/>
    <mergeCell ref="AT25:AT26"/>
    <mergeCell ref="AU25:AU26"/>
    <mergeCell ref="AV25:AV26"/>
    <mergeCell ref="AK25:AK26"/>
    <mergeCell ref="AL25:AL26"/>
    <mergeCell ref="AM25:AM26"/>
    <mergeCell ref="AN25:AN26"/>
    <mergeCell ref="AO25:AO26"/>
    <mergeCell ref="AP25:AP26"/>
    <mergeCell ref="AE25:AE26"/>
    <mergeCell ref="AF25:AF26"/>
    <mergeCell ref="AG25:AG26"/>
    <mergeCell ref="AH25:AH26"/>
    <mergeCell ref="AI25:AI26"/>
    <mergeCell ref="AJ25:AJ26"/>
    <mergeCell ref="AG27:AG28"/>
    <mergeCell ref="AH27:AH28"/>
    <mergeCell ref="AI27:AI28"/>
    <mergeCell ref="AJ27:AJ28"/>
    <mergeCell ref="AK27:AK28"/>
    <mergeCell ref="AL27:AL28"/>
    <mergeCell ref="E27:E28"/>
    <mergeCell ref="F27:F28"/>
    <mergeCell ref="AC27:AC28"/>
    <mergeCell ref="AD27:AD28"/>
    <mergeCell ref="AE27:AE28"/>
    <mergeCell ref="AF27:AF28"/>
    <mergeCell ref="BN25:BN26"/>
    <mergeCell ref="BO25:BO26"/>
    <mergeCell ref="BP25:BP26"/>
    <mergeCell ref="BH25:BH26"/>
    <mergeCell ref="BI25:BI26"/>
    <mergeCell ref="BJ25:BJ26"/>
    <mergeCell ref="BK25:BK26"/>
    <mergeCell ref="BL25:BL26"/>
    <mergeCell ref="BM25:BM26"/>
    <mergeCell ref="BB25:BB26"/>
    <mergeCell ref="BC25:BC26"/>
    <mergeCell ref="BD25:BD26"/>
    <mergeCell ref="BE25:BE26"/>
    <mergeCell ref="BF25:BF26"/>
    <mergeCell ref="BG25:BG26"/>
    <mergeCell ref="AW25:AW26"/>
    <mergeCell ref="AX25:AX26"/>
    <mergeCell ref="AY25:AY26"/>
    <mergeCell ref="AZ25:AZ26"/>
    <mergeCell ref="BA25:BA26"/>
    <mergeCell ref="AX27:AX28"/>
    <mergeCell ref="AY27:AY28"/>
    <mergeCell ref="AZ27:AZ28"/>
    <mergeCell ref="BA27:BA28"/>
    <mergeCell ref="BB27:BB28"/>
    <mergeCell ref="BC27:BC28"/>
    <mergeCell ref="AV29:AV30"/>
    <mergeCell ref="AO29:AO30"/>
    <mergeCell ref="AP29:AP30"/>
    <mergeCell ref="AQ29:AQ30"/>
    <mergeCell ref="AR29:AR30"/>
    <mergeCell ref="AS29:AS30"/>
    <mergeCell ref="AT29:AT30"/>
    <mergeCell ref="AI29:AI30"/>
    <mergeCell ref="AJ29:AJ30"/>
    <mergeCell ref="AK29:AK30"/>
    <mergeCell ref="AL29:AL30"/>
    <mergeCell ref="AM29:AM30"/>
    <mergeCell ref="AN29:AN30"/>
    <mergeCell ref="AU29:AU30"/>
    <mergeCell ref="AW27:AW28"/>
    <mergeCell ref="AS27:AS28"/>
    <mergeCell ref="AT27:AT28"/>
    <mergeCell ref="AU27:AU28"/>
    <mergeCell ref="AV27:AV28"/>
    <mergeCell ref="AM27:AM28"/>
    <mergeCell ref="AN27:AN28"/>
    <mergeCell ref="AO27:AO28"/>
    <mergeCell ref="AP27:AP28"/>
    <mergeCell ref="AQ27:AQ28"/>
    <mergeCell ref="AR27:AR28"/>
    <mergeCell ref="AW29:AW30"/>
    <mergeCell ref="AX29:AX30"/>
    <mergeCell ref="AY29:AY30"/>
    <mergeCell ref="E29:E30"/>
    <mergeCell ref="F29:F30"/>
    <mergeCell ref="AC29:AC30"/>
    <mergeCell ref="AD29:AD30"/>
    <mergeCell ref="AE29:AE30"/>
    <mergeCell ref="AF29:AF30"/>
    <mergeCell ref="AG29:AG30"/>
    <mergeCell ref="AH29:AH30"/>
    <mergeCell ref="AH39:AH40"/>
    <mergeCell ref="AI39:AI40"/>
    <mergeCell ref="AJ39:AJ40"/>
    <mergeCell ref="AK39:AK40"/>
    <mergeCell ref="AL39:AL40"/>
    <mergeCell ref="E39:E40"/>
    <mergeCell ref="F39:F40"/>
    <mergeCell ref="AC39:AC40"/>
    <mergeCell ref="AD39:AD40"/>
    <mergeCell ref="AE39:AE40"/>
    <mergeCell ref="AF39:AF40"/>
    <mergeCell ref="AE31:AE32"/>
    <mergeCell ref="AF31:AF32"/>
    <mergeCell ref="E37:E38"/>
    <mergeCell ref="F37:F38"/>
    <mergeCell ref="AC37:AC38"/>
    <mergeCell ref="AD37:AD38"/>
    <mergeCell ref="AE37:AE38"/>
    <mergeCell ref="AF37:AF38"/>
    <mergeCell ref="AG39:AG40"/>
    <mergeCell ref="AI33:AI34"/>
    <mergeCell ref="AV31:AV32"/>
    <mergeCell ref="BO39:BO40"/>
    <mergeCell ref="BP39:BP40"/>
    <mergeCell ref="BE39:BE40"/>
    <mergeCell ref="BF39:BF40"/>
    <mergeCell ref="BG39:BG40"/>
    <mergeCell ref="BH39:BH40"/>
    <mergeCell ref="BI39:BI40"/>
    <mergeCell ref="BJ39:BJ40"/>
    <mergeCell ref="AY39:AY40"/>
    <mergeCell ref="AZ39:AZ40"/>
    <mergeCell ref="BA39:BA40"/>
    <mergeCell ref="BB39:BB40"/>
    <mergeCell ref="BC39:BC40"/>
    <mergeCell ref="BD39:BD40"/>
    <mergeCell ref="BN29:BN30"/>
    <mergeCell ref="BO29:BO30"/>
    <mergeCell ref="BP29:BP30"/>
    <mergeCell ref="BF29:BF30"/>
    <mergeCell ref="BG29:BG30"/>
    <mergeCell ref="BH29:BH30"/>
    <mergeCell ref="BI29:BI30"/>
    <mergeCell ref="BJ29:BJ30"/>
    <mergeCell ref="BK29:BK30"/>
    <mergeCell ref="AZ29:AZ30"/>
    <mergeCell ref="BA29:BA30"/>
    <mergeCell ref="BB29:BB30"/>
    <mergeCell ref="BC29:BC30"/>
    <mergeCell ref="BD29:BD30"/>
    <mergeCell ref="BE29:BE30"/>
    <mergeCell ref="AG31:AG32"/>
    <mergeCell ref="AH31:AH32"/>
    <mergeCell ref="AI31:AI32"/>
    <mergeCell ref="AJ31:AJ32"/>
    <mergeCell ref="AK31:AK32"/>
    <mergeCell ref="AL31:AL32"/>
    <mergeCell ref="BK39:BK40"/>
    <mergeCell ref="BL39:BL40"/>
    <mergeCell ref="BM39:BM40"/>
    <mergeCell ref="BN39:BN40"/>
    <mergeCell ref="AJ33:AJ34"/>
    <mergeCell ref="AK33:AK34"/>
    <mergeCell ref="AL33:AL34"/>
    <mergeCell ref="AW39:AW40"/>
    <mergeCell ref="BI31:BI32"/>
    <mergeCell ref="AX31:AX32"/>
    <mergeCell ref="AY31:AY32"/>
    <mergeCell ref="AZ31:AZ32"/>
    <mergeCell ref="BA31:BA32"/>
    <mergeCell ref="BB31:BB32"/>
    <mergeCell ref="BC31:BC32"/>
    <mergeCell ref="AS39:AS40"/>
    <mergeCell ref="AT39:AT40"/>
    <mergeCell ref="AU39:AU40"/>
    <mergeCell ref="AV39:AV40"/>
    <mergeCell ref="AM39:AM40"/>
    <mergeCell ref="AN39:AN40"/>
    <mergeCell ref="AO39:AO40"/>
    <mergeCell ref="AP39:AP40"/>
    <mergeCell ref="AQ39:AQ40"/>
    <mergeCell ref="AR39:AR40"/>
    <mergeCell ref="AS33:AS34"/>
    <mergeCell ref="AM33:AM34"/>
    <mergeCell ref="AN33:AN34"/>
    <mergeCell ref="AS35:AS36"/>
    <mergeCell ref="AT35:AT36"/>
    <mergeCell ref="AU35:AU36"/>
    <mergeCell ref="AV35:AV36"/>
    <mergeCell ref="AM35:AM36"/>
    <mergeCell ref="AN35:AN36"/>
    <mergeCell ref="AW31:AW32"/>
    <mergeCell ref="AS31:AS32"/>
    <mergeCell ref="AT31:AT32"/>
    <mergeCell ref="AU31:AU32"/>
    <mergeCell ref="AO35:AO36"/>
    <mergeCell ref="AP35:AP36"/>
    <mergeCell ref="AQ35:AQ36"/>
    <mergeCell ref="AR35:AR36"/>
    <mergeCell ref="AM31:AM32"/>
    <mergeCell ref="AN31:AN32"/>
    <mergeCell ref="AO31:AO32"/>
    <mergeCell ref="AP31:AP32"/>
    <mergeCell ref="AQ31:AQ32"/>
    <mergeCell ref="AR31:AR32"/>
    <mergeCell ref="BU31:BU42"/>
    <mergeCell ref="BV31:BV42"/>
    <mergeCell ref="BW31:BW42"/>
    <mergeCell ref="BX31:BX42"/>
    <mergeCell ref="AU33:AU34"/>
    <mergeCell ref="AV33:AV34"/>
    <mergeCell ref="BP33:BP34"/>
    <mergeCell ref="AW35:AW36"/>
    <mergeCell ref="AW41:AW42"/>
    <mergeCell ref="BQ31:BQ42"/>
    <mergeCell ref="BR31:BR42"/>
    <mergeCell ref="BS31:BS42"/>
    <mergeCell ref="BT31:BT42"/>
    <mergeCell ref="BP41:BP42"/>
    <mergeCell ref="BJ41:BJ42"/>
    <mergeCell ref="BK41:BK42"/>
    <mergeCell ref="BL41:BL42"/>
    <mergeCell ref="BM41:BM42"/>
    <mergeCell ref="BN41:BN42"/>
    <mergeCell ref="BO41:BO42"/>
    <mergeCell ref="BP31:BP32"/>
    <mergeCell ref="BJ31:BJ32"/>
    <mergeCell ref="BK31:BK32"/>
    <mergeCell ref="BL31:BL32"/>
    <mergeCell ref="BM31:BM32"/>
    <mergeCell ref="BN31:BN32"/>
    <mergeCell ref="BO31:BO32"/>
    <mergeCell ref="BD31:BD32"/>
    <mergeCell ref="BE31:BE32"/>
    <mergeCell ref="BF31:BF32"/>
    <mergeCell ref="BG31:BG32"/>
    <mergeCell ref="BH31:BH32"/>
    <mergeCell ref="E33:E34"/>
    <mergeCell ref="F33:F34"/>
    <mergeCell ref="AC33:AC34"/>
    <mergeCell ref="AD33:AD34"/>
    <mergeCell ref="AE33:AE34"/>
    <mergeCell ref="AF33:AF34"/>
    <mergeCell ref="AG33:AG34"/>
    <mergeCell ref="AH33:AH34"/>
    <mergeCell ref="BO33:BO34"/>
    <mergeCell ref="BF33:BF34"/>
    <mergeCell ref="BG33:BG34"/>
    <mergeCell ref="BH33:BH34"/>
    <mergeCell ref="BI33:BI34"/>
    <mergeCell ref="BJ33:BJ34"/>
    <mergeCell ref="BK33:BK34"/>
    <mergeCell ref="AZ33:AZ34"/>
    <mergeCell ref="BA33:BA34"/>
    <mergeCell ref="BB33:BB34"/>
    <mergeCell ref="BC33:BC34"/>
    <mergeCell ref="BD33:BD34"/>
    <mergeCell ref="BE33:BE34"/>
    <mergeCell ref="AW33:AW34"/>
    <mergeCell ref="AX33:AX34"/>
    <mergeCell ref="AY33:AY34"/>
    <mergeCell ref="BL33:BL34"/>
    <mergeCell ref="BM33:BM34"/>
    <mergeCell ref="BN33:BN34"/>
    <mergeCell ref="AO33:AO34"/>
    <mergeCell ref="AP33:AP34"/>
    <mergeCell ref="AQ33:AQ34"/>
    <mergeCell ref="AR33:AR34"/>
    <mergeCell ref="AT33:AT34"/>
    <mergeCell ref="AG35:AG36"/>
    <mergeCell ref="AH35:AH36"/>
    <mergeCell ref="AI35:AI36"/>
    <mergeCell ref="AJ35:AJ36"/>
    <mergeCell ref="AK35:AK36"/>
    <mergeCell ref="AL35:AL36"/>
    <mergeCell ref="AS37:AS38"/>
    <mergeCell ref="AT37:AT38"/>
    <mergeCell ref="AU37:AU38"/>
    <mergeCell ref="AV37:AV38"/>
    <mergeCell ref="AM37:AM38"/>
    <mergeCell ref="AN37:AN38"/>
    <mergeCell ref="AO37:AO38"/>
    <mergeCell ref="AP37:AP38"/>
    <mergeCell ref="AQ37:AQ38"/>
    <mergeCell ref="AR37:AR38"/>
    <mergeCell ref="AG37:AG38"/>
    <mergeCell ref="AH37:AH38"/>
    <mergeCell ref="AI37:AI38"/>
    <mergeCell ref="AJ37:AJ38"/>
    <mergeCell ref="AK37:AK38"/>
    <mergeCell ref="AL37:AL38"/>
    <mergeCell ref="AE43:AE47"/>
    <mergeCell ref="AF43:AF47"/>
    <mergeCell ref="AG43:AG47"/>
    <mergeCell ref="AH43:AH47"/>
    <mergeCell ref="AI43:AI47"/>
    <mergeCell ref="AJ43:AJ47"/>
    <mergeCell ref="A43:A52"/>
    <mergeCell ref="B43:D52"/>
    <mergeCell ref="E43:E47"/>
    <mergeCell ref="F43:F47"/>
    <mergeCell ref="AC43:AC47"/>
    <mergeCell ref="AD43:AD47"/>
    <mergeCell ref="BP37:BP38"/>
    <mergeCell ref="BJ37:BJ38"/>
    <mergeCell ref="BK37:BK38"/>
    <mergeCell ref="BL37:BL38"/>
    <mergeCell ref="BM37:BM38"/>
    <mergeCell ref="BN37:BN38"/>
    <mergeCell ref="BO37:BO38"/>
    <mergeCell ref="BD37:BD38"/>
    <mergeCell ref="BE37:BE38"/>
    <mergeCell ref="BF37:BF38"/>
    <mergeCell ref="BG37:BG38"/>
    <mergeCell ref="BH37:BH38"/>
    <mergeCell ref="BI37:BI38"/>
    <mergeCell ref="AX37:AX38"/>
    <mergeCell ref="AY37:AY38"/>
    <mergeCell ref="AZ37:AZ38"/>
    <mergeCell ref="BA37:BA38"/>
    <mergeCell ref="BB37:BB38"/>
    <mergeCell ref="BC37:BC38"/>
    <mergeCell ref="AW37:AW38"/>
    <mergeCell ref="AW43:AW47"/>
    <mergeCell ref="AX43:AX47"/>
    <mergeCell ref="AY43:AY47"/>
    <mergeCell ref="AZ43:AZ47"/>
    <mergeCell ref="BA43:BA47"/>
    <mergeCell ref="AQ43:AQ47"/>
    <mergeCell ref="AR43:AR47"/>
    <mergeCell ref="AS43:AS47"/>
    <mergeCell ref="AT43:AT47"/>
    <mergeCell ref="AU43:AU47"/>
    <mergeCell ref="AV43:AV47"/>
    <mergeCell ref="AK43:AK47"/>
    <mergeCell ref="AL43:AL47"/>
    <mergeCell ref="AM43:AM47"/>
    <mergeCell ref="AN43:AN47"/>
    <mergeCell ref="AO43:AO47"/>
    <mergeCell ref="AP43:AP47"/>
    <mergeCell ref="BQ43:BQ52"/>
    <mergeCell ref="BR43:BR52"/>
    <mergeCell ref="BN43:BN47"/>
    <mergeCell ref="BO43:BO47"/>
    <mergeCell ref="BP43:BP47"/>
    <mergeCell ref="BH43:BH47"/>
    <mergeCell ref="BI43:BI47"/>
    <mergeCell ref="BJ43:BJ47"/>
    <mergeCell ref="BK43:BK47"/>
    <mergeCell ref="BL43:BL47"/>
    <mergeCell ref="BM43:BM47"/>
    <mergeCell ref="BB43:BB47"/>
    <mergeCell ref="BC43:BC47"/>
    <mergeCell ref="BD43:BD47"/>
    <mergeCell ref="BE43:BE47"/>
    <mergeCell ref="BF43:BF47"/>
    <mergeCell ref="BG43:BG47"/>
    <mergeCell ref="CE43:CE52"/>
    <mergeCell ref="CF43:CF52"/>
    <mergeCell ref="CG43:CG52"/>
    <mergeCell ref="CH43:CH52"/>
    <mergeCell ref="CI43:CI52"/>
    <mergeCell ref="CJ43:CJ52"/>
    <mergeCell ref="BY43:BY52"/>
    <mergeCell ref="BZ43:BZ52"/>
    <mergeCell ref="CA43:CA52"/>
    <mergeCell ref="CB43:CB52"/>
    <mergeCell ref="CC43:CC52"/>
    <mergeCell ref="CD43:CD52"/>
    <mergeCell ref="BS43:BS52"/>
    <mergeCell ref="BT43:BT52"/>
    <mergeCell ref="BU43:BU52"/>
    <mergeCell ref="BV43:BV52"/>
    <mergeCell ref="BW43:BW52"/>
    <mergeCell ref="BX43:BX52"/>
    <mergeCell ref="CP43:CP52"/>
    <mergeCell ref="CQ43:CQ52"/>
    <mergeCell ref="CR43:CR52"/>
    <mergeCell ref="CS43:CS52"/>
    <mergeCell ref="CT43:CT52"/>
    <mergeCell ref="CU43:CU52"/>
    <mergeCell ref="CK43:CK52"/>
    <mergeCell ref="CL43:CL52"/>
    <mergeCell ref="CM43:CM52"/>
    <mergeCell ref="CN43:CN52"/>
    <mergeCell ref="CO43:CO52"/>
    <mergeCell ref="AU48:AU52"/>
    <mergeCell ref="AV48:AV52"/>
    <mergeCell ref="AM48:AM52"/>
    <mergeCell ref="AN48:AN52"/>
    <mergeCell ref="AO48:AO52"/>
    <mergeCell ref="AP48:AP52"/>
    <mergeCell ref="AQ48:AQ52"/>
    <mergeCell ref="AR48:AR52"/>
    <mergeCell ref="BP48:BP52"/>
    <mergeCell ref="BJ48:BJ52"/>
    <mergeCell ref="BK48:BK52"/>
    <mergeCell ref="BL48:BL52"/>
    <mergeCell ref="BM48:BM52"/>
    <mergeCell ref="BN48:BN52"/>
    <mergeCell ref="BO48:BO52"/>
    <mergeCell ref="BD48:BD52"/>
    <mergeCell ref="BE48:BE52"/>
    <mergeCell ref="BF48:BF52"/>
    <mergeCell ref="BG48:BG52"/>
    <mergeCell ref="BH48:BH52"/>
    <mergeCell ref="BI48:BI52"/>
    <mergeCell ref="AG48:AG52"/>
    <mergeCell ref="AH48:AH52"/>
    <mergeCell ref="AI48:AI52"/>
    <mergeCell ref="AJ48:AJ52"/>
    <mergeCell ref="AK48:AK52"/>
    <mergeCell ref="AL48:AL52"/>
    <mergeCell ref="E48:E52"/>
    <mergeCell ref="F48:F52"/>
    <mergeCell ref="AC48:AC52"/>
    <mergeCell ref="AD48:AD52"/>
    <mergeCell ref="AE48:AE52"/>
    <mergeCell ref="AF48:AF52"/>
    <mergeCell ref="A53:A71"/>
    <mergeCell ref="B53:B71"/>
    <mergeCell ref="C53:C54"/>
    <mergeCell ref="D53:D54"/>
    <mergeCell ref="E53:E54"/>
    <mergeCell ref="F53:F54"/>
    <mergeCell ref="C55:C61"/>
    <mergeCell ref="D55:D61"/>
    <mergeCell ref="E55:E61"/>
    <mergeCell ref="F55:F61"/>
    <mergeCell ref="AC53:AC54"/>
    <mergeCell ref="AD53:AD54"/>
    <mergeCell ref="AE53:AE54"/>
    <mergeCell ref="AF53:AF54"/>
    <mergeCell ref="AG53:AG54"/>
    <mergeCell ref="AH53:AH54"/>
    <mergeCell ref="AC55:AC61"/>
    <mergeCell ref="AD55:AD61"/>
    <mergeCell ref="AE55:AE61"/>
    <mergeCell ref="AF55:AF61"/>
    <mergeCell ref="AX48:AX52"/>
    <mergeCell ref="AY48:AY52"/>
    <mergeCell ref="AZ48:AZ52"/>
    <mergeCell ref="BA48:BA52"/>
    <mergeCell ref="BB48:BB52"/>
    <mergeCell ref="BC48:BC52"/>
    <mergeCell ref="AW48:AW52"/>
    <mergeCell ref="AS48:AS52"/>
    <mergeCell ref="AT48:AT52"/>
    <mergeCell ref="AO53:AO54"/>
    <mergeCell ref="AP53:AP54"/>
    <mergeCell ref="AQ53:AQ54"/>
    <mergeCell ref="AR53:AR54"/>
    <mergeCell ref="AS53:AS54"/>
    <mergeCell ref="AT53:AT54"/>
    <mergeCell ref="AI53:AI54"/>
    <mergeCell ref="AJ53:AJ54"/>
    <mergeCell ref="AK53:AK54"/>
    <mergeCell ref="AL53:AL54"/>
    <mergeCell ref="AM53:AM54"/>
    <mergeCell ref="AN53:AN54"/>
    <mergeCell ref="BF53:BF54"/>
    <mergeCell ref="BG53:BG54"/>
    <mergeCell ref="BH53:BH54"/>
    <mergeCell ref="BI53:BI54"/>
    <mergeCell ref="BJ53:BJ54"/>
    <mergeCell ref="BK53:BK54"/>
    <mergeCell ref="AZ53:AZ54"/>
    <mergeCell ref="BA53:BA54"/>
    <mergeCell ref="BB53:BB54"/>
    <mergeCell ref="BC53:BC54"/>
    <mergeCell ref="BD53:BD54"/>
    <mergeCell ref="BE53:BE54"/>
    <mergeCell ref="AW53:AW54"/>
    <mergeCell ref="AX53:AX54"/>
    <mergeCell ref="AY53:AY54"/>
    <mergeCell ref="AU53:AU54"/>
    <mergeCell ref="AV53:AV54"/>
    <mergeCell ref="CG53:CG54"/>
    <mergeCell ref="CH53:CH54"/>
    <mergeCell ref="BW53:BW54"/>
    <mergeCell ref="BX53:BX54"/>
    <mergeCell ref="BY53:BY54"/>
    <mergeCell ref="BZ53:BZ54"/>
    <mergeCell ref="CA53:CA54"/>
    <mergeCell ref="CB53:CB54"/>
    <mergeCell ref="BQ53:BQ54"/>
    <mergeCell ref="BR53:BR54"/>
    <mergeCell ref="BS53:BS54"/>
    <mergeCell ref="BT53:BT54"/>
    <mergeCell ref="BU53:BU54"/>
    <mergeCell ref="BV53:BV54"/>
    <mergeCell ref="BL53:BL54"/>
    <mergeCell ref="BM53:BM54"/>
    <mergeCell ref="BN53:BN54"/>
    <mergeCell ref="BO53:BO54"/>
    <mergeCell ref="BP53:BP54"/>
    <mergeCell ref="AG55:AG61"/>
    <mergeCell ref="AH55:AH61"/>
    <mergeCell ref="CZ53:CZ71"/>
    <mergeCell ref="DA53:DA71"/>
    <mergeCell ref="DB53:DB71"/>
    <mergeCell ref="DC53:DC71"/>
    <mergeCell ref="DD53:DD71"/>
    <mergeCell ref="CT53:CT71"/>
    <mergeCell ref="CU53:CU71"/>
    <mergeCell ref="CV53:CV71"/>
    <mergeCell ref="CW53:CW71"/>
    <mergeCell ref="CX53:CX71"/>
    <mergeCell ref="CY53:CY71"/>
    <mergeCell ref="CN53:CN71"/>
    <mergeCell ref="CO53:CO71"/>
    <mergeCell ref="CP53:CP71"/>
    <mergeCell ref="CQ53:CQ71"/>
    <mergeCell ref="CR53:CR71"/>
    <mergeCell ref="CS53:CS71"/>
    <mergeCell ref="CK53:CK71"/>
    <mergeCell ref="CL53:CL71"/>
    <mergeCell ref="CM53:CM71"/>
    <mergeCell ref="CI53:CI54"/>
    <mergeCell ref="CJ53:CJ54"/>
    <mergeCell ref="CC53:CC54"/>
    <mergeCell ref="CD53:CD54"/>
    <mergeCell ref="CE53:CE54"/>
    <mergeCell ref="CF53:CF54"/>
    <mergeCell ref="AW55:AW61"/>
    <mergeCell ref="AX55:AX61"/>
    <mergeCell ref="AY55:AY61"/>
    <mergeCell ref="AU55:AU61"/>
    <mergeCell ref="AV55:AV61"/>
    <mergeCell ref="AO55:AO61"/>
    <mergeCell ref="AP55:AP61"/>
    <mergeCell ref="AQ55:AQ61"/>
    <mergeCell ref="AR55:AR61"/>
    <mergeCell ref="AS55:AS61"/>
    <mergeCell ref="AT55:AT61"/>
    <mergeCell ref="AI55:AI61"/>
    <mergeCell ref="AJ55:AJ61"/>
    <mergeCell ref="AK55:AK61"/>
    <mergeCell ref="AL55:AL61"/>
    <mergeCell ref="AM55:AM61"/>
    <mergeCell ref="AN55:AN61"/>
    <mergeCell ref="BL55:BL61"/>
    <mergeCell ref="BM55:BM61"/>
    <mergeCell ref="BN55:BN61"/>
    <mergeCell ref="BO55:BO61"/>
    <mergeCell ref="BP55:BP61"/>
    <mergeCell ref="BF55:BF61"/>
    <mergeCell ref="BG55:BG61"/>
    <mergeCell ref="BH55:BH61"/>
    <mergeCell ref="BI55:BI61"/>
    <mergeCell ref="BJ55:BJ61"/>
    <mergeCell ref="BK55:BK61"/>
    <mergeCell ref="AZ55:AZ61"/>
    <mergeCell ref="BA55:BA61"/>
    <mergeCell ref="BB55:BB61"/>
    <mergeCell ref="BC55:BC61"/>
    <mergeCell ref="BD55:BD61"/>
    <mergeCell ref="BE55:BE61"/>
    <mergeCell ref="CI55:CI61"/>
    <mergeCell ref="CJ55:CJ61"/>
    <mergeCell ref="CC55:CC61"/>
    <mergeCell ref="CD55:CD61"/>
    <mergeCell ref="CE55:CE61"/>
    <mergeCell ref="CF55:CF61"/>
    <mergeCell ref="CG55:CG61"/>
    <mergeCell ref="CH55:CH61"/>
    <mergeCell ref="BW55:BW61"/>
    <mergeCell ref="BX55:BX61"/>
    <mergeCell ref="BY55:BY61"/>
    <mergeCell ref="BZ55:BZ61"/>
    <mergeCell ref="CA55:CA61"/>
    <mergeCell ref="CB55:CB61"/>
    <mergeCell ref="BQ55:BQ61"/>
    <mergeCell ref="BR55:BR61"/>
    <mergeCell ref="BS55:BS61"/>
    <mergeCell ref="BT55:BT61"/>
    <mergeCell ref="BU55:BU61"/>
    <mergeCell ref="BV55:BV61"/>
    <mergeCell ref="AK62:AK63"/>
    <mergeCell ref="AL62:AL63"/>
    <mergeCell ref="AM62:AM63"/>
    <mergeCell ref="AN62:AN63"/>
    <mergeCell ref="AO62:AO63"/>
    <mergeCell ref="AP62:AP63"/>
    <mergeCell ref="AE62:AE63"/>
    <mergeCell ref="AF62:AF63"/>
    <mergeCell ref="AG62:AG63"/>
    <mergeCell ref="AH62:AH63"/>
    <mergeCell ref="AI62:AI63"/>
    <mergeCell ref="AJ62:AJ63"/>
    <mergeCell ref="C62:C63"/>
    <mergeCell ref="D62:D63"/>
    <mergeCell ref="E62:E63"/>
    <mergeCell ref="F62:F63"/>
    <mergeCell ref="AC62:AC63"/>
    <mergeCell ref="AD62:AD63"/>
    <mergeCell ref="BK62:BK63"/>
    <mergeCell ref="BL62:BL63"/>
    <mergeCell ref="BM62:BM63"/>
    <mergeCell ref="BB62:BB63"/>
    <mergeCell ref="BC62:BC63"/>
    <mergeCell ref="BD62:BD63"/>
    <mergeCell ref="BE62:BE63"/>
    <mergeCell ref="BF62:BF63"/>
    <mergeCell ref="BG62:BG63"/>
    <mergeCell ref="AW62:AW63"/>
    <mergeCell ref="AX62:AX63"/>
    <mergeCell ref="AY62:AY63"/>
    <mergeCell ref="AZ62:AZ63"/>
    <mergeCell ref="BA62:BA63"/>
    <mergeCell ref="AQ62:AQ63"/>
    <mergeCell ref="AR62:AR63"/>
    <mergeCell ref="AS62:AS63"/>
    <mergeCell ref="AT62:AT63"/>
    <mergeCell ref="AU62:AU63"/>
    <mergeCell ref="AV62:AV63"/>
    <mergeCell ref="C64:C66"/>
    <mergeCell ref="D64:D66"/>
    <mergeCell ref="E64:E66"/>
    <mergeCell ref="F64:F66"/>
    <mergeCell ref="AC64:AC66"/>
    <mergeCell ref="AD64:AD66"/>
    <mergeCell ref="CE62:CE63"/>
    <mergeCell ref="CF62:CF63"/>
    <mergeCell ref="CG62:CG63"/>
    <mergeCell ref="CH62:CH63"/>
    <mergeCell ref="BH62:BH63"/>
    <mergeCell ref="BI62:BI63"/>
    <mergeCell ref="BJ62:BJ63"/>
    <mergeCell ref="AQ64:AQ66"/>
    <mergeCell ref="AR64:AR66"/>
    <mergeCell ref="AS64:AS66"/>
    <mergeCell ref="AT64:AT66"/>
    <mergeCell ref="AU64:AU66"/>
    <mergeCell ref="AV64:AV66"/>
    <mergeCell ref="AK64:AK66"/>
    <mergeCell ref="AL64:AL66"/>
    <mergeCell ref="AM64:AM66"/>
    <mergeCell ref="AN64:AN66"/>
    <mergeCell ref="AO64:AO66"/>
    <mergeCell ref="AP64:AP66"/>
    <mergeCell ref="CI62:CI63"/>
    <mergeCell ref="CJ62:CJ63"/>
    <mergeCell ref="BY62:BY63"/>
    <mergeCell ref="BZ62:BZ63"/>
    <mergeCell ref="CA62:CA63"/>
    <mergeCell ref="CB62:CB63"/>
    <mergeCell ref="CC62:CC63"/>
    <mergeCell ref="CD62:CD63"/>
    <mergeCell ref="BS62:BS63"/>
    <mergeCell ref="BT62:BT63"/>
    <mergeCell ref="BU62:BU63"/>
    <mergeCell ref="BV62:BV63"/>
    <mergeCell ref="BW62:BW63"/>
    <mergeCell ref="BX62:BX63"/>
    <mergeCell ref="BQ62:BQ63"/>
    <mergeCell ref="BR62:BR63"/>
    <mergeCell ref="BN62:BN63"/>
    <mergeCell ref="BO62:BO63"/>
    <mergeCell ref="BP62:BP63"/>
    <mergeCell ref="AE64:AE66"/>
    <mergeCell ref="AF64:AF66"/>
    <mergeCell ref="AG64:AG66"/>
    <mergeCell ref="AH64:AH66"/>
    <mergeCell ref="AI64:AI66"/>
    <mergeCell ref="AJ64:AJ66"/>
    <mergeCell ref="BH64:BH66"/>
    <mergeCell ref="BI64:BI66"/>
    <mergeCell ref="BJ64:BJ66"/>
    <mergeCell ref="BK64:BK66"/>
    <mergeCell ref="BL64:BL66"/>
    <mergeCell ref="BM64:BM66"/>
    <mergeCell ref="BB64:BB66"/>
    <mergeCell ref="BC64:BC66"/>
    <mergeCell ref="BD64:BD66"/>
    <mergeCell ref="BE64:BE66"/>
    <mergeCell ref="BF64:BF66"/>
    <mergeCell ref="BG64:BG66"/>
    <mergeCell ref="AW64:AW66"/>
    <mergeCell ref="AX64:AX66"/>
    <mergeCell ref="AY64:AY66"/>
    <mergeCell ref="AZ64:AZ66"/>
    <mergeCell ref="BA64:BA66"/>
    <mergeCell ref="C67:C68"/>
    <mergeCell ref="D67:D68"/>
    <mergeCell ref="E67:E68"/>
    <mergeCell ref="F67:F68"/>
    <mergeCell ref="AC67:AC68"/>
    <mergeCell ref="AD67:AD68"/>
    <mergeCell ref="AE67:AE68"/>
    <mergeCell ref="AF67:AF68"/>
    <mergeCell ref="AG67:AG68"/>
    <mergeCell ref="CE64:CE66"/>
    <mergeCell ref="CF64:CF66"/>
    <mergeCell ref="CG64:CG66"/>
    <mergeCell ref="CH64:CH66"/>
    <mergeCell ref="CI64:CI66"/>
    <mergeCell ref="CJ64:CJ66"/>
    <mergeCell ref="BY64:BY66"/>
    <mergeCell ref="BZ64:BZ66"/>
    <mergeCell ref="CA64:CA66"/>
    <mergeCell ref="CB64:CB66"/>
    <mergeCell ref="CC64:CC66"/>
    <mergeCell ref="CD64:CD66"/>
    <mergeCell ref="BS64:BS66"/>
    <mergeCell ref="BT64:BT66"/>
    <mergeCell ref="BU64:BU66"/>
    <mergeCell ref="BV64:BV66"/>
    <mergeCell ref="BW64:BW66"/>
    <mergeCell ref="BX64:BX66"/>
    <mergeCell ref="BQ64:BQ66"/>
    <mergeCell ref="BR64:BR66"/>
    <mergeCell ref="BN64:BN66"/>
    <mergeCell ref="BO64:BO66"/>
    <mergeCell ref="BP64:BP66"/>
    <mergeCell ref="AW67:AW68"/>
    <mergeCell ref="AX67:AX68"/>
    <mergeCell ref="AT67:AT68"/>
    <mergeCell ref="AU67:AU68"/>
    <mergeCell ref="AV67:AV68"/>
    <mergeCell ref="AN67:AN68"/>
    <mergeCell ref="AO67:AO68"/>
    <mergeCell ref="AP67:AP68"/>
    <mergeCell ref="AQ67:AQ68"/>
    <mergeCell ref="AR67:AR68"/>
    <mergeCell ref="AS67:AS68"/>
    <mergeCell ref="AH67:AH68"/>
    <mergeCell ref="AI67:AI68"/>
    <mergeCell ref="AJ67:AJ68"/>
    <mergeCell ref="AK67:AK68"/>
    <mergeCell ref="AL67:AL68"/>
    <mergeCell ref="AM67:AM68"/>
    <mergeCell ref="BK67:BK68"/>
    <mergeCell ref="BL67:BL68"/>
    <mergeCell ref="BM67:BM68"/>
    <mergeCell ref="BN67:BN68"/>
    <mergeCell ref="BO67:BO68"/>
    <mergeCell ref="BP67:BP68"/>
    <mergeCell ref="BE67:BE68"/>
    <mergeCell ref="BF67:BF68"/>
    <mergeCell ref="BG67:BG68"/>
    <mergeCell ref="BH67:BH68"/>
    <mergeCell ref="BI67:BI68"/>
    <mergeCell ref="BJ67:BJ68"/>
    <mergeCell ref="AY67:AY68"/>
    <mergeCell ref="AZ67:AZ68"/>
    <mergeCell ref="BA67:BA68"/>
    <mergeCell ref="BB67:BB68"/>
    <mergeCell ref="BC67:BC68"/>
    <mergeCell ref="BD67:BD68"/>
    <mergeCell ref="AE69:AE71"/>
    <mergeCell ref="AF69:AF71"/>
    <mergeCell ref="AG69:AG71"/>
    <mergeCell ref="AH69:AH71"/>
    <mergeCell ref="AI69:AI71"/>
    <mergeCell ref="AJ69:AJ71"/>
    <mergeCell ref="C69:C71"/>
    <mergeCell ref="D69:D71"/>
    <mergeCell ref="E69:E71"/>
    <mergeCell ref="F69:F71"/>
    <mergeCell ref="AC69:AC71"/>
    <mergeCell ref="AD69:AD71"/>
    <mergeCell ref="CH67:CH68"/>
    <mergeCell ref="CI67:CI68"/>
    <mergeCell ref="CJ67:CJ68"/>
    <mergeCell ref="CB67:CB68"/>
    <mergeCell ref="CC67:CC68"/>
    <mergeCell ref="CD67:CD68"/>
    <mergeCell ref="CE67:CE68"/>
    <mergeCell ref="CF67:CF68"/>
    <mergeCell ref="CG67:CG68"/>
    <mergeCell ref="BV67:BV68"/>
    <mergeCell ref="BW67:BW68"/>
    <mergeCell ref="BX67:BX68"/>
    <mergeCell ref="BY67:BY68"/>
    <mergeCell ref="BZ67:BZ68"/>
    <mergeCell ref="CA67:CA68"/>
    <mergeCell ref="BQ67:BQ68"/>
    <mergeCell ref="BR67:BR68"/>
    <mergeCell ref="BS67:BS68"/>
    <mergeCell ref="BT67:BT68"/>
    <mergeCell ref="BU67:BU68"/>
    <mergeCell ref="AW69:AW71"/>
    <mergeCell ref="AX69:AX71"/>
    <mergeCell ref="AY69:AY71"/>
    <mergeCell ref="AZ69:AZ71"/>
    <mergeCell ref="BA69:BA71"/>
    <mergeCell ref="AQ69:AQ71"/>
    <mergeCell ref="AR69:AR71"/>
    <mergeCell ref="AS69:AS71"/>
    <mergeCell ref="AT69:AT71"/>
    <mergeCell ref="AU69:AU71"/>
    <mergeCell ref="AV69:AV71"/>
    <mergeCell ref="AK69:AK71"/>
    <mergeCell ref="AL69:AL71"/>
    <mergeCell ref="AM69:AM71"/>
    <mergeCell ref="AN69:AN71"/>
    <mergeCell ref="AO69:AO71"/>
    <mergeCell ref="AP69:AP71"/>
    <mergeCell ref="BQ69:BQ71"/>
    <mergeCell ref="BR69:BR71"/>
    <mergeCell ref="BN69:BN71"/>
    <mergeCell ref="BO69:BO71"/>
    <mergeCell ref="BP69:BP71"/>
    <mergeCell ref="BH69:BH71"/>
    <mergeCell ref="BI69:BI71"/>
    <mergeCell ref="BJ69:BJ71"/>
    <mergeCell ref="BK69:BK71"/>
    <mergeCell ref="BL69:BL71"/>
    <mergeCell ref="BM69:BM71"/>
    <mergeCell ref="BB69:BB71"/>
    <mergeCell ref="BC69:BC71"/>
    <mergeCell ref="BD69:BD71"/>
    <mergeCell ref="BE69:BE71"/>
    <mergeCell ref="BF69:BF71"/>
    <mergeCell ref="BG69:BG71"/>
    <mergeCell ref="CE69:CE71"/>
    <mergeCell ref="CF69:CF71"/>
    <mergeCell ref="CG69:CG71"/>
    <mergeCell ref="CH69:CH71"/>
    <mergeCell ref="CI69:CI71"/>
    <mergeCell ref="CJ69:CJ71"/>
    <mergeCell ref="BY69:BY71"/>
    <mergeCell ref="BZ69:BZ71"/>
    <mergeCell ref="CA69:CA71"/>
    <mergeCell ref="CB69:CB71"/>
    <mergeCell ref="CC69:CC71"/>
    <mergeCell ref="CD69:CD71"/>
    <mergeCell ref="BS69:BS71"/>
    <mergeCell ref="BT69:BT71"/>
    <mergeCell ref="BU69:BU71"/>
    <mergeCell ref="BV69:BV71"/>
    <mergeCell ref="BW69:BW71"/>
    <mergeCell ref="BX69:BX71"/>
    <mergeCell ref="AF21:AF22"/>
    <mergeCell ref="AG21:AG22"/>
    <mergeCell ref="AH21:AH22"/>
    <mergeCell ref="AI21:AI22"/>
    <mergeCell ref="AJ21:AJ22"/>
    <mergeCell ref="AK21:AK22"/>
    <mergeCell ref="C31:C42"/>
    <mergeCell ref="B15:B42"/>
    <mergeCell ref="A15:A42"/>
    <mergeCell ref="AC21:AC22"/>
    <mergeCell ref="AD21:AD22"/>
    <mergeCell ref="AE21:AE22"/>
    <mergeCell ref="AC41:AC42"/>
    <mergeCell ref="AD41:AD42"/>
    <mergeCell ref="AE41:AE42"/>
    <mergeCell ref="E21:E22"/>
    <mergeCell ref="E41:E42"/>
    <mergeCell ref="F21:F22"/>
    <mergeCell ref="D15:D22"/>
    <mergeCell ref="C15:C22"/>
    <mergeCell ref="F41:F42"/>
    <mergeCell ref="D31:D42"/>
    <mergeCell ref="E35:E36"/>
    <mergeCell ref="F35:F36"/>
    <mergeCell ref="AC35:AC36"/>
    <mergeCell ref="AD35:AD36"/>
    <mergeCell ref="AE35:AE36"/>
    <mergeCell ref="AF35:AF36"/>
    <mergeCell ref="E31:E32"/>
    <mergeCell ref="F31:F32"/>
    <mergeCell ref="AC31:AC32"/>
    <mergeCell ref="AD31:AD32"/>
    <mergeCell ref="AW21:AW22"/>
    <mergeCell ref="AX21:AX22"/>
    <mergeCell ref="AY21:AY22"/>
    <mergeCell ref="AZ21:AZ22"/>
    <mergeCell ref="BA21:BA22"/>
    <mergeCell ref="BB21:BB22"/>
    <mergeCell ref="AR21:AR22"/>
    <mergeCell ref="AS21:AS22"/>
    <mergeCell ref="AT21:AT22"/>
    <mergeCell ref="AU21:AU22"/>
    <mergeCell ref="AV21:AV22"/>
    <mergeCell ref="AL21:AL22"/>
    <mergeCell ref="AM21:AM22"/>
    <mergeCell ref="AN21:AN22"/>
    <mergeCell ref="AO21:AO22"/>
    <mergeCell ref="AP21:AP22"/>
    <mergeCell ref="AQ21:AQ22"/>
    <mergeCell ref="BQ15:BQ22"/>
    <mergeCell ref="BR15:BR22"/>
    <mergeCell ref="BS15:BS22"/>
    <mergeCell ref="BO21:BO22"/>
    <mergeCell ref="BP21:BP22"/>
    <mergeCell ref="BI21:BI22"/>
    <mergeCell ref="BJ21:BJ22"/>
    <mergeCell ref="BK21:BK22"/>
    <mergeCell ref="BL21:BL22"/>
    <mergeCell ref="BM21:BM22"/>
    <mergeCell ref="BN21:BN22"/>
    <mergeCell ref="BC21:BC22"/>
    <mergeCell ref="BD21:BD22"/>
    <mergeCell ref="BE21:BE22"/>
    <mergeCell ref="BF21:BF22"/>
    <mergeCell ref="BG21:BG22"/>
    <mergeCell ref="BH21:BH22"/>
    <mergeCell ref="BM19:BM20"/>
    <mergeCell ref="BN19:BN20"/>
    <mergeCell ref="BO19:BO20"/>
    <mergeCell ref="BP19:BP20"/>
    <mergeCell ref="BL17:BL18"/>
    <mergeCell ref="BM17:BM18"/>
    <mergeCell ref="BN17:BN18"/>
    <mergeCell ref="BO17:BO18"/>
    <mergeCell ref="BP17:BP18"/>
    <mergeCell ref="BF17:BF18"/>
    <mergeCell ref="BG17:BG18"/>
    <mergeCell ref="BH17:BH18"/>
    <mergeCell ref="BI17:BI18"/>
    <mergeCell ref="BJ17:BJ18"/>
    <mergeCell ref="BK17:BK18"/>
    <mergeCell ref="CX15:CX22"/>
    <mergeCell ref="CY15:CY22"/>
    <mergeCell ref="CZ15:CZ22"/>
    <mergeCell ref="DA15:DA22"/>
    <mergeCell ref="DB15:DB22"/>
    <mergeCell ref="DC15:DC22"/>
    <mergeCell ref="CL15:CL22"/>
    <mergeCell ref="CM15:CM22"/>
    <mergeCell ref="CN15:CN22"/>
    <mergeCell ref="CO15:CO22"/>
    <mergeCell ref="CP15:CP22"/>
    <mergeCell ref="CQ15:CQ22"/>
    <mergeCell ref="CA15:CA22"/>
    <mergeCell ref="CB15:CB22"/>
    <mergeCell ref="CC15:CC22"/>
    <mergeCell ref="CD15:CD22"/>
    <mergeCell ref="CE15:CE22"/>
    <mergeCell ref="CF15:CF22"/>
    <mergeCell ref="AR41:AR42"/>
    <mergeCell ref="AS41:AS42"/>
    <mergeCell ref="AT41:AT42"/>
    <mergeCell ref="AU41:AU42"/>
    <mergeCell ref="AV41:AV42"/>
    <mergeCell ref="AL41:AL42"/>
    <mergeCell ref="AM41:AM42"/>
    <mergeCell ref="AN41:AN42"/>
    <mergeCell ref="AO41:AO42"/>
    <mergeCell ref="AP41:AP42"/>
    <mergeCell ref="AQ41:AQ42"/>
    <mergeCell ref="AF41:AF42"/>
    <mergeCell ref="AG41:AG42"/>
    <mergeCell ref="AH41:AH42"/>
    <mergeCell ref="AI41:AI42"/>
    <mergeCell ref="AJ41:AJ42"/>
    <mergeCell ref="AK41:AK42"/>
    <mergeCell ref="BD41:BD42"/>
    <mergeCell ref="BE41:BE42"/>
    <mergeCell ref="BF41:BF42"/>
    <mergeCell ref="BG41:BG42"/>
    <mergeCell ref="BH41:BH42"/>
    <mergeCell ref="BI41:BI42"/>
    <mergeCell ref="AX41:AX42"/>
    <mergeCell ref="AY41:AY42"/>
    <mergeCell ref="AZ41:AZ42"/>
    <mergeCell ref="BA41:BA42"/>
    <mergeCell ref="BB41:BB42"/>
    <mergeCell ref="BC41:BC42"/>
    <mergeCell ref="BP35:BP36"/>
    <mergeCell ref="BJ35:BJ36"/>
    <mergeCell ref="BK35:BK36"/>
    <mergeCell ref="BL35:BL36"/>
    <mergeCell ref="BM35:BM36"/>
    <mergeCell ref="BN35:BN36"/>
    <mergeCell ref="BO35:BO36"/>
    <mergeCell ref="BD35:BD36"/>
    <mergeCell ref="AX39:AX40"/>
    <mergeCell ref="BE35:BE36"/>
    <mergeCell ref="BF35:BF36"/>
    <mergeCell ref="BG35:BG36"/>
    <mergeCell ref="BH35:BH36"/>
    <mergeCell ref="BI35:BI36"/>
    <mergeCell ref="AX35:AX36"/>
    <mergeCell ref="AY35:AY36"/>
    <mergeCell ref="AZ35:AZ36"/>
    <mergeCell ref="BA35:BA36"/>
    <mergeCell ref="BB35:BB36"/>
    <mergeCell ref="BC35:BC36"/>
    <mergeCell ref="CV31:CV42"/>
    <mergeCell ref="CW31:CW42"/>
    <mergeCell ref="CX31:CX42"/>
    <mergeCell ref="CY31:CY42"/>
    <mergeCell ref="CZ31:CZ42"/>
    <mergeCell ref="DA31:DA42"/>
    <mergeCell ref="CK31:CK42"/>
    <mergeCell ref="CL31:CL42"/>
    <mergeCell ref="CM31:CM42"/>
    <mergeCell ref="CN31:CN42"/>
    <mergeCell ref="CO31:CO42"/>
    <mergeCell ref="BY31:BY42"/>
    <mergeCell ref="BZ31:BZ42"/>
    <mergeCell ref="CA31:CA42"/>
    <mergeCell ref="CB31:CB42"/>
    <mergeCell ref="CC31:CC42"/>
    <mergeCell ref="CD31:CD42"/>
    <mergeCell ref="CR31:CR42"/>
    <mergeCell ref="CS31:CS42"/>
    <mergeCell ref="CT31:CT42"/>
    <mergeCell ref="CU31:CU42"/>
    <mergeCell ref="CP31:CP42"/>
    <mergeCell ref="CQ31:CQ42"/>
    <mergeCell ref="CG31:CG42"/>
    <mergeCell ref="CH31:CH42"/>
    <mergeCell ref="CI31:CI42"/>
    <mergeCell ref="CJ31:CJ42"/>
    <mergeCell ref="CE31:CE42"/>
    <mergeCell ref="CF31:CF42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55"/>
  <sheetViews>
    <sheetView showGridLines="0" zoomScale="55" zoomScaleNormal="55" workbookViewId="0">
      <selection activeCell="BE15" sqref="BE15"/>
    </sheetView>
  </sheetViews>
  <sheetFormatPr defaultColWidth="8.85546875" defaultRowHeight="15" x14ac:dyDescent="0.25"/>
  <cols>
    <col min="1" max="1" width="4.140625" style="1" customWidth="1"/>
    <col min="2" max="2" width="15.7109375" style="1" customWidth="1"/>
    <col min="3" max="3" width="3" style="1" customWidth="1"/>
    <col min="4" max="4" width="28" style="1" customWidth="1"/>
    <col min="5" max="44" width="2.7109375" style="1" customWidth="1"/>
    <col min="45" max="49" width="2.7109375" style="1" hidden="1" customWidth="1"/>
    <col min="50" max="50" width="8.85546875" style="1"/>
    <col min="51" max="51" width="13" style="1" customWidth="1"/>
    <col min="52" max="16384" width="8.85546875" style="1"/>
  </cols>
  <sheetData>
    <row r="1" spans="1:49" ht="18" x14ac:dyDescent="0.25">
      <c r="A1" s="179" t="s">
        <v>95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</row>
    <row r="2" spans="1:49" ht="18" x14ac:dyDescent="0.25">
      <c r="A2" s="179" t="s">
        <v>280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</row>
    <row r="3" spans="1:49" ht="18" x14ac:dyDescent="0.25">
      <c r="A3" s="179" t="str">
        <f>CONCATENATE("TAHUN PELAJARAN"," ",Biodata!C15)</f>
        <v>TAHUN PELAJARAN 2020/2021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79"/>
    </row>
    <row r="5" spans="1:49" ht="15.75" x14ac:dyDescent="0.25">
      <c r="A5" s="2" t="s">
        <v>184</v>
      </c>
      <c r="B5" s="2"/>
      <c r="C5" s="2"/>
      <c r="D5" s="2"/>
      <c r="E5" s="3" t="s">
        <v>143</v>
      </c>
      <c r="F5" s="77" t="str">
        <f>Biodata!C4</f>
        <v>SMK NEGERI 1 JATIROTO</v>
      </c>
      <c r="G5" s="77"/>
      <c r="H5" s="2"/>
      <c r="I5" s="2"/>
      <c r="J5" s="2"/>
      <c r="K5" s="2"/>
      <c r="L5" s="2"/>
      <c r="M5" s="2"/>
      <c r="N5" s="2"/>
      <c r="O5" s="2"/>
    </row>
    <row r="6" spans="1:49" ht="15.75" x14ac:dyDescent="0.25">
      <c r="A6" s="2" t="s">
        <v>69</v>
      </c>
      <c r="B6" s="2"/>
      <c r="C6" s="2"/>
      <c r="D6" s="2"/>
      <c r="E6" s="3" t="s">
        <v>143</v>
      </c>
      <c r="F6" s="77" t="str">
        <f>Biodata!C6</f>
        <v>Bahasa Inggris</v>
      </c>
      <c r="G6" s="77"/>
      <c r="H6" s="2"/>
      <c r="I6" s="2"/>
      <c r="J6" s="2"/>
      <c r="K6" s="2"/>
      <c r="L6" s="2"/>
      <c r="M6" s="2"/>
      <c r="N6" s="2"/>
      <c r="O6" s="2"/>
    </row>
    <row r="7" spans="1:49" ht="15.75" x14ac:dyDescent="0.25">
      <c r="A7" s="2" t="s">
        <v>163</v>
      </c>
      <c r="B7" s="2"/>
      <c r="C7" s="2"/>
      <c r="D7" s="2"/>
      <c r="E7" s="3" t="s">
        <v>143</v>
      </c>
      <c r="F7" s="77" t="str">
        <f>Biodata!C7</f>
        <v>Indah Darmawati, SE, M.Pd</v>
      </c>
      <c r="G7" s="77"/>
      <c r="H7" s="2"/>
      <c r="I7" s="2"/>
      <c r="J7" s="2"/>
      <c r="K7" s="2"/>
      <c r="L7" s="2"/>
      <c r="M7" s="2"/>
      <c r="N7" s="2"/>
      <c r="O7" s="2"/>
    </row>
    <row r="8" spans="1:49" ht="15.75" x14ac:dyDescent="0.25">
      <c r="A8" s="2" t="s">
        <v>279</v>
      </c>
      <c r="B8" s="2"/>
      <c r="C8" s="2"/>
      <c r="D8" s="2"/>
      <c r="E8" s="3" t="s">
        <v>143</v>
      </c>
      <c r="F8" s="77" t="str">
        <f>Biodata!C9</f>
        <v>Galuh Wury Prabaningrum, S.Pd.</v>
      </c>
      <c r="G8" s="77"/>
      <c r="H8" s="2"/>
      <c r="I8" s="2"/>
      <c r="J8" s="2"/>
      <c r="K8" s="2"/>
      <c r="L8" s="2"/>
      <c r="M8" s="2"/>
      <c r="N8" s="2"/>
      <c r="O8" s="2"/>
    </row>
    <row r="9" spans="1:49" ht="15.75" x14ac:dyDescent="0.25">
      <c r="A9" s="2" t="s">
        <v>183</v>
      </c>
      <c r="B9" s="2"/>
      <c r="C9" s="2"/>
      <c r="D9" s="2"/>
      <c r="E9" s="3" t="s">
        <v>143</v>
      </c>
      <c r="F9" s="77" t="str">
        <f>Biodata!C10</f>
        <v>Bhekti Tulus Martani, S.Pd.</v>
      </c>
      <c r="G9" s="77"/>
      <c r="H9" s="2"/>
      <c r="I9" s="2"/>
      <c r="J9" s="3"/>
      <c r="K9" s="2"/>
      <c r="L9" s="2"/>
      <c r="M9" s="2"/>
      <c r="N9" s="2"/>
      <c r="O9" s="2"/>
      <c r="X9" s="5"/>
      <c r="AF9" s="4"/>
    </row>
    <row r="10" spans="1:49" ht="15.75" x14ac:dyDescent="0.25">
      <c r="A10" s="2" t="s">
        <v>90</v>
      </c>
      <c r="B10" s="2"/>
      <c r="C10" s="2"/>
      <c r="D10" s="2"/>
      <c r="E10" s="3" t="s">
        <v>143</v>
      </c>
      <c r="F10" s="77" t="str">
        <f>Biodata!C11</f>
        <v>Ade Setiyawan, S.Kom.</v>
      </c>
      <c r="G10" s="77"/>
      <c r="H10" s="2"/>
      <c r="I10" s="2"/>
      <c r="J10" s="3"/>
      <c r="K10" s="2"/>
      <c r="L10" s="2"/>
      <c r="M10" s="2"/>
      <c r="N10" s="2"/>
      <c r="O10" s="2"/>
      <c r="X10" s="5"/>
      <c r="AF10" s="4"/>
    </row>
    <row r="11" spans="1:49" ht="15" customHeight="1" x14ac:dyDescent="0.25">
      <c r="A11" s="6" t="s">
        <v>70</v>
      </c>
      <c r="B11" s="2"/>
      <c r="C11" s="2"/>
      <c r="D11" s="7"/>
      <c r="E11" s="3" t="s">
        <v>143</v>
      </c>
      <c r="F11" s="165">
        <f>Biodata!C12</f>
        <v>40</v>
      </c>
      <c r="G11" s="165"/>
      <c r="H11" s="2" t="s">
        <v>195</v>
      </c>
      <c r="I11" s="2"/>
      <c r="J11" s="3"/>
      <c r="K11" s="2"/>
      <c r="L11" s="2"/>
      <c r="M11" s="2"/>
      <c r="N11" s="2"/>
      <c r="O11" s="2"/>
    </row>
    <row r="13" spans="1:49" x14ac:dyDescent="0.25">
      <c r="A13" s="178" t="s">
        <v>92</v>
      </c>
      <c r="B13" s="178" t="s">
        <v>91</v>
      </c>
      <c r="C13" s="178" t="s">
        <v>93</v>
      </c>
      <c r="D13" s="178"/>
      <c r="E13" s="166" t="s">
        <v>94</v>
      </c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</row>
    <row r="14" spans="1:49" x14ac:dyDescent="0.25">
      <c r="A14" s="178"/>
      <c r="B14" s="178"/>
      <c r="C14" s="178"/>
      <c r="D14" s="178"/>
      <c r="E14" s="16">
        <v>1</v>
      </c>
      <c r="F14" s="16">
        <v>2</v>
      </c>
      <c r="G14" s="16">
        <v>3</v>
      </c>
      <c r="H14" s="16">
        <v>4</v>
      </c>
      <c r="I14" s="16">
        <v>5</v>
      </c>
      <c r="J14" s="16">
        <v>6</v>
      </c>
      <c r="K14" s="16">
        <v>7</v>
      </c>
      <c r="L14" s="16">
        <v>8</v>
      </c>
      <c r="M14" s="16">
        <v>9</v>
      </c>
      <c r="N14" s="16">
        <v>10</v>
      </c>
      <c r="O14" s="16">
        <v>11</v>
      </c>
      <c r="P14" s="16">
        <v>12</v>
      </c>
      <c r="Q14" s="16">
        <v>13</v>
      </c>
      <c r="R14" s="16">
        <v>14</v>
      </c>
      <c r="S14" s="16">
        <v>15</v>
      </c>
      <c r="T14" s="16">
        <v>16</v>
      </c>
      <c r="U14" s="16">
        <v>17</v>
      </c>
      <c r="V14" s="16">
        <v>18</v>
      </c>
      <c r="W14" s="16">
        <v>19</v>
      </c>
      <c r="X14" s="16">
        <v>20</v>
      </c>
      <c r="Y14" s="16">
        <v>21</v>
      </c>
      <c r="Z14" s="16">
        <v>22</v>
      </c>
      <c r="AA14" s="16">
        <v>23</v>
      </c>
      <c r="AB14" s="16">
        <v>24</v>
      </c>
      <c r="AC14" s="16">
        <v>25</v>
      </c>
      <c r="AD14" s="16">
        <v>26</v>
      </c>
      <c r="AE14" s="16">
        <v>27</v>
      </c>
      <c r="AF14" s="16">
        <v>28</v>
      </c>
      <c r="AG14" s="16">
        <v>29</v>
      </c>
      <c r="AH14" s="16">
        <v>30</v>
      </c>
      <c r="AI14" s="16">
        <v>31</v>
      </c>
      <c r="AJ14" s="16">
        <v>32</v>
      </c>
      <c r="AK14" s="16">
        <v>33</v>
      </c>
      <c r="AL14" s="16">
        <v>34</v>
      </c>
      <c r="AM14" s="16">
        <v>35</v>
      </c>
      <c r="AN14" s="16">
        <v>36</v>
      </c>
      <c r="AO14" s="16">
        <v>37</v>
      </c>
      <c r="AP14" s="16">
        <v>38</v>
      </c>
      <c r="AQ14" s="16">
        <v>39</v>
      </c>
      <c r="AR14" s="16">
        <v>40</v>
      </c>
      <c r="AS14" s="16">
        <v>41</v>
      </c>
      <c r="AT14" s="16">
        <v>42</v>
      </c>
      <c r="AU14" s="16">
        <v>43</v>
      </c>
      <c r="AV14" s="16">
        <v>44</v>
      </c>
      <c r="AW14" s="16">
        <v>45</v>
      </c>
    </row>
    <row r="15" spans="1:49" ht="30" x14ac:dyDescent="0.25">
      <c r="A15" s="176" t="s">
        <v>96</v>
      </c>
      <c r="B15" s="177" t="str">
        <f>Telaah_PG!B6</f>
        <v>HAL-HAL PENTING</v>
      </c>
      <c r="C15" s="9">
        <v>1</v>
      </c>
      <c r="D15" s="10" t="str">
        <f>Telaah_PG!D6</f>
        <v>Soal tidak menyinggung SARA</v>
      </c>
      <c r="E15" s="9">
        <f>Telaah_PG!BB6</f>
        <v>2</v>
      </c>
      <c r="F15" s="9">
        <f>Telaah_PG!BC6</f>
        <v>2</v>
      </c>
      <c r="G15" s="9">
        <f>Telaah_PG!BD6</f>
        <v>2</v>
      </c>
      <c r="H15" s="9">
        <f>Telaah_PG!BE6</f>
        <v>2</v>
      </c>
      <c r="I15" s="9">
        <f>Telaah_PG!BF6</f>
        <v>2</v>
      </c>
      <c r="J15" s="9">
        <f>Telaah_PG!BG6</f>
        <v>2</v>
      </c>
      <c r="K15" s="9">
        <f>Telaah_PG!BH6</f>
        <v>2</v>
      </c>
      <c r="L15" s="9">
        <f>Telaah_PG!BI6</f>
        <v>2</v>
      </c>
      <c r="M15" s="9">
        <f>Telaah_PG!BJ6</f>
        <v>2</v>
      </c>
      <c r="N15" s="9">
        <f>Telaah_PG!BK6</f>
        <v>2</v>
      </c>
      <c r="O15" s="9">
        <f>Telaah_PG!BL6</f>
        <v>2</v>
      </c>
      <c r="P15" s="9">
        <f>Telaah_PG!BM6</f>
        <v>2</v>
      </c>
      <c r="Q15" s="9">
        <f>Telaah_PG!BN6</f>
        <v>2</v>
      </c>
      <c r="R15" s="9">
        <f>Telaah_PG!BO6</f>
        <v>2</v>
      </c>
      <c r="S15" s="9">
        <f>Telaah_PG!BP6</f>
        <v>2</v>
      </c>
      <c r="T15" s="9">
        <f>Telaah_PG!BQ6</f>
        <v>2</v>
      </c>
      <c r="U15" s="9">
        <f>Telaah_PG!BR6</f>
        <v>2</v>
      </c>
      <c r="V15" s="9">
        <f>Telaah_PG!BS6</f>
        <v>2</v>
      </c>
      <c r="W15" s="9">
        <f>Telaah_PG!BT6</f>
        <v>2</v>
      </c>
      <c r="X15" s="9">
        <f>Telaah_PG!BU6</f>
        <v>2</v>
      </c>
      <c r="Y15" s="9">
        <f>Telaah_PG!BV6</f>
        <v>2</v>
      </c>
      <c r="Z15" s="9">
        <f>Telaah_PG!BW6</f>
        <v>2</v>
      </c>
      <c r="AA15" s="9">
        <f>Telaah_PG!BX6</f>
        <v>2</v>
      </c>
      <c r="AB15" s="9">
        <f>Telaah_PG!BY6</f>
        <v>2</v>
      </c>
      <c r="AC15" s="9">
        <f>Telaah_PG!BZ6</f>
        <v>2</v>
      </c>
      <c r="AD15" s="9">
        <f>Telaah_PG!CA6</f>
        <v>2</v>
      </c>
      <c r="AE15" s="9">
        <f>Telaah_PG!CB6</f>
        <v>2</v>
      </c>
      <c r="AF15" s="9">
        <f>Telaah_PG!CC6</f>
        <v>2</v>
      </c>
      <c r="AG15" s="9">
        <f>Telaah_PG!CD6</f>
        <v>2</v>
      </c>
      <c r="AH15" s="9">
        <f>Telaah_PG!CE6</f>
        <v>2</v>
      </c>
      <c r="AI15" s="9">
        <f>Telaah_PG!CF6</f>
        <v>2</v>
      </c>
      <c r="AJ15" s="9">
        <f>Telaah_PG!CG6</f>
        <v>2</v>
      </c>
      <c r="AK15" s="9">
        <f>Telaah_PG!CH6</f>
        <v>2</v>
      </c>
      <c r="AL15" s="9">
        <f>Telaah_PG!CI6</f>
        <v>2</v>
      </c>
      <c r="AM15" s="9">
        <f>Telaah_PG!CJ6</f>
        <v>2</v>
      </c>
      <c r="AN15" s="9">
        <f>Telaah_PG!CK6</f>
        <v>2</v>
      </c>
      <c r="AO15" s="9">
        <f>Telaah_PG!CL6</f>
        <v>2</v>
      </c>
      <c r="AP15" s="9">
        <f>Telaah_PG!CM6</f>
        <v>2</v>
      </c>
      <c r="AQ15" s="9">
        <f>Telaah_PG!CN6</f>
        <v>2</v>
      </c>
      <c r="AR15" s="9">
        <f>Telaah_PG!CO6</f>
        <v>2</v>
      </c>
      <c r="AS15" s="9" t="str">
        <f>Telaah_PG!CP6</f>
        <v/>
      </c>
      <c r="AT15" s="9" t="str">
        <f>Telaah_PG!CQ6</f>
        <v/>
      </c>
      <c r="AU15" s="9" t="str">
        <f>Telaah_PG!CR6</f>
        <v/>
      </c>
      <c r="AV15" s="9" t="str">
        <f>Telaah_PG!CS6</f>
        <v/>
      </c>
      <c r="AW15" s="9" t="str">
        <f>Telaah_PG!CT6</f>
        <v/>
      </c>
    </row>
    <row r="16" spans="1:49" ht="120" x14ac:dyDescent="0.25">
      <c r="A16" s="176"/>
      <c r="B16" s="177"/>
      <c r="C16" s="9">
        <v>2</v>
      </c>
      <c r="D16" s="10" t="str">
        <f>Telaah_PG!D10</f>
        <v xml:space="preserve">Soal tidak bermuatan politik, pornografi, promosi produk komersil (iklan), kekerasan, dan bentuk lainnya yang dapat menimbulkan efek negatif </v>
      </c>
      <c r="E16" s="9">
        <f>Telaah_PG!BB10</f>
        <v>2</v>
      </c>
      <c r="F16" s="9">
        <f>Telaah_PG!BC10</f>
        <v>2</v>
      </c>
      <c r="G16" s="9">
        <f>Telaah_PG!BD10</f>
        <v>2</v>
      </c>
      <c r="H16" s="9">
        <f>Telaah_PG!BE10</f>
        <v>2</v>
      </c>
      <c r="I16" s="9">
        <f>Telaah_PG!BF10</f>
        <v>2</v>
      </c>
      <c r="J16" s="9">
        <f>Telaah_PG!BG10</f>
        <v>2</v>
      </c>
      <c r="K16" s="9">
        <f>Telaah_PG!BH10</f>
        <v>2</v>
      </c>
      <c r="L16" s="9">
        <f>Telaah_PG!BI10</f>
        <v>2</v>
      </c>
      <c r="M16" s="9">
        <f>Telaah_PG!BJ10</f>
        <v>2</v>
      </c>
      <c r="N16" s="9">
        <f>Telaah_PG!BK10</f>
        <v>2</v>
      </c>
      <c r="O16" s="9">
        <f>Telaah_PG!BL10</f>
        <v>2</v>
      </c>
      <c r="P16" s="9">
        <f>Telaah_PG!BM10</f>
        <v>2</v>
      </c>
      <c r="Q16" s="9">
        <f>Telaah_PG!BN10</f>
        <v>2</v>
      </c>
      <c r="R16" s="9">
        <f>Telaah_PG!BO10</f>
        <v>2</v>
      </c>
      <c r="S16" s="9">
        <f>Telaah_PG!BP10</f>
        <v>2</v>
      </c>
      <c r="T16" s="9">
        <f>Telaah_PG!BQ10</f>
        <v>2</v>
      </c>
      <c r="U16" s="9">
        <f>Telaah_PG!BR10</f>
        <v>2</v>
      </c>
      <c r="V16" s="9">
        <f>Telaah_PG!BS10</f>
        <v>2</v>
      </c>
      <c r="W16" s="9">
        <f>Telaah_PG!BT10</f>
        <v>2</v>
      </c>
      <c r="X16" s="9">
        <f>Telaah_PG!BU10</f>
        <v>2</v>
      </c>
      <c r="Y16" s="9">
        <f>Telaah_PG!BV10</f>
        <v>2</v>
      </c>
      <c r="Z16" s="9">
        <f>Telaah_PG!BW10</f>
        <v>2</v>
      </c>
      <c r="AA16" s="9">
        <f>Telaah_PG!BX10</f>
        <v>2</v>
      </c>
      <c r="AB16" s="9">
        <f>Telaah_PG!BY10</f>
        <v>2</v>
      </c>
      <c r="AC16" s="9">
        <f>Telaah_PG!BZ10</f>
        <v>2</v>
      </c>
      <c r="AD16" s="9">
        <f>Telaah_PG!CA10</f>
        <v>2</v>
      </c>
      <c r="AE16" s="9">
        <f>Telaah_PG!CB10</f>
        <v>2</v>
      </c>
      <c r="AF16" s="9">
        <f>Telaah_PG!CC10</f>
        <v>2</v>
      </c>
      <c r="AG16" s="9">
        <f>Telaah_PG!CD10</f>
        <v>2</v>
      </c>
      <c r="AH16" s="9">
        <f>Telaah_PG!CE10</f>
        <v>2</v>
      </c>
      <c r="AI16" s="9">
        <f>Telaah_PG!CF10</f>
        <v>2</v>
      </c>
      <c r="AJ16" s="9">
        <f>Telaah_PG!CG10</f>
        <v>2</v>
      </c>
      <c r="AK16" s="9">
        <f>Telaah_PG!CH10</f>
        <v>2</v>
      </c>
      <c r="AL16" s="9">
        <f>Telaah_PG!CI10</f>
        <v>2</v>
      </c>
      <c r="AM16" s="9">
        <f>Telaah_PG!CJ10</f>
        <v>2</v>
      </c>
      <c r="AN16" s="9">
        <f>Telaah_PG!CK10</f>
        <v>2</v>
      </c>
      <c r="AO16" s="9">
        <f>Telaah_PG!CL10</f>
        <v>2</v>
      </c>
      <c r="AP16" s="9">
        <f>Telaah_PG!CM10</f>
        <v>2</v>
      </c>
      <c r="AQ16" s="9">
        <f>Telaah_PG!CN10</f>
        <v>2</v>
      </c>
      <c r="AR16" s="9">
        <f>Telaah_PG!CO10</f>
        <v>2</v>
      </c>
      <c r="AS16" s="9" t="str">
        <f>Telaah_PG!CP10</f>
        <v/>
      </c>
      <c r="AT16" s="9" t="str">
        <f>Telaah_PG!CQ10</f>
        <v/>
      </c>
      <c r="AU16" s="9" t="str">
        <f>Telaah_PG!CR10</f>
        <v/>
      </c>
      <c r="AV16" s="9" t="str">
        <f>Telaah_PG!CS10</f>
        <v/>
      </c>
      <c r="AW16" s="9" t="str">
        <f>Telaah_PG!CT10</f>
        <v/>
      </c>
    </row>
    <row r="17" spans="1:49" ht="30" x14ac:dyDescent="0.25">
      <c r="A17" s="171" t="s">
        <v>97</v>
      </c>
      <c r="B17" s="168" t="str">
        <f>Telaah_PG!D15</f>
        <v>MATERI</v>
      </c>
      <c r="C17" s="9">
        <v>1</v>
      </c>
      <c r="D17" s="10" t="str">
        <f>Telaah_PG!F15</f>
        <v>Soal sesuai dengan indikator.</v>
      </c>
      <c r="E17" s="9">
        <f>Telaah_PG!BB15</f>
        <v>2</v>
      </c>
      <c r="F17" s="9">
        <f>Telaah_PG!BC15</f>
        <v>2</v>
      </c>
      <c r="G17" s="9">
        <f>Telaah_PG!BD15</f>
        <v>2</v>
      </c>
      <c r="H17" s="9">
        <f>Telaah_PG!BE15</f>
        <v>2</v>
      </c>
      <c r="I17" s="9">
        <f>Telaah_PG!BF15</f>
        <v>2</v>
      </c>
      <c r="J17" s="9">
        <f>Telaah_PG!BG15</f>
        <v>2</v>
      </c>
      <c r="K17" s="9">
        <f>Telaah_PG!BH15</f>
        <v>2</v>
      </c>
      <c r="L17" s="9">
        <f>Telaah_PG!BI15</f>
        <v>2</v>
      </c>
      <c r="M17" s="9">
        <f>Telaah_PG!BJ15</f>
        <v>2</v>
      </c>
      <c r="N17" s="9">
        <f>Telaah_PG!BK15</f>
        <v>2</v>
      </c>
      <c r="O17" s="9">
        <f>Telaah_PG!BL15</f>
        <v>2</v>
      </c>
      <c r="P17" s="9">
        <f>Telaah_PG!BM15</f>
        <v>2</v>
      </c>
      <c r="Q17" s="9">
        <f>Telaah_PG!BN15</f>
        <v>2</v>
      </c>
      <c r="R17" s="9">
        <f>Telaah_PG!BO15</f>
        <v>2</v>
      </c>
      <c r="S17" s="9">
        <f>Telaah_PG!BP15</f>
        <v>2</v>
      </c>
      <c r="T17" s="9">
        <f>Telaah_PG!BQ15</f>
        <v>2</v>
      </c>
      <c r="U17" s="9">
        <f>Telaah_PG!BR15</f>
        <v>2</v>
      </c>
      <c r="V17" s="9">
        <f>Telaah_PG!BS15</f>
        <v>2</v>
      </c>
      <c r="W17" s="9">
        <f>Telaah_PG!BT15</f>
        <v>2</v>
      </c>
      <c r="X17" s="9">
        <f>Telaah_PG!BU15</f>
        <v>2</v>
      </c>
      <c r="Y17" s="9">
        <f>Telaah_PG!BV15</f>
        <v>2</v>
      </c>
      <c r="Z17" s="9">
        <f>Telaah_PG!BW15</f>
        <v>2</v>
      </c>
      <c r="AA17" s="9">
        <f>Telaah_PG!BX15</f>
        <v>2</v>
      </c>
      <c r="AB17" s="9">
        <f>Telaah_PG!BY15</f>
        <v>2</v>
      </c>
      <c r="AC17" s="9">
        <f>Telaah_PG!BZ15</f>
        <v>2</v>
      </c>
      <c r="AD17" s="9">
        <f>Telaah_PG!CA15</f>
        <v>2</v>
      </c>
      <c r="AE17" s="9">
        <f>Telaah_PG!CB15</f>
        <v>2</v>
      </c>
      <c r="AF17" s="9">
        <f>Telaah_PG!CC15</f>
        <v>2</v>
      </c>
      <c r="AG17" s="9">
        <f>Telaah_PG!CD15</f>
        <v>2</v>
      </c>
      <c r="AH17" s="9">
        <f>Telaah_PG!CE15</f>
        <v>2</v>
      </c>
      <c r="AI17" s="9">
        <f>Telaah_PG!CF15</f>
        <v>2</v>
      </c>
      <c r="AJ17" s="9">
        <f>Telaah_PG!CG15</f>
        <v>2</v>
      </c>
      <c r="AK17" s="9">
        <f>Telaah_PG!CH15</f>
        <v>2</v>
      </c>
      <c r="AL17" s="9">
        <f>Telaah_PG!CI15</f>
        <v>2</v>
      </c>
      <c r="AM17" s="9">
        <f>Telaah_PG!CJ15</f>
        <v>2</v>
      </c>
      <c r="AN17" s="9">
        <f>Telaah_PG!CK15</f>
        <v>2</v>
      </c>
      <c r="AO17" s="9">
        <f>Telaah_PG!CL15</f>
        <v>2</v>
      </c>
      <c r="AP17" s="9">
        <f>Telaah_PG!CM15</f>
        <v>2</v>
      </c>
      <c r="AQ17" s="9">
        <f>Telaah_PG!CN15</f>
        <v>2</v>
      </c>
      <c r="AR17" s="9">
        <f>Telaah_PG!CO15</f>
        <v>2</v>
      </c>
      <c r="AS17" s="9" t="str">
        <f>Telaah_PG!CP15</f>
        <v/>
      </c>
      <c r="AT17" s="9" t="str">
        <f>Telaah_PG!CQ15</f>
        <v/>
      </c>
      <c r="AU17" s="9" t="str">
        <f>Telaah_PG!CR15</f>
        <v/>
      </c>
      <c r="AV17" s="9" t="str">
        <f>Telaah_PG!CS15</f>
        <v/>
      </c>
      <c r="AW17" s="9" t="str">
        <f>Telaah_PG!CT15</f>
        <v/>
      </c>
    </row>
    <row r="18" spans="1:49" ht="30" x14ac:dyDescent="0.25">
      <c r="A18" s="172"/>
      <c r="B18" s="169"/>
      <c r="C18" s="9">
        <v>2</v>
      </c>
      <c r="D18" s="10" t="str">
        <f>Telaah_PG!F17</f>
        <v xml:space="preserve">Pilihan jawaban homogen dan logis </v>
      </c>
      <c r="E18" s="9">
        <f>Telaah_PG!BB17</f>
        <v>2</v>
      </c>
      <c r="F18" s="9">
        <f>Telaah_PG!BC17</f>
        <v>2</v>
      </c>
      <c r="G18" s="9">
        <f>Telaah_PG!BD17</f>
        <v>2</v>
      </c>
      <c r="H18" s="9">
        <f>Telaah_PG!BE17</f>
        <v>2</v>
      </c>
      <c r="I18" s="9">
        <f>Telaah_PG!BF17</f>
        <v>2</v>
      </c>
      <c r="J18" s="9">
        <f>Telaah_PG!BG17</f>
        <v>2</v>
      </c>
      <c r="K18" s="9">
        <f>Telaah_PG!BH17</f>
        <v>2</v>
      </c>
      <c r="L18" s="9">
        <f>Telaah_PG!BI17</f>
        <v>2</v>
      </c>
      <c r="M18" s="9">
        <f>Telaah_PG!BJ17</f>
        <v>2</v>
      </c>
      <c r="N18" s="9">
        <f>Telaah_PG!BK17</f>
        <v>2</v>
      </c>
      <c r="O18" s="9">
        <f>Telaah_PG!BL17</f>
        <v>2</v>
      </c>
      <c r="P18" s="9">
        <f>Telaah_PG!BM17</f>
        <v>2</v>
      </c>
      <c r="Q18" s="9">
        <f>Telaah_PG!BN17</f>
        <v>2</v>
      </c>
      <c r="R18" s="9">
        <f>Telaah_PG!BO17</f>
        <v>2</v>
      </c>
      <c r="S18" s="9">
        <f>Telaah_PG!BP17</f>
        <v>2</v>
      </c>
      <c r="T18" s="9">
        <f>Telaah_PG!BQ17</f>
        <v>2</v>
      </c>
      <c r="U18" s="9">
        <f>Telaah_PG!BR17</f>
        <v>2</v>
      </c>
      <c r="V18" s="9">
        <f>Telaah_PG!BS17</f>
        <v>2</v>
      </c>
      <c r="W18" s="9">
        <f>Telaah_PG!BT17</f>
        <v>2</v>
      </c>
      <c r="X18" s="9">
        <f>Telaah_PG!BU17</f>
        <v>2</v>
      </c>
      <c r="Y18" s="9">
        <f>Telaah_PG!BV17</f>
        <v>2</v>
      </c>
      <c r="Z18" s="9">
        <f>Telaah_PG!BW17</f>
        <v>2</v>
      </c>
      <c r="AA18" s="9">
        <f>Telaah_PG!BX17</f>
        <v>2</v>
      </c>
      <c r="AB18" s="9">
        <f>Telaah_PG!BY17</f>
        <v>2</v>
      </c>
      <c r="AC18" s="9">
        <f>Telaah_PG!BZ17</f>
        <v>2</v>
      </c>
      <c r="AD18" s="9">
        <f>Telaah_PG!CA17</f>
        <v>2</v>
      </c>
      <c r="AE18" s="9">
        <f>Telaah_PG!CB17</f>
        <v>2</v>
      </c>
      <c r="AF18" s="9">
        <f>Telaah_PG!CC17</f>
        <v>2</v>
      </c>
      <c r="AG18" s="9">
        <f>Telaah_PG!CD17</f>
        <v>2</v>
      </c>
      <c r="AH18" s="9">
        <f>Telaah_PG!CE17</f>
        <v>2</v>
      </c>
      <c r="AI18" s="9">
        <f>Telaah_PG!CF17</f>
        <v>2</v>
      </c>
      <c r="AJ18" s="9">
        <f>Telaah_PG!CG17</f>
        <v>2</v>
      </c>
      <c r="AK18" s="9">
        <f>Telaah_PG!CH17</f>
        <v>2</v>
      </c>
      <c r="AL18" s="9">
        <f>Telaah_PG!CI17</f>
        <v>2</v>
      </c>
      <c r="AM18" s="9">
        <f>Telaah_PG!CJ17</f>
        <v>2</v>
      </c>
      <c r="AN18" s="9">
        <f>Telaah_PG!CK17</f>
        <v>2</v>
      </c>
      <c r="AO18" s="9">
        <f>Telaah_PG!CL17</f>
        <v>2</v>
      </c>
      <c r="AP18" s="9">
        <f>Telaah_PG!CM17</f>
        <v>2</v>
      </c>
      <c r="AQ18" s="9">
        <f>Telaah_PG!CN17</f>
        <v>2</v>
      </c>
      <c r="AR18" s="9">
        <f>Telaah_PG!CO17</f>
        <v>2</v>
      </c>
      <c r="AS18" s="9" t="str">
        <f>Telaah_PG!CP17</f>
        <v/>
      </c>
      <c r="AT18" s="9" t="str">
        <f>Telaah_PG!CQ17</f>
        <v/>
      </c>
      <c r="AU18" s="9" t="str">
        <f>Telaah_PG!CR17</f>
        <v/>
      </c>
      <c r="AV18" s="9" t="str">
        <f>Telaah_PG!CS17</f>
        <v/>
      </c>
      <c r="AW18" s="9" t="str">
        <f>Telaah_PG!CT17</f>
        <v/>
      </c>
    </row>
    <row r="19" spans="1:49" ht="45" x14ac:dyDescent="0.25">
      <c r="A19" s="173"/>
      <c r="B19" s="170"/>
      <c r="C19" s="9">
        <v>3</v>
      </c>
      <c r="D19" s="10" t="str">
        <f>Telaah_PG!F19</f>
        <v>Soal mempunyai satu jawaban yang benar atau yang paling benar.</v>
      </c>
      <c r="E19" s="9">
        <f>Telaah_PG!BB19</f>
        <v>2</v>
      </c>
      <c r="F19" s="9">
        <f>Telaah_PG!BC19</f>
        <v>2</v>
      </c>
      <c r="G19" s="9">
        <f>Telaah_PG!BD19</f>
        <v>2</v>
      </c>
      <c r="H19" s="9">
        <f>Telaah_PG!BE19</f>
        <v>2</v>
      </c>
      <c r="I19" s="9">
        <f>Telaah_PG!BF19</f>
        <v>2</v>
      </c>
      <c r="J19" s="9">
        <f>Telaah_PG!BG19</f>
        <v>2</v>
      </c>
      <c r="K19" s="9">
        <f>Telaah_PG!BH19</f>
        <v>2</v>
      </c>
      <c r="L19" s="9">
        <f>Telaah_PG!BI19</f>
        <v>2</v>
      </c>
      <c r="M19" s="9">
        <f>Telaah_PG!BJ19</f>
        <v>2</v>
      </c>
      <c r="N19" s="9">
        <f>Telaah_PG!BK19</f>
        <v>2</v>
      </c>
      <c r="O19" s="9">
        <f>Telaah_PG!BL19</f>
        <v>2</v>
      </c>
      <c r="P19" s="9">
        <f>Telaah_PG!BM19</f>
        <v>2</v>
      </c>
      <c r="Q19" s="9">
        <f>Telaah_PG!BN19</f>
        <v>2</v>
      </c>
      <c r="R19" s="9">
        <f>Telaah_PG!BO19</f>
        <v>2</v>
      </c>
      <c r="S19" s="9">
        <f>Telaah_PG!BP19</f>
        <v>2</v>
      </c>
      <c r="T19" s="9">
        <f>Telaah_PG!BQ19</f>
        <v>2</v>
      </c>
      <c r="U19" s="9">
        <f>Telaah_PG!BR19</f>
        <v>2</v>
      </c>
      <c r="V19" s="9">
        <f>Telaah_PG!BS19</f>
        <v>2</v>
      </c>
      <c r="W19" s="9">
        <f>Telaah_PG!BT19</f>
        <v>2</v>
      </c>
      <c r="X19" s="9">
        <f>Telaah_PG!BU19</f>
        <v>2</v>
      </c>
      <c r="Y19" s="9">
        <f>Telaah_PG!BV19</f>
        <v>2</v>
      </c>
      <c r="Z19" s="9">
        <f>Telaah_PG!BW19</f>
        <v>2</v>
      </c>
      <c r="AA19" s="9">
        <f>Telaah_PG!BX19</f>
        <v>2</v>
      </c>
      <c r="AB19" s="9">
        <f>Telaah_PG!BY19</f>
        <v>2</v>
      </c>
      <c r="AC19" s="9">
        <f>Telaah_PG!BZ19</f>
        <v>2</v>
      </c>
      <c r="AD19" s="9">
        <f>Telaah_PG!CA19</f>
        <v>2</v>
      </c>
      <c r="AE19" s="9">
        <f>Telaah_PG!CB19</f>
        <v>2</v>
      </c>
      <c r="AF19" s="9">
        <f>Telaah_PG!CC19</f>
        <v>2</v>
      </c>
      <c r="AG19" s="9">
        <f>Telaah_PG!CD19</f>
        <v>2</v>
      </c>
      <c r="AH19" s="9">
        <f>Telaah_PG!CE19</f>
        <v>2</v>
      </c>
      <c r="AI19" s="9">
        <f>Telaah_PG!CF19</f>
        <v>2</v>
      </c>
      <c r="AJ19" s="9">
        <f>Telaah_PG!CG19</f>
        <v>2</v>
      </c>
      <c r="AK19" s="9">
        <f>Telaah_PG!CH19</f>
        <v>2</v>
      </c>
      <c r="AL19" s="9">
        <f>Telaah_PG!CI19</f>
        <v>2</v>
      </c>
      <c r="AM19" s="9">
        <f>Telaah_PG!CJ19</f>
        <v>2</v>
      </c>
      <c r="AN19" s="9">
        <f>Telaah_PG!CK19</f>
        <v>2</v>
      </c>
      <c r="AO19" s="9">
        <f>Telaah_PG!CL19</f>
        <v>2</v>
      </c>
      <c r="AP19" s="9">
        <f>Telaah_PG!CM19</f>
        <v>2</v>
      </c>
      <c r="AQ19" s="9">
        <f>Telaah_PG!CN19</f>
        <v>2</v>
      </c>
      <c r="AR19" s="9">
        <f>Telaah_PG!CO19</f>
        <v>2</v>
      </c>
      <c r="AS19" s="9" t="str">
        <f>Telaah_PG!CP19</f>
        <v/>
      </c>
      <c r="AT19" s="9" t="str">
        <f>Telaah_PG!CQ19</f>
        <v/>
      </c>
      <c r="AU19" s="9" t="str">
        <f>Telaah_PG!CR19</f>
        <v/>
      </c>
      <c r="AV19" s="9" t="str">
        <f>Telaah_PG!CS19</f>
        <v/>
      </c>
      <c r="AW19" s="9" t="str">
        <f>Telaah_PG!CT19</f>
        <v/>
      </c>
    </row>
    <row r="20" spans="1:49" ht="30" x14ac:dyDescent="0.25">
      <c r="A20" s="171" t="s">
        <v>99</v>
      </c>
      <c r="B20" s="168" t="str">
        <f>Telaah_PG!D21</f>
        <v>KONSTRUKSI</v>
      </c>
      <c r="C20" s="9">
        <v>1</v>
      </c>
      <c r="D20" s="10" t="str">
        <f>Telaah_PG!F21</f>
        <v>Pokok soal dirumuskan secara jelas dan tegas.</v>
      </c>
      <c r="E20" s="9">
        <f>Telaah_PG!BB21</f>
        <v>2</v>
      </c>
      <c r="F20" s="9">
        <f>Telaah_PG!BC21</f>
        <v>2</v>
      </c>
      <c r="G20" s="9">
        <f>Telaah_PG!BD21</f>
        <v>2</v>
      </c>
      <c r="H20" s="9">
        <f>Telaah_PG!BE21</f>
        <v>2</v>
      </c>
      <c r="I20" s="9">
        <f>Telaah_PG!BF21</f>
        <v>2</v>
      </c>
      <c r="J20" s="9">
        <f>Telaah_PG!BG21</f>
        <v>2</v>
      </c>
      <c r="K20" s="9">
        <f>Telaah_PG!BH21</f>
        <v>2</v>
      </c>
      <c r="L20" s="9">
        <f>Telaah_PG!BI21</f>
        <v>2</v>
      </c>
      <c r="M20" s="9">
        <f>Telaah_PG!BJ21</f>
        <v>2</v>
      </c>
      <c r="N20" s="9">
        <f>Telaah_PG!BK21</f>
        <v>2</v>
      </c>
      <c r="O20" s="9">
        <f>Telaah_PG!BL21</f>
        <v>2</v>
      </c>
      <c r="P20" s="9">
        <f>Telaah_PG!BM21</f>
        <v>2</v>
      </c>
      <c r="Q20" s="9">
        <f>Telaah_PG!BN21</f>
        <v>2</v>
      </c>
      <c r="R20" s="9">
        <f>Telaah_PG!BO21</f>
        <v>2</v>
      </c>
      <c r="S20" s="9">
        <f>Telaah_PG!BP21</f>
        <v>2</v>
      </c>
      <c r="T20" s="9">
        <f>Telaah_PG!BQ21</f>
        <v>2</v>
      </c>
      <c r="U20" s="9">
        <f>Telaah_PG!BR21</f>
        <v>2</v>
      </c>
      <c r="V20" s="9">
        <f>Telaah_PG!BS21</f>
        <v>2</v>
      </c>
      <c r="W20" s="9">
        <f>Telaah_PG!BT21</f>
        <v>2</v>
      </c>
      <c r="X20" s="9">
        <f>Telaah_PG!BU21</f>
        <v>2</v>
      </c>
      <c r="Y20" s="9">
        <f>Telaah_PG!BV21</f>
        <v>2</v>
      </c>
      <c r="Z20" s="9">
        <f>Telaah_PG!BW21</f>
        <v>2</v>
      </c>
      <c r="AA20" s="9">
        <f>Telaah_PG!BX21</f>
        <v>2</v>
      </c>
      <c r="AB20" s="9">
        <f>Telaah_PG!BY21</f>
        <v>2</v>
      </c>
      <c r="AC20" s="9">
        <f>Telaah_PG!BZ21</f>
        <v>2</v>
      </c>
      <c r="AD20" s="9">
        <f>Telaah_PG!CA21</f>
        <v>2</v>
      </c>
      <c r="AE20" s="9">
        <f>Telaah_PG!CB21</f>
        <v>2</v>
      </c>
      <c r="AF20" s="9">
        <f>Telaah_PG!CC21</f>
        <v>2</v>
      </c>
      <c r="AG20" s="9">
        <f>Telaah_PG!CD21</f>
        <v>2</v>
      </c>
      <c r="AH20" s="9">
        <f>Telaah_PG!CE21</f>
        <v>2</v>
      </c>
      <c r="AI20" s="9">
        <f>Telaah_PG!CF21</f>
        <v>2</v>
      </c>
      <c r="AJ20" s="9">
        <f>Telaah_PG!CG21</f>
        <v>2</v>
      </c>
      <c r="AK20" s="9">
        <f>Telaah_PG!CH21</f>
        <v>2</v>
      </c>
      <c r="AL20" s="9">
        <f>Telaah_PG!CI21</f>
        <v>2</v>
      </c>
      <c r="AM20" s="9">
        <f>Telaah_PG!CJ21</f>
        <v>2</v>
      </c>
      <c r="AN20" s="9">
        <f>Telaah_PG!CK21</f>
        <v>2</v>
      </c>
      <c r="AO20" s="9">
        <f>Telaah_PG!CL21</f>
        <v>2</v>
      </c>
      <c r="AP20" s="9">
        <f>Telaah_PG!CM21</f>
        <v>2</v>
      </c>
      <c r="AQ20" s="9">
        <f>Telaah_PG!CN21</f>
        <v>2</v>
      </c>
      <c r="AR20" s="9">
        <f>Telaah_PG!CO21</f>
        <v>2</v>
      </c>
      <c r="AS20" s="9" t="str">
        <f>Telaah_PG!CP21</f>
        <v/>
      </c>
      <c r="AT20" s="9" t="str">
        <f>Telaah_PG!CQ21</f>
        <v/>
      </c>
      <c r="AU20" s="9" t="str">
        <f>Telaah_PG!CR21</f>
        <v/>
      </c>
      <c r="AV20" s="9" t="str">
        <f>Telaah_PG!CS21</f>
        <v/>
      </c>
      <c r="AW20" s="9" t="str">
        <f>Telaah_PG!CT21</f>
        <v/>
      </c>
    </row>
    <row r="21" spans="1:49" ht="60" x14ac:dyDescent="0.25">
      <c r="A21" s="172"/>
      <c r="B21" s="169"/>
      <c r="C21" s="9">
        <v>2</v>
      </c>
      <c r="D21" s="10" t="str">
        <f>Telaah_PG!F23</f>
        <v>Pokok soal dan pilihan jawaban merupakan pernyataan yang diperlukan</v>
      </c>
      <c r="E21" s="9">
        <f>Telaah_PG!BB23</f>
        <v>2</v>
      </c>
      <c r="F21" s="9">
        <f>Telaah_PG!BC23</f>
        <v>2</v>
      </c>
      <c r="G21" s="9">
        <f>Telaah_PG!BD23</f>
        <v>2</v>
      </c>
      <c r="H21" s="9">
        <f>Telaah_PG!BE23</f>
        <v>2</v>
      </c>
      <c r="I21" s="9">
        <f>Telaah_PG!BF23</f>
        <v>2</v>
      </c>
      <c r="J21" s="9">
        <f>Telaah_PG!BG23</f>
        <v>2</v>
      </c>
      <c r="K21" s="9">
        <f>Telaah_PG!BH23</f>
        <v>2</v>
      </c>
      <c r="L21" s="9">
        <f>Telaah_PG!BI23</f>
        <v>2</v>
      </c>
      <c r="M21" s="9">
        <f>Telaah_PG!BJ23</f>
        <v>2</v>
      </c>
      <c r="N21" s="9">
        <f>Telaah_PG!BK23</f>
        <v>2</v>
      </c>
      <c r="O21" s="9">
        <f>Telaah_PG!BL23</f>
        <v>2</v>
      </c>
      <c r="P21" s="9">
        <f>Telaah_PG!BM23</f>
        <v>2</v>
      </c>
      <c r="Q21" s="9">
        <f>Telaah_PG!BN23</f>
        <v>2</v>
      </c>
      <c r="R21" s="9">
        <f>Telaah_PG!BO23</f>
        <v>2</v>
      </c>
      <c r="S21" s="9">
        <f>Telaah_PG!BP23</f>
        <v>2</v>
      </c>
      <c r="T21" s="9">
        <f>Telaah_PG!BQ23</f>
        <v>2</v>
      </c>
      <c r="U21" s="9">
        <f>Telaah_PG!BR23</f>
        <v>2</v>
      </c>
      <c r="V21" s="9">
        <f>Telaah_PG!BS23</f>
        <v>2</v>
      </c>
      <c r="W21" s="9">
        <f>Telaah_PG!BT23</f>
        <v>2</v>
      </c>
      <c r="X21" s="9">
        <f>Telaah_PG!BU23</f>
        <v>2</v>
      </c>
      <c r="Y21" s="9">
        <f>Telaah_PG!BV23</f>
        <v>2</v>
      </c>
      <c r="Z21" s="9">
        <f>Telaah_PG!BW23</f>
        <v>2</v>
      </c>
      <c r="AA21" s="9">
        <f>Telaah_PG!BX23</f>
        <v>2</v>
      </c>
      <c r="AB21" s="9">
        <f>Telaah_PG!BY23</f>
        <v>2</v>
      </c>
      <c r="AC21" s="9">
        <f>Telaah_PG!BZ23</f>
        <v>2</v>
      </c>
      <c r="AD21" s="9">
        <f>Telaah_PG!CA23</f>
        <v>2</v>
      </c>
      <c r="AE21" s="9">
        <f>Telaah_PG!CB23</f>
        <v>2</v>
      </c>
      <c r="AF21" s="9">
        <f>Telaah_PG!CC23</f>
        <v>2</v>
      </c>
      <c r="AG21" s="9">
        <f>Telaah_PG!CD23</f>
        <v>2</v>
      </c>
      <c r="AH21" s="9">
        <f>Telaah_PG!CE23</f>
        <v>2</v>
      </c>
      <c r="AI21" s="9">
        <f>Telaah_PG!CF23</f>
        <v>2</v>
      </c>
      <c r="AJ21" s="9">
        <f>Telaah_PG!CG23</f>
        <v>2</v>
      </c>
      <c r="AK21" s="9">
        <f>Telaah_PG!CH23</f>
        <v>2</v>
      </c>
      <c r="AL21" s="9">
        <f>Telaah_PG!CI23</f>
        <v>2</v>
      </c>
      <c r="AM21" s="9">
        <f>Telaah_PG!CJ23</f>
        <v>2</v>
      </c>
      <c r="AN21" s="9">
        <f>Telaah_PG!CK23</f>
        <v>2</v>
      </c>
      <c r="AO21" s="9">
        <f>Telaah_PG!CL23</f>
        <v>2</v>
      </c>
      <c r="AP21" s="9">
        <f>Telaah_PG!CM23</f>
        <v>2</v>
      </c>
      <c r="AQ21" s="9">
        <f>Telaah_PG!CN23</f>
        <v>2</v>
      </c>
      <c r="AR21" s="9">
        <f>Telaah_PG!CO23</f>
        <v>2</v>
      </c>
      <c r="AS21" s="9" t="str">
        <f>Telaah_PG!CP23</f>
        <v/>
      </c>
      <c r="AT21" s="9" t="str">
        <f>Telaah_PG!CQ23</f>
        <v/>
      </c>
      <c r="AU21" s="9" t="str">
        <f>Telaah_PG!CR23</f>
        <v/>
      </c>
      <c r="AV21" s="9" t="str">
        <f>Telaah_PG!CS23</f>
        <v/>
      </c>
      <c r="AW21" s="9" t="str">
        <f>Telaah_PG!CT23</f>
        <v/>
      </c>
    </row>
    <row r="22" spans="1:49" ht="45" x14ac:dyDescent="0.25">
      <c r="A22" s="172"/>
      <c r="B22" s="169"/>
      <c r="C22" s="9">
        <v>3</v>
      </c>
      <c r="D22" s="10" t="str">
        <f>Telaah_PG!F25</f>
        <v>Pokok soal tidak memberi petunjuk ke arah jawaban benar.</v>
      </c>
      <c r="E22" s="9">
        <f>Telaah_PG!BB25</f>
        <v>2</v>
      </c>
      <c r="F22" s="9">
        <f>Telaah_PG!BC25</f>
        <v>2</v>
      </c>
      <c r="G22" s="9">
        <f>Telaah_PG!BD25</f>
        <v>2</v>
      </c>
      <c r="H22" s="9">
        <f>Telaah_PG!BE25</f>
        <v>2</v>
      </c>
      <c r="I22" s="9">
        <f>Telaah_PG!BF25</f>
        <v>2</v>
      </c>
      <c r="J22" s="9">
        <f>Telaah_PG!BG25</f>
        <v>2</v>
      </c>
      <c r="K22" s="9">
        <f>Telaah_PG!BH25</f>
        <v>2</v>
      </c>
      <c r="L22" s="9">
        <f>Telaah_PG!BI25</f>
        <v>2</v>
      </c>
      <c r="M22" s="9">
        <f>Telaah_PG!BJ25</f>
        <v>2</v>
      </c>
      <c r="N22" s="9">
        <f>Telaah_PG!BK25</f>
        <v>2</v>
      </c>
      <c r="O22" s="9">
        <f>Telaah_PG!BL25</f>
        <v>2</v>
      </c>
      <c r="P22" s="9">
        <f>Telaah_PG!BM25</f>
        <v>2</v>
      </c>
      <c r="Q22" s="9">
        <f>Telaah_PG!BN25</f>
        <v>2</v>
      </c>
      <c r="R22" s="9">
        <f>Telaah_PG!BO25</f>
        <v>2</v>
      </c>
      <c r="S22" s="9">
        <f>Telaah_PG!BP25</f>
        <v>2</v>
      </c>
      <c r="T22" s="9">
        <f>Telaah_PG!BQ25</f>
        <v>2</v>
      </c>
      <c r="U22" s="9">
        <f>Telaah_PG!BR25</f>
        <v>2</v>
      </c>
      <c r="V22" s="9">
        <f>Telaah_PG!BS25</f>
        <v>2</v>
      </c>
      <c r="W22" s="9">
        <f>Telaah_PG!BT25</f>
        <v>2</v>
      </c>
      <c r="X22" s="9">
        <f>Telaah_PG!BU25</f>
        <v>2</v>
      </c>
      <c r="Y22" s="9">
        <f>Telaah_PG!BV25</f>
        <v>2</v>
      </c>
      <c r="Z22" s="9">
        <f>Telaah_PG!BW25</f>
        <v>2</v>
      </c>
      <c r="AA22" s="9">
        <f>Telaah_PG!BX25</f>
        <v>2</v>
      </c>
      <c r="AB22" s="9">
        <f>Telaah_PG!BY25</f>
        <v>2</v>
      </c>
      <c r="AC22" s="9">
        <f>Telaah_PG!BZ25</f>
        <v>2</v>
      </c>
      <c r="AD22" s="9">
        <f>Telaah_PG!CA25</f>
        <v>2</v>
      </c>
      <c r="AE22" s="9">
        <f>Telaah_PG!CB25</f>
        <v>2</v>
      </c>
      <c r="AF22" s="9">
        <f>Telaah_PG!CC25</f>
        <v>2</v>
      </c>
      <c r="AG22" s="9">
        <f>Telaah_PG!CD25</f>
        <v>2</v>
      </c>
      <c r="AH22" s="9">
        <f>Telaah_PG!CE25</f>
        <v>2</v>
      </c>
      <c r="AI22" s="9">
        <f>Telaah_PG!CF25</f>
        <v>2</v>
      </c>
      <c r="AJ22" s="9">
        <f>Telaah_PG!CG25</f>
        <v>2</v>
      </c>
      <c r="AK22" s="9">
        <f>Telaah_PG!CH25</f>
        <v>2</v>
      </c>
      <c r="AL22" s="9">
        <f>Telaah_PG!CI25</f>
        <v>2</v>
      </c>
      <c r="AM22" s="9">
        <f>Telaah_PG!CJ25</f>
        <v>2</v>
      </c>
      <c r="AN22" s="9">
        <f>Telaah_PG!CK25</f>
        <v>2</v>
      </c>
      <c r="AO22" s="9">
        <f>Telaah_PG!CL25</f>
        <v>2</v>
      </c>
      <c r="AP22" s="9">
        <f>Telaah_PG!CM25</f>
        <v>2</v>
      </c>
      <c r="AQ22" s="9">
        <f>Telaah_PG!CN25</f>
        <v>2</v>
      </c>
      <c r="AR22" s="9">
        <f>Telaah_PG!CO25</f>
        <v>2</v>
      </c>
      <c r="AS22" s="9" t="str">
        <f>Telaah_PG!CP25</f>
        <v/>
      </c>
      <c r="AT22" s="9" t="str">
        <f>Telaah_PG!CQ25</f>
        <v/>
      </c>
      <c r="AU22" s="9" t="str">
        <f>Telaah_PG!CR25</f>
        <v/>
      </c>
      <c r="AV22" s="9" t="str">
        <f>Telaah_PG!CS25</f>
        <v/>
      </c>
      <c r="AW22" s="9" t="str">
        <f>Telaah_PG!CT25</f>
        <v/>
      </c>
    </row>
    <row r="23" spans="1:49" ht="60" x14ac:dyDescent="0.25">
      <c r="A23" s="172"/>
      <c r="B23" s="169"/>
      <c r="C23" s="9">
        <v>4</v>
      </c>
      <c r="D23" s="10" t="str">
        <f>Telaah_PG!F27</f>
        <v>Pokok soal tidak mengandung pernyataan yang bersifat negatif ganda.</v>
      </c>
      <c r="E23" s="9">
        <f>Telaah_PG!BB27</f>
        <v>2</v>
      </c>
      <c r="F23" s="9">
        <f>Telaah_PG!BC27</f>
        <v>2</v>
      </c>
      <c r="G23" s="9">
        <f>Telaah_PG!BD27</f>
        <v>2</v>
      </c>
      <c r="H23" s="9">
        <f>Telaah_PG!BE27</f>
        <v>2</v>
      </c>
      <c r="I23" s="9">
        <f>Telaah_PG!BF27</f>
        <v>2</v>
      </c>
      <c r="J23" s="9">
        <f>Telaah_PG!BG27</f>
        <v>2</v>
      </c>
      <c r="K23" s="9">
        <f>Telaah_PG!BH27</f>
        <v>2</v>
      </c>
      <c r="L23" s="9">
        <f>Telaah_PG!BI27</f>
        <v>2</v>
      </c>
      <c r="M23" s="9">
        <f>Telaah_PG!BJ27</f>
        <v>2</v>
      </c>
      <c r="N23" s="9">
        <f>Telaah_PG!BK27</f>
        <v>2</v>
      </c>
      <c r="O23" s="9">
        <f>Telaah_PG!BL27</f>
        <v>2</v>
      </c>
      <c r="P23" s="9">
        <f>Telaah_PG!BM27</f>
        <v>2</v>
      </c>
      <c r="Q23" s="9">
        <f>Telaah_PG!BN27</f>
        <v>2</v>
      </c>
      <c r="R23" s="9">
        <f>Telaah_PG!BO27</f>
        <v>2</v>
      </c>
      <c r="S23" s="9">
        <f>Telaah_PG!BP27</f>
        <v>2</v>
      </c>
      <c r="T23" s="9">
        <f>Telaah_PG!BQ27</f>
        <v>2</v>
      </c>
      <c r="U23" s="9">
        <f>Telaah_PG!BR27</f>
        <v>2</v>
      </c>
      <c r="V23" s="9">
        <f>Telaah_PG!BS27</f>
        <v>2</v>
      </c>
      <c r="W23" s="9">
        <f>Telaah_PG!BT27</f>
        <v>2</v>
      </c>
      <c r="X23" s="9">
        <f>Telaah_PG!BU27</f>
        <v>2</v>
      </c>
      <c r="Y23" s="9">
        <f>Telaah_PG!BV27</f>
        <v>2</v>
      </c>
      <c r="Z23" s="9">
        <f>Telaah_PG!BW27</f>
        <v>2</v>
      </c>
      <c r="AA23" s="9">
        <f>Telaah_PG!BX27</f>
        <v>2</v>
      </c>
      <c r="AB23" s="9">
        <f>Telaah_PG!BY27</f>
        <v>2</v>
      </c>
      <c r="AC23" s="9">
        <f>Telaah_PG!BZ27</f>
        <v>2</v>
      </c>
      <c r="AD23" s="9">
        <f>Telaah_PG!CA27</f>
        <v>2</v>
      </c>
      <c r="AE23" s="9">
        <f>Telaah_PG!CB27</f>
        <v>2</v>
      </c>
      <c r="AF23" s="9">
        <f>Telaah_PG!CC27</f>
        <v>2</v>
      </c>
      <c r="AG23" s="9">
        <f>Telaah_PG!CD27</f>
        <v>2</v>
      </c>
      <c r="AH23" s="9">
        <f>Telaah_PG!CE27</f>
        <v>2</v>
      </c>
      <c r="AI23" s="9">
        <f>Telaah_PG!CF27</f>
        <v>2</v>
      </c>
      <c r="AJ23" s="9">
        <f>Telaah_PG!CG27</f>
        <v>2</v>
      </c>
      <c r="AK23" s="9">
        <f>Telaah_PG!CH27</f>
        <v>2</v>
      </c>
      <c r="AL23" s="9">
        <f>Telaah_PG!CI27</f>
        <v>2</v>
      </c>
      <c r="AM23" s="9">
        <f>Telaah_PG!CJ27</f>
        <v>2</v>
      </c>
      <c r="AN23" s="9">
        <f>Telaah_PG!CK27</f>
        <v>2</v>
      </c>
      <c r="AO23" s="9">
        <f>Telaah_PG!CL27</f>
        <v>2</v>
      </c>
      <c r="AP23" s="9">
        <f>Telaah_PG!CM27</f>
        <v>2</v>
      </c>
      <c r="AQ23" s="9">
        <f>Telaah_PG!CN27</f>
        <v>2</v>
      </c>
      <c r="AR23" s="9">
        <f>Telaah_PG!CO27</f>
        <v>2</v>
      </c>
      <c r="AS23" s="9" t="str">
        <f>Telaah_PG!CP27</f>
        <v/>
      </c>
      <c r="AT23" s="9" t="str">
        <f>Telaah_PG!CQ27</f>
        <v/>
      </c>
      <c r="AU23" s="9" t="str">
        <f>Telaah_PG!CR27</f>
        <v/>
      </c>
      <c r="AV23" s="9" t="str">
        <f>Telaah_PG!CS27</f>
        <v/>
      </c>
      <c r="AW23" s="9" t="str">
        <f>Telaah_PG!CT27</f>
        <v/>
      </c>
    </row>
    <row r="24" spans="1:49" ht="45" x14ac:dyDescent="0.25">
      <c r="A24" s="172"/>
      <c r="B24" s="169"/>
      <c r="C24" s="9">
        <v>5</v>
      </c>
      <c r="D24" s="10" t="str">
        <f>Telaah_PG!F29</f>
        <v>Panjang rumusan pilihan jawaban harus relatif sama.</v>
      </c>
      <c r="E24" s="9">
        <f>Telaah_PG!BB29</f>
        <v>2</v>
      </c>
      <c r="F24" s="9">
        <f>Telaah_PG!BC29</f>
        <v>2</v>
      </c>
      <c r="G24" s="9">
        <f>Telaah_PG!BD29</f>
        <v>2</v>
      </c>
      <c r="H24" s="9">
        <f>Telaah_PG!BE29</f>
        <v>2</v>
      </c>
      <c r="I24" s="9">
        <f>Telaah_PG!BF29</f>
        <v>2</v>
      </c>
      <c r="J24" s="9">
        <f>Telaah_PG!BG29</f>
        <v>2</v>
      </c>
      <c r="K24" s="9">
        <f>Telaah_PG!BH29</f>
        <v>2</v>
      </c>
      <c r="L24" s="9">
        <f>Telaah_PG!BI29</f>
        <v>2</v>
      </c>
      <c r="M24" s="9">
        <f>Telaah_PG!BJ29</f>
        <v>2</v>
      </c>
      <c r="N24" s="9">
        <f>Telaah_PG!BK29</f>
        <v>2</v>
      </c>
      <c r="O24" s="9">
        <f>Telaah_PG!BL29</f>
        <v>2</v>
      </c>
      <c r="P24" s="9">
        <f>Telaah_PG!BM29</f>
        <v>2</v>
      </c>
      <c r="Q24" s="9">
        <f>Telaah_PG!BN29</f>
        <v>2</v>
      </c>
      <c r="R24" s="9">
        <f>Telaah_PG!BO29</f>
        <v>2</v>
      </c>
      <c r="S24" s="9">
        <f>Telaah_PG!BP29</f>
        <v>2</v>
      </c>
      <c r="T24" s="9">
        <f>Telaah_PG!BQ29</f>
        <v>2</v>
      </c>
      <c r="U24" s="9">
        <f>Telaah_PG!BR29</f>
        <v>2</v>
      </c>
      <c r="V24" s="9">
        <f>Telaah_PG!BS29</f>
        <v>2</v>
      </c>
      <c r="W24" s="9">
        <f>Telaah_PG!BT29</f>
        <v>2</v>
      </c>
      <c r="X24" s="9">
        <f>Telaah_PG!BU29</f>
        <v>2</v>
      </c>
      <c r="Y24" s="9">
        <f>Telaah_PG!BV29</f>
        <v>2</v>
      </c>
      <c r="Z24" s="9">
        <f>Telaah_PG!BW29</f>
        <v>2</v>
      </c>
      <c r="AA24" s="9">
        <f>Telaah_PG!BX29</f>
        <v>2</v>
      </c>
      <c r="AB24" s="9">
        <f>Telaah_PG!BY29</f>
        <v>2</v>
      </c>
      <c r="AC24" s="9">
        <f>Telaah_PG!BZ29</f>
        <v>2</v>
      </c>
      <c r="AD24" s="9">
        <f>Telaah_PG!CA29</f>
        <v>2</v>
      </c>
      <c r="AE24" s="9">
        <f>Telaah_PG!CB29</f>
        <v>2</v>
      </c>
      <c r="AF24" s="9">
        <f>Telaah_PG!CC29</f>
        <v>2</v>
      </c>
      <c r="AG24" s="9">
        <f>Telaah_PG!CD29</f>
        <v>2</v>
      </c>
      <c r="AH24" s="9">
        <f>Telaah_PG!CE29</f>
        <v>2</v>
      </c>
      <c r="AI24" s="9">
        <f>Telaah_PG!CF29</f>
        <v>2</v>
      </c>
      <c r="AJ24" s="9">
        <f>Telaah_PG!CG29</f>
        <v>2</v>
      </c>
      <c r="AK24" s="9">
        <f>Telaah_PG!CH29</f>
        <v>2</v>
      </c>
      <c r="AL24" s="9">
        <f>Telaah_PG!CI29</f>
        <v>2</v>
      </c>
      <c r="AM24" s="9">
        <f>Telaah_PG!CJ29</f>
        <v>2</v>
      </c>
      <c r="AN24" s="9">
        <f>Telaah_PG!CK29</f>
        <v>2</v>
      </c>
      <c r="AO24" s="9">
        <f>Telaah_PG!CL29</f>
        <v>2</v>
      </c>
      <c r="AP24" s="9">
        <f>Telaah_PG!CM29</f>
        <v>2</v>
      </c>
      <c r="AQ24" s="9">
        <f>Telaah_PG!CN29</f>
        <v>2</v>
      </c>
      <c r="AR24" s="9">
        <f>Telaah_PG!CO29</f>
        <v>2</v>
      </c>
      <c r="AS24" s="9" t="str">
        <f>Telaah_PG!CP29</f>
        <v/>
      </c>
      <c r="AT24" s="9" t="str">
        <f>Telaah_PG!CQ29</f>
        <v/>
      </c>
      <c r="AU24" s="9" t="str">
        <f>Telaah_PG!CR29</f>
        <v/>
      </c>
      <c r="AV24" s="9" t="str">
        <f>Telaah_PG!CS29</f>
        <v/>
      </c>
      <c r="AW24" s="9" t="str">
        <f>Telaah_PG!CT29</f>
        <v/>
      </c>
    </row>
    <row r="25" spans="1:49" ht="105" x14ac:dyDescent="0.25">
      <c r="A25" s="172"/>
      <c r="B25" s="169"/>
      <c r="C25" s="9">
        <v>6</v>
      </c>
      <c r="D25" s="10" t="str">
        <f>Telaah_PG!F31</f>
        <v>Pilihan jawaban jangan mengandung pernyataan, “Semua pilihan jawaban di atas salah” atau “Semua pilihan jawabandi atas benar”.</v>
      </c>
      <c r="E25" s="9">
        <f>Telaah_PG!BB31</f>
        <v>2</v>
      </c>
      <c r="F25" s="9">
        <f>Telaah_PG!BC31</f>
        <v>2</v>
      </c>
      <c r="G25" s="9">
        <f>Telaah_PG!BD31</f>
        <v>2</v>
      </c>
      <c r="H25" s="9">
        <f>Telaah_PG!BE31</f>
        <v>2</v>
      </c>
      <c r="I25" s="9">
        <f>Telaah_PG!BF31</f>
        <v>2</v>
      </c>
      <c r="J25" s="9">
        <f>Telaah_PG!BG31</f>
        <v>2</v>
      </c>
      <c r="K25" s="9">
        <f>Telaah_PG!BH31</f>
        <v>2</v>
      </c>
      <c r="L25" s="9">
        <f>Telaah_PG!BI31</f>
        <v>2</v>
      </c>
      <c r="M25" s="9">
        <f>Telaah_PG!BJ31</f>
        <v>2</v>
      </c>
      <c r="N25" s="9">
        <f>Telaah_PG!BK31</f>
        <v>2</v>
      </c>
      <c r="O25" s="9">
        <f>Telaah_PG!BL31</f>
        <v>2</v>
      </c>
      <c r="P25" s="9">
        <f>Telaah_PG!BM31</f>
        <v>2</v>
      </c>
      <c r="Q25" s="9">
        <f>Telaah_PG!BN31</f>
        <v>2</v>
      </c>
      <c r="R25" s="9">
        <f>Telaah_PG!BO31</f>
        <v>2</v>
      </c>
      <c r="S25" s="9">
        <f>Telaah_PG!BP31</f>
        <v>2</v>
      </c>
      <c r="T25" s="9">
        <f>Telaah_PG!BQ31</f>
        <v>2</v>
      </c>
      <c r="U25" s="9">
        <f>Telaah_PG!BR31</f>
        <v>2</v>
      </c>
      <c r="V25" s="9">
        <f>Telaah_PG!BS31</f>
        <v>2</v>
      </c>
      <c r="W25" s="9">
        <f>Telaah_PG!BT31</f>
        <v>2</v>
      </c>
      <c r="X25" s="9">
        <f>Telaah_PG!BU31</f>
        <v>2</v>
      </c>
      <c r="Y25" s="9">
        <f>Telaah_PG!BV31</f>
        <v>2</v>
      </c>
      <c r="Z25" s="9">
        <f>Telaah_PG!BW31</f>
        <v>2</v>
      </c>
      <c r="AA25" s="9">
        <f>Telaah_PG!BX31</f>
        <v>2</v>
      </c>
      <c r="AB25" s="9">
        <f>Telaah_PG!BY31</f>
        <v>2</v>
      </c>
      <c r="AC25" s="9">
        <f>Telaah_PG!BZ31</f>
        <v>2</v>
      </c>
      <c r="AD25" s="9">
        <f>Telaah_PG!CA31</f>
        <v>2</v>
      </c>
      <c r="AE25" s="9">
        <f>Telaah_PG!CB31</f>
        <v>2</v>
      </c>
      <c r="AF25" s="9">
        <f>Telaah_PG!CC31</f>
        <v>2</v>
      </c>
      <c r="AG25" s="9">
        <f>Telaah_PG!CD31</f>
        <v>2</v>
      </c>
      <c r="AH25" s="9">
        <f>Telaah_PG!CE31</f>
        <v>2</v>
      </c>
      <c r="AI25" s="9">
        <f>Telaah_PG!CF31</f>
        <v>2</v>
      </c>
      <c r="AJ25" s="9">
        <f>Telaah_PG!CG31</f>
        <v>2</v>
      </c>
      <c r="AK25" s="9">
        <f>Telaah_PG!CH31</f>
        <v>2</v>
      </c>
      <c r="AL25" s="9">
        <f>Telaah_PG!CI31</f>
        <v>2</v>
      </c>
      <c r="AM25" s="9">
        <f>Telaah_PG!CJ31</f>
        <v>2</v>
      </c>
      <c r="AN25" s="9">
        <f>Telaah_PG!CK31</f>
        <v>2</v>
      </c>
      <c r="AO25" s="9">
        <f>Telaah_PG!CL31</f>
        <v>2</v>
      </c>
      <c r="AP25" s="9">
        <f>Telaah_PG!CM31</f>
        <v>2</v>
      </c>
      <c r="AQ25" s="9">
        <f>Telaah_PG!CN31</f>
        <v>2</v>
      </c>
      <c r="AR25" s="9">
        <f>Telaah_PG!CO31</f>
        <v>2</v>
      </c>
      <c r="AS25" s="9" t="str">
        <f>Telaah_PG!CP31</f>
        <v/>
      </c>
      <c r="AT25" s="9" t="str">
        <f>Telaah_PG!CQ31</f>
        <v/>
      </c>
      <c r="AU25" s="9" t="str">
        <f>Telaah_PG!CR31</f>
        <v/>
      </c>
      <c r="AV25" s="9" t="str">
        <f>Telaah_PG!CS31</f>
        <v/>
      </c>
      <c r="AW25" s="9" t="str">
        <f>Telaah_PG!CT31</f>
        <v/>
      </c>
    </row>
    <row r="26" spans="1:49" ht="105" x14ac:dyDescent="0.25">
      <c r="A26" s="172"/>
      <c r="B26" s="169"/>
      <c r="C26" s="9">
        <v>7</v>
      </c>
      <c r="D26" s="10" t="str">
        <f>Telaah_PG!F33</f>
        <v>Pilihan jawaban yang berbentuk angka atau waktu harus disusun berdasarkan urutan besar kecilnya nilai angka tersebut atau kronologisnya.</v>
      </c>
      <c r="E26" s="9">
        <f>Telaah_PG!BB33</f>
        <v>2</v>
      </c>
      <c r="F26" s="9">
        <f>Telaah_PG!BC33</f>
        <v>2</v>
      </c>
      <c r="G26" s="9">
        <f>Telaah_PG!BD33</f>
        <v>2</v>
      </c>
      <c r="H26" s="9">
        <f>Telaah_PG!BE33</f>
        <v>2</v>
      </c>
      <c r="I26" s="9">
        <f>Telaah_PG!BF33</f>
        <v>2</v>
      </c>
      <c r="J26" s="9">
        <f>Telaah_PG!BG33</f>
        <v>2</v>
      </c>
      <c r="K26" s="9">
        <f>Telaah_PG!BH33</f>
        <v>2</v>
      </c>
      <c r="L26" s="9">
        <f>Telaah_PG!BI33</f>
        <v>2</v>
      </c>
      <c r="M26" s="9">
        <f>Telaah_PG!BJ33</f>
        <v>2</v>
      </c>
      <c r="N26" s="9">
        <f>Telaah_PG!BK33</f>
        <v>2</v>
      </c>
      <c r="O26" s="9">
        <f>Telaah_PG!BL33</f>
        <v>2</v>
      </c>
      <c r="P26" s="9">
        <f>Telaah_PG!BM33</f>
        <v>2</v>
      </c>
      <c r="Q26" s="9">
        <f>Telaah_PG!BN33</f>
        <v>2</v>
      </c>
      <c r="R26" s="9">
        <f>Telaah_PG!BO33</f>
        <v>2</v>
      </c>
      <c r="S26" s="9">
        <f>Telaah_PG!BP33</f>
        <v>2</v>
      </c>
      <c r="T26" s="9">
        <f>Telaah_PG!BQ33</f>
        <v>2</v>
      </c>
      <c r="U26" s="9">
        <f>Telaah_PG!BR33</f>
        <v>2</v>
      </c>
      <c r="V26" s="9">
        <f>Telaah_PG!BS33</f>
        <v>2</v>
      </c>
      <c r="W26" s="9">
        <f>Telaah_PG!BT33</f>
        <v>2</v>
      </c>
      <c r="X26" s="9">
        <f>Telaah_PG!BU33</f>
        <v>2</v>
      </c>
      <c r="Y26" s="9">
        <f>Telaah_PG!BV33</f>
        <v>2</v>
      </c>
      <c r="Z26" s="9">
        <f>Telaah_PG!BW33</f>
        <v>2</v>
      </c>
      <c r="AA26" s="9">
        <f>Telaah_PG!BX33</f>
        <v>2</v>
      </c>
      <c r="AB26" s="9">
        <f>Telaah_PG!BY33</f>
        <v>2</v>
      </c>
      <c r="AC26" s="9">
        <f>Telaah_PG!BZ33</f>
        <v>2</v>
      </c>
      <c r="AD26" s="9">
        <f>Telaah_PG!CA33</f>
        <v>2</v>
      </c>
      <c r="AE26" s="9">
        <f>Telaah_PG!CB33</f>
        <v>2</v>
      </c>
      <c r="AF26" s="9">
        <f>Telaah_PG!CC33</f>
        <v>2</v>
      </c>
      <c r="AG26" s="9">
        <f>Telaah_PG!CD33</f>
        <v>2</v>
      </c>
      <c r="AH26" s="9">
        <f>Telaah_PG!CE33</f>
        <v>2</v>
      </c>
      <c r="AI26" s="9">
        <f>Telaah_PG!CF33</f>
        <v>2</v>
      </c>
      <c r="AJ26" s="9">
        <f>Telaah_PG!CG33</f>
        <v>2</v>
      </c>
      <c r="AK26" s="9">
        <f>Telaah_PG!CH33</f>
        <v>2</v>
      </c>
      <c r="AL26" s="9">
        <f>Telaah_PG!CI33</f>
        <v>2</v>
      </c>
      <c r="AM26" s="9">
        <f>Telaah_PG!CJ33</f>
        <v>2</v>
      </c>
      <c r="AN26" s="9">
        <f>Telaah_PG!CK33</f>
        <v>2</v>
      </c>
      <c r="AO26" s="9">
        <f>Telaah_PG!CL33</f>
        <v>2</v>
      </c>
      <c r="AP26" s="9">
        <f>Telaah_PG!CM33</f>
        <v>2</v>
      </c>
      <c r="AQ26" s="9">
        <f>Telaah_PG!CN33</f>
        <v>2</v>
      </c>
      <c r="AR26" s="9">
        <f>Telaah_PG!CO33</f>
        <v>2</v>
      </c>
      <c r="AS26" s="9" t="str">
        <f>Telaah_PG!CP33</f>
        <v/>
      </c>
      <c r="AT26" s="9" t="str">
        <f>Telaah_PG!CQ33</f>
        <v/>
      </c>
      <c r="AU26" s="9" t="str">
        <f>Telaah_PG!CR33</f>
        <v/>
      </c>
      <c r="AV26" s="9" t="str">
        <f>Telaah_PG!CS33</f>
        <v/>
      </c>
      <c r="AW26" s="9" t="str">
        <f>Telaah_PG!CT33</f>
        <v/>
      </c>
    </row>
    <row r="27" spans="1:49" ht="90" x14ac:dyDescent="0.25">
      <c r="A27" s="172"/>
      <c r="B27" s="169"/>
      <c r="C27" s="9">
        <v>8</v>
      </c>
      <c r="D27" s="10" t="str">
        <f>Telaah_PG!F35</f>
        <v>Gambar, grafik, tabel, diagram, dan sejenisnya yang terdapat pada soal harus jelas dan berfungsi.</v>
      </c>
      <c r="E27" s="9">
        <f>Telaah_PG!BB33</f>
        <v>2</v>
      </c>
      <c r="F27" s="9">
        <f>Telaah_PG!BC33</f>
        <v>2</v>
      </c>
      <c r="G27" s="9">
        <f>Telaah_PG!BD33</f>
        <v>2</v>
      </c>
      <c r="H27" s="9">
        <f>Telaah_PG!BE33</f>
        <v>2</v>
      </c>
      <c r="I27" s="9">
        <f>Telaah_PG!BF33</f>
        <v>2</v>
      </c>
      <c r="J27" s="9">
        <f>Telaah_PG!BG33</f>
        <v>2</v>
      </c>
      <c r="K27" s="9">
        <f>Telaah_PG!BH33</f>
        <v>2</v>
      </c>
      <c r="L27" s="9">
        <f>Telaah_PG!BI33</f>
        <v>2</v>
      </c>
      <c r="M27" s="9">
        <f>Telaah_PG!BJ33</f>
        <v>2</v>
      </c>
      <c r="N27" s="9">
        <f>Telaah_PG!BK33</f>
        <v>2</v>
      </c>
      <c r="O27" s="9">
        <f>Telaah_PG!BL33</f>
        <v>2</v>
      </c>
      <c r="P27" s="9">
        <f>Telaah_PG!BM33</f>
        <v>2</v>
      </c>
      <c r="Q27" s="9">
        <f>Telaah_PG!BN33</f>
        <v>2</v>
      </c>
      <c r="R27" s="9">
        <f>Telaah_PG!BO33</f>
        <v>2</v>
      </c>
      <c r="S27" s="9">
        <f>Telaah_PG!BP33</f>
        <v>2</v>
      </c>
      <c r="T27" s="9">
        <f>Telaah_PG!BQ33</f>
        <v>2</v>
      </c>
      <c r="U27" s="9">
        <f>Telaah_PG!BR33</f>
        <v>2</v>
      </c>
      <c r="V27" s="9">
        <f>Telaah_PG!BS33</f>
        <v>2</v>
      </c>
      <c r="W27" s="9">
        <f>Telaah_PG!BT33</f>
        <v>2</v>
      </c>
      <c r="X27" s="9">
        <f>Telaah_PG!BU33</f>
        <v>2</v>
      </c>
      <c r="Y27" s="9">
        <f>Telaah_PG!BV33</f>
        <v>2</v>
      </c>
      <c r="Z27" s="9">
        <f>Telaah_PG!BW33</f>
        <v>2</v>
      </c>
      <c r="AA27" s="9">
        <f>Telaah_PG!BX33</f>
        <v>2</v>
      </c>
      <c r="AB27" s="9">
        <f>Telaah_PG!BY33</f>
        <v>2</v>
      </c>
      <c r="AC27" s="9">
        <f>Telaah_PG!BZ33</f>
        <v>2</v>
      </c>
      <c r="AD27" s="9">
        <f>Telaah_PG!CA33</f>
        <v>2</v>
      </c>
      <c r="AE27" s="9">
        <f>Telaah_PG!CB33</f>
        <v>2</v>
      </c>
      <c r="AF27" s="9">
        <f>Telaah_PG!CC33</f>
        <v>2</v>
      </c>
      <c r="AG27" s="9">
        <f>Telaah_PG!CD33</f>
        <v>2</v>
      </c>
      <c r="AH27" s="9">
        <f>Telaah_PG!CE33</f>
        <v>2</v>
      </c>
      <c r="AI27" s="9">
        <f>Telaah_PG!CF33</f>
        <v>2</v>
      </c>
      <c r="AJ27" s="9">
        <f>Telaah_PG!CG33</f>
        <v>2</v>
      </c>
      <c r="AK27" s="9">
        <f>Telaah_PG!CH33</f>
        <v>2</v>
      </c>
      <c r="AL27" s="9">
        <f>Telaah_PG!CI33</f>
        <v>2</v>
      </c>
      <c r="AM27" s="9">
        <f>Telaah_PG!CJ33</f>
        <v>2</v>
      </c>
      <c r="AN27" s="9">
        <f>Telaah_PG!CK33</f>
        <v>2</v>
      </c>
      <c r="AO27" s="9">
        <f>Telaah_PG!CL33</f>
        <v>2</v>
      </c>
      <c r="AP27" s="9">
        <f>Telaah_PG!CM33</f>
        <v>2</v>
      </c>
      <c r="AQ27" s="9">
        <f>Telaah_PG!CN33</f>
        <v>2</v>
      </c>
      <c r="AR27" s="9">
        <f>Telaah_PG!CO33</f>
        <v>2</v>
      </c>
      <c r="AS27" s="9" t="str">
        <f>Telaah_PG!CP33</f>
        <v/>
      </c>
      <c r="AT27" s="9" t="str">
        <f>Telaah_PG!CQ33</f>
        <v/>
      </c>
      <c r="AU27" s="9" t="str">
        <f>Telaah_PG!CR33</f>
        <v/>
      </c>
      <c r="AV27" s="9" t="str">
        <f>Telaah_PG!CS33</f>
        <v/>
      </c>
      <c r="AW27" s="9" t="str">
        <f>Telaah_PG!CT33</f>
        <v/>
      </c>
    </row>
    <row r="28" spans="1:49" ht="60" x14ac:dyDescent="0.25">
      <c r="A28" s="173"/>
      <c r="B28" s="170"/>
      <c r="C28" s="9">
        <v>9</v>
      </c>
      <c r="D28" s="10" t="str">
        <f>Telaah_PG!F37</f>
        <v>Butir soal tidak bergantung pada jawaban soal sebelumnya.</v>
      </c>
      <c r="E28" s="9">
        <f>Telaah_PG!BB37</f>
        <v>2</v>
      </c>
      <c r="F28" s="9">
        <f>Telaah_PG!BC37</f>
        <v>2</v>
      </c>
      <c r="G28" s="9">
        <f>Telaah_PG!BD37</f>
        <v>2</v>
      </c>
      <c r="H28" s="9">
        <f>Telaah_PG!BE37</f>
        <v>2</v>
      </c>
      <c r="I28" s="9">
        <f>Telaah_PG!BF37</f>
        <v>2</v>
      </c>
      <c r="J28" s="9">
        <f>Telaah_PG!BG37</f>
        <v>2</v>
      </c>
      <c r="K28" s="9">
        <f>Telaah_PG!BH37</f>
        <v>2</v>
      </c>
      <c r="L28" s="9">
        <f>Telaah_PG!BI37</f>
        <v>2</v>
      </c>
      <c r="M28" s="9">
        <f>Telaah_PG!BJ37</f>
        <v>2</v>
      </c>
      <c r="N28" s="9">
        <f>Telaah_PG!BK37</f>
        <v>2</v>
      </c>
      <c r="O28" s="9">
        <f>Telaah_PG!BL37</f>
        <v>2</v>
      </c>
      <c r="P28" s="9">
        <f>Telaah_PG!BM37</f>
        <v>2</v>
      </c>
      <c r="Q28" s="9">
        <f>Telaah_PG!BN37</f>
        <v>2</v>
      </c>
      <c r="R28" s="9">
        <f>Telaah_PG!BO37</f>
        <v>2</v>
      </c>
      <c r="S28" s="9">
        <f>Telaah_PG!BP37</f>
        <v>2</v>
      </c>
      <c r="T28" s="9">
        <f>Telaah_PG!BQ37</f>
        <v>2</v>
      </c>
      <c r="U28" s="9">
        <f>Telaah_PG!BR37</f>
        <v>2</v>
      </c>
      <c r="V28" s="9">
        <f>Telaah_PG!BS37</f>
        <v>2</v>
      </c>
      <c r="W28" s="9">
        <f>Telaah_PG!BT37</f>
        <v>2</v>
      </c>
      <c r="X28" s="9">
        <f>Telaah_PG!BU37</f>
        <v>2</v>
      </c>
      <c r="Y28" s="9">
        <f>Telaah_PG!BV37</f>
        <v>2</v>
      </c>
      <c r="Z28" s="9">
        <f>Telaah_PG!BW37</f>
        <v>2</v>
      </c>
      <c r="AA28" s="9">
        <f>Telaah_PG!BX37</f>
        <v>2</v>
      </c>
      <c r="AB28" s="9">
        <f>Telaah_PG!BY37</f>
        <v>2</v>
      </c>
      <c r="AC28" s="9">
        <f>Telaah_PG!BZ37</f>
        <v>2</v>
      </c>
      <c r="AD28" s="9">
        <f>Telaah_PG!CA37</f>
        <v>2</v>
      </c>
      <c r="AE28" s="9">
        <f>Telaah_PG!CB37</f>
        <v>2</v>
      </c>
      <c r="AF28" s="9">
        <f>Telaah_PG!CC37</f>
        <v>2</v>
      </c>
      <c r="AG28" s="9">
        <f>Telaah_PG!CD37</f>
        <v>2</v>
      </c>
      <c r="AH28" s="9">
        <f>Telaah_PG!CE37</f>
        <v>2</v>
      </c>
      <c r="AI28" s="9">
        <f>Telaah_PG!CF37</f>
        <v>2</v>
      </c>
      <c r="AJ28" s="9">
        <f>Telaah_PG!CG37</f>
        <v>2</v>
      </c>
      <c r="AK28" s="9">
        <f>Telaah_PG!CH37</f>
        <v>2</v>
      </c>
      <c r="AL28" s="9">
        <f>Telaah_PG!CI37</f>
        <v>2</v>
      </c>
      <c r="AM28" s="9">
        <f>Telaah_PG!CJ37</f>
        <v>2</v>
      </c>
      <c r="AN28" s="9">
        <f>Telaah_PG!CK37</f>
        <v>2</v>
      </c>
      <c r="AO28" s="9">
        <f>Telaah_PG!CL37</f>
        <v>2</v>
      </c>
      <c r="AP28" s="9">
        <f>Telaah_PG!CM37</f>
        <v>2</v>
      </c>
      <c r="AQ28" s="9">
        <f>Telaah_PG!CN37</f>
        <v>2</v>
      </c>
      <c r="AR28" s="9">
        <f>Telaah_PG!CO37</f>
        <v>2</v>
      </c>
      <c r="AS28" s="9" t="str">
        <f>Telaah_PG!CP37</f>
        <v/>
      </c>
      <c r="AT28" s="9" t="str">
        <f>Telaah_PG!CQ37</f>
        <v/>
      </c>
      <c r="AU28" s="9" t="str">
        <f>Telaah_PG!CR37</f>
        <v/>
      </c>
      <c r="AV28" s="9" t="str">
        <f>Telaah_PG!CS37</f>
        <v/>
      </c>
      <c r="AW28" s="9" t="str">
        <f>Telaah_PG!CT37</f>
        <v/>
      </c>
    </row>
    <row r="29" spans="1:49" ht="75" x14ac:dyDescent="0.25">
      <c r="A29" s="171" t="s">
        <v>100</v>
      </c>
      <c r="B29" s="168" t="str">
        <f>Telaah_PG!D39</f>
        <v>BAHASA</v>
      </c>
      <c r="C29" s="9">
        <v>1</v>
      </c>
      <c r="D29" s="10" t="str">
        <f>Telaah_PG!F39</f>
        <v>Setiap soal harus menggunakan bahasa yang sesuai dengan kaidah bahasa Indonesia.</v>
      </c>
      <c r="E29" s="9">
        <f>Telaah_PG!BB39</f>
        <v>2</v>
      </c>
      <c r="F29" s="9">
        <f>Telaah_PG!BC39</f>
        <v>2</v>
      </c>
      <c r="G29" s="9">
        <f>Telaah_PG!BD39</f>
        <v>2</v>
      </c>
      <c r="H29" s="9">
        <f>Telaah_PG!BE39</f>
        <v>2</v>
      </c>
      <c r="I29" s="9">
        <f>Telaah_PG!BF39</f>
        <v>2</v>
      </c>
      <c r="J29" s="9">
        <f>Telaah_PG!BG39</f>
        <v>2</v>
      </c>
      <c r="K29" s="9">
        <f>Telaah_PG!BH39</f>
        <v>2</v>
      </c>
      <c r="L29" s="9">
        <f>Telaah_PG!BI39</f>
        <v>2</v>
      </c>
      <c r="M29" s="9">
        <f>Telaah_PG!BJ39</f>
        <v>2</v>
      </c>
      <c r="N29" s="9">
        <f>Telaah_PG!BK39</f>
        <v>2</v>
      </c>
      <c r="O29" s="9">
        <f>Telaah_PG!BL39</f>
        <v>2</v>
      </c>
      <c r="P29" s="9">
        <f>Telaah_PG!BM39</f>
        <v>2</v>
      </c>
      <c r="Q29" s="9">
        <f>Telaah_PG!BN39</f>
        <v>2</v>
      </c>
      <c r="R29" s="9">
        <f>Telaah_PG!BO39</f>
        <v>2</v>
      </c>
      <c r="S29" s="9">
        <f>Telaah_PG!BP39</f>
        <v>2</v>
      </c>
      <c r="T29" s="9">
        <f>Telaah_PG!BQ39</f>
        <v>2</v>
      </c>
      <c r="U29" s="9">
        <f>Telaah_PG!BR39</f>
        <v>2</v>
      </c>
      <c r="V29" s="9">
        <f>Telaah_PG!BS39</f>
        <v>2</v>
      </c>
      <c r="W29" s="9">
        <f>Telaah_PG!BT39</f>
        <v>2</v>
      </c>
      <c r="X29" s="9">
        <f>Telaah_PG!BU39</f>
        <v>2</v>
      </c>
      <c r="Y29" s="9">
        <f>Telaah_PG!BV39</f>
        <v>2</v>
      </c>
      <c r="Z29" s="9">
        <f>Telaah_PG!BW39</f>
        <v>2</v>
      </c>
      <c r="AA29" s="9">
        <f>Telaah_PG!BX39</f>
        <v>2</v>
      </c>
      <c r="AB29" s="9">
        <f>Telaah_PG!BY39</f>
        <v>2</v>
      </c>
      <c r="AC29" s="9">
        <f>Telaah_PG!BZ39</f>
        <v>2</v>
      </c>
      <c r="AD29" s="9">
        <f>Telaah_PG!CA39</f>
        <v>2</v>
      </c>
      <c r="AE29" s="9">
        <f>Telaah_PG!CB39</f>
        <v>2</v>
      </c>
      <c r="AF29" s="9">
        <f>Telaah_PG!CC39</f>
        <v>2</v>
      </c>
      <c r="AG29" s="9">
        <f>Telaah_PG!CD39</f>
        <v>2</v>
      </c>
      <c r="AH29" s="9">
        <f>Telaah_PG!CE39</f>
        <v>2</v>
      </c>
      <c r="AI29" s="9">
        <f>Telaah_PG!CF39</f>
        <v>2</v>
      </c>
      <c r="AJ29" s="9">
        <f>Telaah_PG!CG39</f>
        <v>2</v>
      </c>
      <c r="AK29" s="9">
        <f>Telaah_PG!CH39</f>
        <v>2</v>
      </c>
      <c r="AL29" s="9">
        <f>Telaah_PG!CI39</f>
        <v>2</v>
      </c>
      <c r="AM29" s="9">
        <f>Telaah_PG!CJ39</f>
        <v>2</v>
      </c>
      <c r="AN29" s="9">
        <f>Telaah_PG!CK39</f>
        <v>2</v>
      </c>
      <c r="AO29" s="9">
        <f>Telaah_PG!CL39</f>
        <v>2</v>
      </c>
      <c r="AP29" s="9">
        <f>Telaah_PG!CM39</f>
        <v>2</v>
      </c>
      <c r="AQ29" s="9">
        <f>Telaah_PG!CN39</f>
        <v>2</v>
      </c>
      <c r="AR29" s="9">
        <f>Telaah_PG!CO39</f>
        <v>2</v>
      </c>
      <c r="AS29" s="9" t="str">
        <f>Telaah_PG!CP39</f>
        <v/>
      </c>
      <c r="AT29" s="9" t="str">
        <f>Telaah_PG!CQ39</f>
        <v/>
      </c>
      <c r="AU29" s="9" t="str">
        <f>Telaah_PG!CR39</f>
        <v/>
      </c>
      <c r="AV29" s="9" t="str">
        <f>Telaah_PG!CS39</f>
        <v/>
      </c>
      <c r="AW29" s="9" t="str">
        <f>Telaah_PG!CT39</f>
        <v/>
      </c>
    </row>
    <row r="30" spans="1:49" ht="90" x14ac:dyDescent="0.25">
      <c r="A30" s="172"/>
      <c r="B30" s="169"/>
      <c r="C30" s="9">
        <v>2</v>
      </c>
      <c r="D30" s="10" t="str">
        <f>Telaah_PG!F41</f>
        <v>Jangan menggunakan bahasa yang berlaku setempat jika soal akan digunakan untuk daerah lain atau nasional.</v>
      </c>
      <c r="E30" s="9">
        <f>Telaah_PG!BB41</f>
        <v>2</v>
      </c>
      <c r="F30" s="9">
        <f>Telaah_PG!BC41</f>
        <v>2</v>
      </c>
      <c r="G30" s="9">
        <f>Telaah_PG!BD41</f>
        <v>2</v>
      </c>
      <c r="H30" s="9">
        <f>Telaah_PG!BE41</f>
        <v>2</v>
      </c>
      <c r="I30" s="9">
        <f>Telaah_PG!BF41</f>
        <v>2</v>
      </c>
      <c r="J30" s="9">
        <f>Telaah_PG!BG41</f>
        <v>2</v>
      </c>
      <c r="K30" s="9">
        <f>Telaah_PG!BH41</f>
        <v>2</v>
      </c>
      <c r="L30" s="9">
        <f>Telaah_PG!BI41</f>
        <v>2</v>
      </c>
      <c r="M30" s="9">
        <f>Telaah_PG!BJ41</f>
        <v>2</v>
      </c>
      <c r="N30" s="9">
        <f>Telaah_PG!BK41</f>
        <v>2</v>
      </c>
      <c r="O30" s="9">
        <f>Telaah_PG!BL41</f>
        <v>2</v>
      </c>
      <c r="P30" s="9">
        <f>Telaah_PG!BM41</f>
        <v>2</v>
      </c>
      <c r="Q30" s="9">
        <f>Telaah_PG!BN41</f>
        <v>2</v>
      </c>
      <c r="R30" s="9">
        <f>Telaah_PG!BO41</f>
        <v>2</v>
      </c>
      <c r="S30" s="9">
        <f>Telaah_PG!BP41</f>
        <v>2</v>
      </c>
      <c r="T30" s="9">
        <f>Telaah_PG!BQ41</f>
        <v>2</v>
      </c>
      <c r="U30" s="9">
        <f>Telaah_PG!BR41</f>
        <v>2</v>
      </c>
      <c r="V30" s="9">
        <f>Telaah_PG!BS41</f>
        <v>2</v>
      </c>
      <c r="W30" s="9">
        <f>Telaah_PG!BT41</f>
        <v>2</v>
      </c>
      <c r="X30" s="9">
        <f>Telaah_PG!BU41</f>
        <v>2</v>
      </c>
      <c r="Y30" s="9">
        <f>Telaah_PG!BV41</f>
        <v>2</v>
      </c>
      <c r="Z30" s="9">
        <f>Telaah_PG!BW41</f>
        <v>2</v>
      </c>
      <c r="AA30" s="9">
        <f>Telaah_PG!BX41</f>
        <v>2</v>
      </c>
      <c r="AB30" s="9">
        <f>Telaah_PG!BY41</f>
        <v>2</v>
      </c>
      <c r="AC30" s="9">
        <f>Telaah_PG!BZ41</f>
        <v>2</v>
      </c>
      <c r="AD30" s="9">
        <f>Telaah_PG!CA41</f>
        <v>2</v>
      </c>
      <c r="AE30" s="9">
        <f>Telaah_PG!CB41</f>
        <v>2</v>
      </c>
      <c r="AF30" s="9">
        <f>Telaah_PG!CC41</f>
        <v>2</v>
      </c>
      <c r="AG30" s="9">
        <f>Telaah_PG!CD41</f>
        <v>2</v>
      </c>
      <c r="AH30" s="9">
        <f>Telaah_PG!CE41</f>
        <v>2</v>
      </c>
      <c r="AI30" s="9">
        <f>Telaah_PG!CF41</f>
        <v>2</v>
      </c>
      <c r="AJ30" s="9">
        <f>Telaah_PG!CG41</f>
        <v>2</v>
      </c>
      <c r="AK30" s="9">
        <f>Telaah_PG!CH41</f>
        <v>2</v>
      </c>
      <c r="AL30" s="9">
        <f>Telaah_PG!CI41</f>
        <v>2</v>
      </c>
      <c r="AM30" s="9">
        <f>Telaah_PG!CJ41</f>
        <v>2</v>
      </c>
      <c r="AN30" s="9">
        <f>Telaah_PG!CK41</f>
        <v>2</v>
      </c>
      <c r="AO30" s="9">
        <f>Telaah_PG!CL41</f>
        <v>2</v>
      </c>
      <c r="AP30" s="9">
        <f>Telaah_PG!CM41</f>
        <v>2</v>
      </c>
      <c r="AQ30" s="9">
        <f>Telaah_PG!CN41</f>
        <v>2</v>
      </c>
      <c r="AR30" s="9">
        <f>Telaah_PG!CO41</f>
        <v>2</v>
      </c>
      <c r="AS30" s="9" t="str">
        <f>Telaah_PG!CP41</f>
        <v/>
      </c>
      <c r="AT30" s="9" t="str">
        <f>Telaah_PG!CQ41</f>
        <v/>
      </c>
      <c r="AU30" s="9" t="str">
        <f>Telaah_PG!CR41</f>
        <v/>
      </c>
      <c r="AV30" s="9" t="str">
        <f>Telaah_PG!CS41</f>
        <v/>
      </c>
      <c r="AW30" s="9" t="str">
        <f>Telaah_PG!CT41</f>
        <v/>
      </c>
    </row>
    <row r="31" spans="1:49" ht="45" x14ac:dyDescent="0.25">
      <c r="A31" s="172"/>
      <c r="B31" s="169"/>
      <c r="C31" s="9">
        <v>3</v>
      </c>
      <c r="D31" s="10" t="str">
        <f>Telaah_PG!F43</f>
        <v>Setiap soal harus menggunakan bahasa yang komunikatif.</v>
      </c>
      <c r="E31" s="9">
        <f>Telaah_PG!BB43</f>
        <v>2</v>
      </c>
      <c r="F31" s="9">
        <f>Telaah_PG!BC43</f>
        <v>2</v>
      </c>
      <c r="G31" s="9">
        <f>Telaah_PG!BD43</f>
        <v>2</v>
      </c>
      <c r="H31" s="9">
        <f>Telaah_PG!BE43</f>
        <v>2</v>
      </c>
      <c r="I31" s="9">
        <f>Telaah_PG!BF43</f>
        <v>2</v>
      </c>
      <c r="J31" s="9">
        <f>Telaah_PG!BG43</f>
        <v>2</v>
      </c>
      <c r="K31" s="9">
        <f>Telaah_PG!BH43</f>
        <v>2</v>
      </c>
      <c r="L31" s="9">
        <f>Telaah_PG!BI43</f>
        <v>2</v>
      </c>
      <c r="M31" s="9">
        <f>Telaah_PG!BJ43</f>
        <v>2</v>
      </c>
      <c r="N31" s="9">
        <f>Telaah_PG!BK43</f>
        <v>2</v>
      </c>
      <c r="O31" s="9">
        <f>Telaah_PG!BL43</f>
        <v>2</v>
      </c>
      <c r="P31" s="9">
        <f>Telaah_PG!BM43</f>
        <v>2</v>
      </c>
      <c r="Q31" s="9">
        <f>Telaah_PG!BN43</f>
        <v>2</v>
      </c>
      <c r="R31" s="9">
        <f>Telaah_PG!BO43</f>
        <v>2</v>
      </c>
      <c r="S31" s="9">
        <f>Telaah_PG!BP43</f>
        <v>2</v>
      </c>
      <c r="T31" s="9">
        <f>Telaah_PG!BQ43</f>
        <v>2</v>
      </c>
      <c r="U31" s="9">
        <f>Telaah_PG!BR43</f>
        <v>2</v>
      </c>
      <c r="V31" s="9">
        <f>Telaah_PG!BS43</f>
        <v>2</v>
      </c>
      <c r="W31" s="9">
        <f>Telaah_PG!BT43</f>
        <v>2</v>
      </c>
      <c r="X31" s="9">
        <f>Telaah_PG!BU43</f>
        <v>2</v>
      </c>
      <c r="Y31" s="9">
        <f>Telaah_PG!BV43</f>
        <v>2</v>
      </c>
      <c r="Z31" s="9">
        <f>Telaah_PG!BW43</f>
        <v>2</v>
      </c>
      <c r="AA31" s="9">
        <f>Telaah_PG!BX43</f>
        <v>2</v>
      </c>
      <c r="AB31" s="9">
        <f>Telaah_PG!BY43</f>
        <v>2</v>
      </c>
      <c r="AC31" s="9">
        <f>Telaah_PG!BZ43</f>
        <v>2</v>
      </c>
      <c r="AD31" s="9">
        <f>Telaah_PG!CA43</f>
        <v>2</v>
      </c>
      <c r="AE31" s="9">
        <f>Telaah_PG!CB43</f>
        <v>2</v>
      </c>
      <c r="AF31" s="9">
        <f>Telaah_PG!CC43</f>
        <v>2</v>
      </c>
      <c r="AG31" s="9">
        <f>Telaah_PG!CD43</f>
        <v>2</v>
      </c>
      <c r="AH31" s="9">
        <f>Telaah_PG!CE43</f>
        <v>2</v>
      </c>
      <c r="AI31" s="9">
        <f>Telaah_PG!CF43</f>
        <v>2</v>
      </c>
      <c r="AJ31" s="9">
        <f>Telaah_PG!CG43</f>
        <v>2</v>
      </c>
      <c r="AK31" s="9">
        <f>Telaah_PG!CH43</f>
        <v>2</v>
      </c>
      <c r="AL31" s="9">
        <f>Telaah_PG!CI43</f>
        <v>2</v>
      </c>
      <c r="AM31" s="9">
        <f>Telaah_PG!CJ43</f>
        <v>2</v>
      </c>
      <c r="AN31" s="9">
        <f>Telaah_PG!CK43</f>
        <v>2</v>
      </c>
      <c r="AO31" s="9">
        <f>Telaah_PG!CL43</f>
        <v>2</v>
      </c>
      <c r="AP31" s="9">
        <f>Telaah_PG!CM43</f>
        <v>2</v>
      </c>
      <c r="AQ31" s="9">
        <f>Telaah_PG!CN43</f>
        <v>2</v>
      </c>
      <c r="AR31" s="9">
        <f>Telaah_PG!CO43</f>
        <v>2</v>
      </c>
      <c r="AS31" s="9" t="str">
        <f>Telaah_PG!CP43</f>
        <v/>
      </c>
      <c r="AT31" s="9" t="str">
        <f>Telaah_PG!CQ43</f>
        <v/>
      </c>
      <c r="AU31" s="9" t="str">
        <f>Telaah_PG!CR43</f>
        <v/>
      </c>
      <c r="AV31" s="9" t="str">
        <f>Telaah_PG!CS43</f>
        <v/>
      </c>
      <c r="AW31" s="9" t="str">
        <f>Telaah_PG!CT43</f>
        <v/>
      </c>
    </row>
    <row r="32" spans="1:49" ht="75" x14ac:dyDescent="0.25">
      <c r="A32" s="173"/>
      <c r="B32" s="170"/>
      <c r="C32" s="9">
        <v>4</v>
      </c>
      <c r="D32" s="10" t="str">
        <f>Telaah_PG!F45</f>
        <v>Setiap pilihan jawaban jangan mengulang kata atau frase yang bukan merupakan satu kesatuan pengertian</v>
      </c>
      <c r="E32" s="9">
        <f>Telaah_PG!BB45</f>
        <v>2</v>
      </c>
      <c r="F32" s="9">
        <f>Telaah_PG!BC45</f>
        <v>2</v>
      </c>
      <c r="G32" s="9">
        <f>Telaah_PG!BD45</f>
        <v>2</v>
      </c>
      <c r="H32" s="9">
        <f>Telaah_PG!BE45</f>
        <v>2</v>
      </c>
      <c r="I32" s="9">
        <f>Telaah_PG!BF45</f>
        <v>2</v>
      </c>
      <c r="J32" s="9">
        <f>Telaah_PG!BG45</f>
        <v>2</v>
      </c>
      <c r="K32" s="9">
        <f>Telaah_PG!BH45</f>
        <v>2</v>
      </c>
      <c r="L32" s="9">
        <f>Telaah_PG!BI45</f>
        <v>2</v>
      </c>
      <c r="M32" s="9">
        <f>Telaah_PG!BJ45</f>
        <v>2</v>
      </c>
      <c r="N32" s="9">
        <f>Telaah_PG!BK45</f>
        <v>2</v>
      </c>
      <c r="O32" s="9">
        <f>Telaah_PG!BL45</f>
        <v>2</v>
      </c>
      <c r="P32" s="9">
        <f>Telaah_PG!BM45</f>
        <v>2</v>
      </c>
      <c r="Q32" s="9">
        <f>Telaah_PG!BN45</f>
        <v>2</v>
      </c>
      <c r="R32" s="9">
        <f>Telaah_PG!BO45</f>
        <v>2</v>
      </c>
      <c r="S32" s="9">
        <f>Telaah_PG!BP45</f>
        <v>2</v>
      </c>
      <c r="T32" s="9">
        <f>Telaah_PG!BQ45</f>
        <v>2</v>
      </c>
      <c r="U32" s="9">
        <f>Telaah_PG!BR45</f>
        <v>2</v>
      </c>
      <c r="V32" s="9">
        <f>Telaah_PG!BS45</f>
        <v>2</v>
      </c>
      <c r="W32" s="9">
        <f>Telaah_PG!BT45</f>
        <v>2</v>
      </c>
      <c r="X32" s="9">
        <f>Telaah_PG!BU45</f>
        <v>2</v>
      </c>
      <c r="Y32" s="9">
        <f>Telaah_PG!BV45</f>
        <v>2</v>
      </c>
      <c r="Z32" s="9">
        <f>Telaah_PG!BW45</f>
        <v>2</v>
      </c>
      <c r="AA32" s="9">
        <f>Telaah_PG!BX45</f>
        <v>2</v>
      </c>
      <c r="AB32" s="9">
        <f>Telaah_PG!BY45</f>
        <v>2</v>
      </c>
      <c r="AC32" s="9">
        <f>Telaah_PG!BZ45</f>
        <v>2</v>
      </c>
      <c r="AD32" s="9">
        <f>Telaah_PG!CA45</f>
        <v>2</v>
      </c>
      <c r="AE32" s="9">
        <f>Telaah_PG!CB45</f>
        <v>2</v>
      </c>
      <c r="AF32" s="9">
        <f>Telaah_PG!CC45</f>
        <v>2</v>
      </c>
      <c r="AG32" s="9">
        <f>Telaah_PG!CD45</f>
        <v>2</v>
      </c>
      <c r="AH32" s="9">
        <f>Telaah_PG!CE45</f>
        <v>2</v>
      </c>
      <c r="AI32" s="9">
        <f>Telaah_PG!CF45</f>
        <v>2</v>
      </c>
      <c r="AJ32" s="9">
        <f>Telaah_PG!CG45</f>
        <v>2</v>
      </c>
      <c r="AK32" s="9">
        <f>Telaah_PG!CH45</f>
        <v>2</v>
      </c>
      <c r="AL32" s="9">
        <f>Telaah_PG!CI45</f>
        <v>2</v>
      </c>
      <c r="AM32" s="9">
        <f>Telaah_PG!CJ45</f>
        <v>2</v>
      </c>
      <c r="AN32" s="9">
        <f>Telaah_PG!CK45</f>
        <v>2</v>
      </c>
      <c r="AO32" s="9">
        <f>Telaah_PG!CL45</f>
        <v>2</v>
      </c>
      <c r="AP32" s="9">
        <f>Telaah_PG!CM45</f>
        <v>2</v>
      </c>
      <c r="AQ32" s="9">
        <f>Telaah_PG!CN45</f>
        <v>2</v>
      </c>
      <c r="AR32" s="9">
        <f>Telaah_PG!CO45</f>
        <v>2</v>
      </c>
      <c r="AS32" s="9" t="str">
        <f>Telaah_PG!CP45</f>
        <v/>
      </c>
      <c r="AT32" s="9" t="str">
        <f>Telaah_PG!CQ45</f>
        <v/>
      </c>
      <c r="AU32" s="9" t="str">
        <f>Telaah_PG!CR45</f>
        <v/>
      </c>
      <c r="AV32" s="9" t="str">
        <f>Telaah_PG!CS45</f>
        <v/>
      </c>
      <c r="AW32" s="9" t="str">
        <f>Telaah_PG!CT45</f>
        <v/>
      </c>
    </row>
    <row r="33" spans="1:49" ht="85.9" customHeight="1" x14ac:dyDescent="0.25">
      <c r="A33" s="176" t="s">
        <v>101</v>
      </c>
      <c r="B33" s="175" t="s">
        <v>37</v>
      </c>
      <c r="C33" s="9">
        <v>1</v>
      </c>
      <c r="D33" s="10" t="str">
        <f>Telaah_PG!F47</f>
        <v>Soal memuat stimulus (pernyataan, tabel, grafik, hasil dari percobaan yang dilakukan, laporan, bahan bacaan, hasil observasi, dll) menarik dan kontekstual</v>
      </c>
      <c r="E33" s="9">
        <f>Telaah_PG!BB47</f>
        <v>2</v>
      </c>
      <c r="F33" s="9">
        <f>Telaah_PG!BC47</f>
        <v>2</v>
      </c>
      <c r="G33" s="9">
        <f>Telaah_PG!BD47</f>
        <v>2</v>
      </c>
      <c r="H33" s="9">
        <f>Telaah_PG!BE47</f>
        <v>2</v>
      </c>
      <c r="I33" s="9">
        <f>Telaah_PG!BF47</f>
        <v>2</v>
      </c>
      <c r="J33" s="9">
        <f>Telaah_PG!BG47</f>
        <v>2</v>
      </c>
      <c r="K33" s="9">
        <f>Telaah_PG!BH47</f>
        <v>2</v>
      </c>
      <c r="L33" s="9">
        <f>Telaah_PG!BI47</f>
        <v>2</v>
      </c>
      <c r="M33" s="9">
        <f>Telaah_PG!BJ47</f>
        <v>2</v>
      </c>
      <c r="N33" s="9">
        <f>Telaah_PG!BK47</f>
        <v>2</v>
      </c>
      <c r="O33" s="9">
        <f>Telaah_PG!BL47</f>
        <v>2</v>
      </c>
      <c r="P33" s="9">
        <f>Telaah_PG!BM47</f>
        <v>2</v>
      </c>
      <c r="Q33" s="9">
        <f>Telaah_PG!BN47</f>
        <v>2</v>
      </c>
      <c r="R33" s="9">
        <f>Telaah_PG!BO47</f>
        <v>2</v>
      </c>
      <c r="S33" s="9">
        <f>Telaah_PG!BP47</f>
        <v>2</v>
      </c>
      <c r="T33" s="9">
        <f>Telaah_PG!BQ47</f>
        <v>2</v>
      </c>
      <c r="U33" s="9">
        <f>Telaah_PG!BR47</f>
        <v>2</v>
      </c>
      <c r="V33" s="9">
        <f>Telaah_PG!BS47</f>
        <v>2</v>
      </c>
      <c r="W33" s="9">
        <f>Telaah_PG!BT47</f>
        <v>2</v>
      </c>
      <c r="X33" s="9">
        <f>Telaah_PG!BU47</f>
        <v>2</v>
      </c>
      <c r="Y33" s="9">
        <f>Telaah_PG!BV47</f>
        <v>2</v>
      </c>
      <c r="Z33" s="9">
        <f>Telaah_PG!BW47</f>
        <v>2</v>
      </c>
      <c r="AA33" s="9">
        <f>Telaah_PG!BX47</f>
        <v>2</v>
      </c>
      <c r="AB33" s="9">
        <f>Telaah_PG!BY47</f>
        <v>2</v>
      </c>
      <c r="AC33" s="9">
        <f>Telaah_PG!BZ47</f>
        <v>2</v>
      </c>
      <c r="AD33" s="9">
        <f>Telaah_PG!CA47</f>
        <v>2</v>
      </c>
      <c r="AE33" s="9">
        <f>Telaah_PG!CB47</f>
        <v>2</v>
      </c>
      <c r="AF33" s="9">
        <f>Telaah_PG!CC47</f>
        <v>2</v>
      </c>
      <c r="AG33" s="9">
        <f>Telaah_PG!CD47</f>
        <v>2</v>
      </c>
      <c r="AH33" s="9">
        <f>Telaah_PG!CE47</f>
        <v>2</v>
      </c>
      <c r="AI33" s="9">
        <f>Telaah_PG!CF47</f>
        <v>2</v>
      </c>
      <c r="AJ33" s="9">
        <f>Telaah_PG!CG47</f>
        <v>2</v>
      </c>
      <c r="AK33" s="9">
        <f>Telaah_PG!CH47</f>
        <v>2</v>
      </c>
      <c r="AL33" s="9">
        <f>Telaah_PG!CI47</f>
        <v>2</v>
      </c>
      <c r="AM33" s="9">
        <f>Telaah_PG!CJ47</f>
        <v>2</v>
      </c>
      <c r="AN33" s="9">
        <f>Telaah_PG!CK47</f>
        <v>2</v>
      </c>
      <c r="AO33" s="9">
        <f>Telaah_PG!CL47</f>
        <v>2</v>
      </c>
      <c r="AP33" s="9">
        <f>Telaah_PG!CM47</f>
        <v>2</v>
      </c>
      <c r="AQ33" s="9">
        <f>Telaah_PG!CN47</f>
        <v>2</v>
      </c>
      <c r="AR33" s="9">
        <f>Telaah_PG!CO47</f>
        <v>2</v>
      </c>
      <c r="AS33" s="9" t="str">
        <f>Telaah_PG!CP47</f>
        <v/>
      </c>
      <c r="AT33" s="9" t="str">
        <f>Telaah_PG!CQ47</f>
        <v/>
      </c>
      <c r="AU33" s="9" t="str">
        <f>Telaah_PG!CR47</f>
        <v/>
      </c>
      <c r="AV33" s="9" t="str">
        <f>Telaah_PG!CS47</f>
        <v/>
      </c>
      <c r="AW33" s="9" t="str">
        <f>Telaah_PG!CT47</f>
        <v/>
      </c>
    </row>
    <row r="34" spans="1:49" ht="45" x14ac:dyDescent="0.25">
      <c r="A34" s="176"/>
      <c r="B34" s="175"/>
      <c r="C34" s="9">
        <v>2</v>
      </c>
      <c r="D34" s="10" t="str">
        <f>Telaah_PG!F52</f>
        <v xml:space="preserve">Soal mengukur cara berfikir logis atau proses penalaran </v>
      </c>
      <c r="E34" s="9">
        <f>Telaah_PG!BB52</f>
        <v>2</v>
      </c>
      <c r="F34" s="9">
        <f>Telaah_PG!BC52</f>
        <v>2</v>
      </c>
      <c r="G34" s="9">
        <f>Telaah_PG!BD52</f>
        <v>2</v>
      </c>
      <c r="H34" s="9">
        <f>Telaah_PG!BE52</f>
        <v>2</v>
      </c>
      <c r="I34" s="9">
        <f>Telaah_PG!BF52</f>
        <v>2</v>
      </c>
      <c r="J34" s="9">
        <f>Telaah_PG!BG52</f>
        <v>2</v>
      </c>
      <c r="K34" s="9">
        <f>Telaah_PG!BH52</f>
        <v>2</v>
      </c>
      <c r="L34" s="9">
        <f>Telaah_PG!BI52</f>
        <v>2</v>
      </c>
      <c r="M34" s="9">
        <f>Telaah_PG!BJ52</f>
        <v>2</v>
      </c>
      <c r="N34" s="9">
        <f>Telaah_PG!BK52</f>
        <v>2</v>
      </c>
      <c r="O34" s="9">
        <f>Telaah_PG!BL52</f>
        <v>2</v>
      </c>
      <c r="P34" s="9">
        <f>Telaah_PG!BM52</f>
        <v>2</v>
      </c>
      <c r="Q34" s="9">
        <f>Telaah_PG!BN52</f>
        <v>2</v>
      </c>
      <c r="R34" s="9">
        <f>Telaah_PG!BO52</f>
        <v>2</v>
      </c>
      <c r="S34" s="9">
        <f>Telaah_PG!BP52</f>
        <v>2</v>
      </c>
      <c r="T34" s="9">
        <f>Telaah_PG!BQ52</f>
        <v>2</v>
      </c>
      <c r="U34" s="9">
        <f>Telaah_PG!BR52</f>
        <v>2</v>
      </c>
      <c r="V34" s="9">
        <f>Telaah_PG!BS52</f>
        <v>2</v>
      </c>
      <c r="W34" s="9">
        <f>Telaah_PG!BT52</f>
        <v>2</v>
      </c>
      <c r="X34" s="9">
        <f>Telaah_PG!BU52</f>
        <v>2</v>
      </c>
      <c r="Y34" s="9">
        <f>Telaah_PG!BV52</f>
        <v>2</v>
      </c>
      <c r="Z34" s="9">
        <f>Telaah_PG!BW52</f>
        <v>2</v>
      </c>
      <c r="AA34" s="9">
        <f>Telaah_PG!BX52</f>
        <v>2</v>
      </c>
      <c r="AB34" s="9">
        <f>Telaah_PG!BY52</f>
        <v>2</v>
      </c>
      <c r="AC34" s="9">
        <f>Telaah_PG!BZ52</f>
        <v>2</v>
      </c>
      <c r="AD34" s="9">
        <f>Telaah_PG!CA52</f>
        <v>2</v>
      </c>
      <c r="AE34" s="9">
        <f>Telaah_PG!CB52</f>
        <v>2</v>
      </c>
      <c r="AF34" s="9">
        <f>Telaah_PG!CC52</f>
        <v>2</v>
      </c>
      <c r="AG34" s="9">
        <f>Telaah_PG!CD52</f>
        <v>2</v>
      </c>
      <c r="AH34" s="9">
        <f>Telaah_PG!CE52</f>
        <v>2</v>
      </c>
      <c r="AI34" s="9">
        <f>Telaah_PG!CF52</f>
        <v>2</v>
      </c>
      <c r="AJ34" s="9">
        <f>Telaah_PG!CG52</f>
        <v>2</v>
      </c>
      <c r="AK34" s="9">
        <f>Telaah_PG!CH52</f>
        <v>2</v>
      </c>
      <c r="AL34" s="9">
        <f>Telaah_PG!CI52</f>
        <v>2</v>
      </c>
      <c r="AM34" s="9">
        <f>Telaah_PG!CJ52</f>
        <v>2</v>
      </c>
      <c r="AN34" s="9">
        <f>Telaah_PG!CK52</f>
        <v>2</v>
      </c>
      <c r="AO34" s="9">
        <f>Telaah_PG!CL52</f>
        <v>2</v>
      </c>
      <c r="AP34" s="9">
        <f>Telaah_PG!CM52</f>
        <v>2</v>
      </c>
      <c r="AQ34" s="9">
        <f>Telaah_PG!CN52</f>
        <v>2</v>
      </c>
      <c r="AR34" s="9">
        <f>Telaah_PG!CO52</f>
        <v>2</v>
      </c>
      <c r="AS34" s="9" t="str">
        <f>Telaah_PG!CP52</f>
        <v/>
      </c>
      <c r="AT34" s="9" t="str">
        <f>Telaah_PG!CQ52</f>
        <v/>
      </c>
      <c r="AU34" s="9" t="str">
        <f>Telaah_PG!CR52</f>
        <v/>
      </c>
      <c r="AV34" s="9" t="str">
        <f>Telaah_PG!CS52</f>
        <v/>
      </c>
      <c r="AW34" s="9" t="str">
        <f>Telaah_PG!CT52</f>
        <v/>
      </c>
    </row>
    <row r="35" spans="1:49" ht="18" customHeight="1" x14ac:dyDescent="0.25">
      <c r="A35" s="9" t="s">
        <v>103</v>
      </c>
      <c r="B35" s="177" t="s">
        <v>110</v>
      </c>
      <c r="C35" s="177"/>
      <c r="D35" s="177"/>
      <c r="E35" s="17" t="str">
        <f>Telaah_PG!GG57</f>
        <v>C3</v>
      </c>
      <c r="F35" s="17" t="str">
        <f>Telaah_PG!GH57</f>
        <v>C2</v>
      </c>
      <c r="G35" s="17" t="str">
        <f>Telaah_PG!GI57</f>
        <v>C2</v>
      </c>
      <c r="H35" s="17" t="str">
        <f>Telaah_PG!GJ57</f>
        <v>C2</v>
      </c>
      <c r="I35" s="17" t="str">
        <f>Telaah_PG!GK57</f>
        <v>C2</v>
      </c>
      <c r="J35" s="17" t="str">
        <f>Telaah_PG!GL57</f>
        <v>C4</v>
      </c>
      <c r="K35" s="17" t="str">
        <f>Telaah_PG!GM57</f>
        <v>C4</v>
      </c>
      <c r="L35" s="17" t="str">
        <f>Telaah_PG!GN57</f>
        <v>C3</v>
      </c>
      <c r="M35" s="17" t="str">
        <f>Telaah_PG!GO57</f>
        <v>C3</v>
      </c>
      <c r="N35" s="17" t="str">
        <f>Telaah_PG!GP57</f>
        <v>C3</v>
      </c>
      <c r="O35" s="17" t="str">
        <f>Telaah_PG!GQ57</f>
        <v>C3</v>
      </c>
      <c r="P35" s="17" t="str">
        <f>Telaah_PG!GR57</f>
        <v>C3</v>
      </c>
      <c r="Q35" s="17" t="str">
        <f>Telaah_PG!GS57</f>
        <v>C3</v>
      </c>
      <c r="R35" s="17" t="str">
        <f>Telaah_PG!GT57</f>
        <v>C3</v>
      </c>
      <c r="S35" s="17" t="str">
        <f>Telaah_PG!GU57</f>
        <v>C3</v>
      </c>
      <c r="T35" s="17" t="str">
        <f>Telaah_PG!GV57</f>
        <v>C3</v>
      </c>
      <c r="U35" s="17" t="str">
        <f>Telaah_PG!GW57</f>
        <v>C3</v>
      </c>
      <c r="V35" s="17" t="str">
        <f>Telaah_PG!GX57</f>
        <v>C3</v>
      </c>
      <c r="W35" s="17" t="str">
        <f>Telaah_PG!GY57</f>
        <v>C3</v>
      </c>
      <c r="X35" s="17" t="str">
        <f>Telaah_PG!GZ57</f>
        <v>C3</v>
      </c>
      <c r="Y35" s="17" t="str">
        <f>Telaah_PG!HA57</f>
        <v>C3</v>
      </c>
      <c r="Z35" s="17" t="str">
        <f>Telaah_PG!HB57</f>
        <v>C3</v>
      </c>
      <c r="AA35" s="17" t="str">
        <f>Telaah_PG!HC57</f>
        <v>C3</v>
      </c>
      <c r="AB35" s="17" t="str">
        <f>Telaah_PG!HD57</f>
        <v>C3</v>
      </c>
      <c r="AC35" s="17" t="str">
        <f>Telaah_PG!HE57</f>
        <v>C4</v>
      </c>
      <c r="AD35" s="17" t="str">
        <f>Telaah_PG!HF57</f>
        <v>C3</v>
      </c>
      <c r="AE35" s="17" t="str">
        <f>Telaah_PG!HG57</f>
        <v>C2</v>
      </c>
      <c r="AF35" s="17" t="str">
        <f>Telaah_PG!HH57</f>
        <v>C3</v>
      </c>
      <c r="AG35" s="17" t="str">
        <f>Telaah_PG!HI57</f>
        <v>C3</v>
      </c>
      <c r="AH35" s="17" t="str">
        <f>Telaah_PG!HJ57</f>
        <v>C3</v>
      </c>
      <c r="AI35" s="17" t="str">
        <f>Telaah_PG!HK57</f>
        <v>C4</v>
      </c>
      <c r="AJ35" s="17" t="str">
        <f>Telaah_PG!HL57</f>
        <v>C4</v>
      </c>
      <c r="AK35" s="17" t="str">
        <f>Telaah_PG!HM57</f>
        <v>C4</v>
      </c>
      <c r="AL35" s="17" t="str">
        <f>Telaah_PG!HN57</f>
        <v>C4</v>
      </c>
      <c r="AM35" s="17" t="str">
        <f>Telaah_PG!HO57</f>
        <v>C4</v>
      </c>
      <c r="AN35" s="17" t="str">
        <f>Telaah_PG!HP57</f>
        <v>C2</v>
      </c>
      <c r="AO35" s="17" t="str">
        <f>Telaah_PG!HQ57</f>
        <v>C1</v>
      </c>
      <c r="AP35" s="17" t="str">
        <f>Telaah_PG!HR57</f>
        <v>C1</v>
      </c>
      <c r="AQ35" s="17" t="str">
        <f>Telaah_PG!HS57</f>
        <v>C3</v>
      </c>
      <c r="AR35" s="17" t="str">
        <f>Telaah_PG!HT57</f>
        <v>C3</v>
      </c>
      <c r="AS35" s="17" t="str">
        <f>Telaah_PG!HU57</f>
        <v/>
      </c>
      <c r="AT35" s="17" t="str">
        <f>Telaah_PG!HV57</f>
        <v/>
      </c>
      <c r="AU35" s="17" t="str">
        <f>Telaah_PG!HW57</f>
        <v/>
      </c>
      <c r="AV35" s="17" t="str">
        <f>Telaah_PG!HX57</f>
        <v/>
      </c>
      <c r="AW35" s="17" t="str">
        <f>Telaah_PG!HY57</f>
        <v/>
      </c>
    </row>
    <row r="36" spans="1:49" x14ac:dyDescent="0.25">
      <c r="A36" s="8"/>
      <c r="B36" s="174" t="s">
        <v>144</v>
      </c>
      <c r="C36" s="174"/>
      <c r="D36" s="174"/>
      <c r="E36" s="16">
        <f>SUM(E15:E34)</f>
        <v>40</v>
      </c>
      <c r="F36" s="16">
        <f t="shared" ref="F36:AR36" si="0">SUM(F15:F34)</f>
        <v>40</v>
      </c>
      <c r="G36" s="16">
        <f t="shared" si="0"/>
        <v>40</v>
      </c>
      <c r="H36" s="16">
        <f t="shared" si="0"/>
        <v>40</v>
      </c>
      <c r="I36" s="16">
        <f t="shared" si="0"/>
        <v>40</v>
      </c>
      <c r="J36" s="16">
        <f t="shared" si="0"/>
        <v>40</v>
      </c>
      <c r="K36" s="16">
        <f t="shared" si="0"/>
        <v>40</v>
      </c>
      <c r="L36" s="16">
        <f t="shared" si="0"/>
        <v>40</v>
      </c>
      <c r="M36" s="16">
        <f t="shared" si="0"/>
        <v>40</v>
      </c>
      <c r="N36" s="16">
        <f t="shared" si="0"/>
        <v>40</v>
      </c>
      <c r="O36" s="16">
        <f t="shared" si="0"/>
        <v>40</v>
      </c>
      <c r="P36" s="16">
        <f t="shared" si="0"/>
        <v>40</v>
      </c>
      <c r="Q36" s="16">
        <f t="shared" si="0"/>
        <v>40</v>
      </c>
      <c r="R36" s="16">
        <f t="shared" si="0"/>
        <v>40</v>
      </c>
      <c r="S36" s="16">
        <f t="shared" si="0"/>
        <v>40</v>
      </c>
      <c r="T36" s="16">
        <f t="shared" si="0"/>
        <v>40</v>
      </c>
      <c r="U36" s="16">
        <f t="shared" si="0"/>
        <v>40</v>
      </c>
      <c r="V36" s="16">
        <f t="shared" si="0"/>
        <v>40</v>
      </c>
      <c r="W36" s="16">
        <f t="shared" si="0"/>
        <v>40</v>
      </c>
      <c r="X36" s="16">
        <f t="shared" si="0"/>
        <v>40</v>
      </c>
      <c r="Y36" s="16">
        <f t="shared" si="0"/>
        <v>40</v>
      </c>
      <c r="Z36" s="16">
        <f t="shared" si="0"/>
        <v>40</v>
      </c>
      <c r="AA36" s="16">
        <f t="shared" si="0"/>
        <v>40</v>
      </c>
      <c r="AB36" s="16">
        <f t="shared" si="0"/>
        <v>40</v>
      </c>
      <c r="AC36" s="16">
        <f t="shared" si="0"/>
        <v>40</v>
      </c>
      <c r="AD36" s="16">
        <f t="shared" si="0"/>
        <v>40</v>
      </c>
      <c r="AE36" s="16">
        <f t="shared" si="0"/>
        <v>40</v>
      </c>
      <c r="AF36" s="16">
        <f t="shared" si="0"/>
        <v>40</v>
      </c>
      <c r="AG36" s="16">
        <f t="shared" si="0"/>
        <v>40</v>
      </c>
      <c r="AH36" s="16">
        <f t="shared" si="0"/>
        <v>40</v>
      </c>
      <c r="AI36" s="16">
        <f t="shared" si="0"/>
        <v>40</v>
      </c>
      <c r="AJ36" s="16">
        <f t="shared" si="0"/>
        <v>40</v>
      </c>
      <c r="AK36" s="16">
        <f t="shared" si="0"/>
        <v>40</v>
      </c>
      <c r="AL36" s="16">
        <f t="shared" si="0"/>
        <v>40</v>
      </c>
      <c r="AM36" s="16">
        <f t="shared" si="0"/>
        <v>40</v>
      </c>
      <c r="AN36" s="16">
        <f t="shared" si="0"/>
        <v>40</v>
      </c>
      <c r="AO36" s="16">
        <f t="shared" si="0"/>
        <v>40</v>
      </c>
      <c r="AP36" s="16">
        <f t="shared" si="0"/>
        <v>40</v>
      </c>
      <c r="AQ36" s="16">
        <f t="shared" si="0"/>
        <v>40</v>
      </c>
      <c r="AR36" s="16">
        <f t="shared" si="0"/>
        <v>40</v>
      </c>
      <c r="AS36" s="16">
        <f t="shared" ref="AS36:AW36" si="1">SUM(AS15:AS34)</f>
        <v>0</v>
      </c>
      <c r="AT36" s="16">
        <f t="shared" si="1"/>
        <v>0</v>
      </c>
      <c r="AU36" s="16">
        <f t="shared" si="1"/>
        <v>0</v>
      </c>
      <c r="AV36" s="16">
        <f t="shared" si="1"/>
        <v>0</v>
      </c>
      <c r="AW36" s="16">
        <f t="shared" si="1"/>
        <v>0</v>
      </c>
    </row>
    <row r="37" spans="1:49" x14ac:dyDescent="0.25">
      <c r="A37" s="8"/>
      <c r="B37" s="174" t="s">
        <v>154</v>
      </c>
      <c r="C37" s="174"/>
      <c r="D37" s="174"/>
      <c r="E37" s="62">
        <f>E36/40*100</f>
        <v>100</v>
      </c>
      <c r="F37" s="62">
        <f t="shared" ref="F37:AR37" si="2">F36/40*100</f>
        <v>100</v>
      </c>
      <c r="G37" s="62">
        <f t="shared" si="2"/>
        <v>100</v>
      </c>
      <c r="H37" s="62">
        <f t="shared" si="2"/>
        <v>100</v>
      </c>
      <c r="I37" s="62">
        <f t="shared" si="2"/>
        <v>100</v>
      </c>
      <c r="J37" s="62">
        <f t="shared" si="2"/>
        <v>100</v>
      </c>
      <c r="K37" s="62">
        <f t="shared" si="2"/>
        <v>100</v>
      </c>
      <c r="L37" s="62">
        <f t="shared" si="2"/>
        <v>100</v>
      </c>
      <c r="M37" s="62">
        <f t="shared" si="2"/>
        <v>100</v>
      </c>
      <c r="N37" s="62">
        <f t="shared" si="2"/>
        <v>100</v>
      </c>
      <c r="O37" s="62">
        <f t="shared" si="2"/>
        <v>100</v>
      </c>
      <c r="P37" s="62">
        <f t="shared" si="2"/>
        <v>100</v>
      </c>
      <c r="Q37" s="62">
        <f t="shared" si="2"/>
        <v>100</v>
      </c>
      <c r="R37" s="62">
        <f t="shared" si="2"/>
        <v>100</v>
      </c>
      <c r="S37" s="62">
        <f t="shared" si="2"/>
        <v>100</v>
      </c>
      <c r="T37" s="62">
        <f t="shared" si="2"/>
        <v>100</v>
      </c>
      <c r="U37" s="62">
        <f t="shared" si="2"/>
        <v>100</v>
      </c>
      <c r="V37" s="62">
        <f t="shared" si="2"/>
        <v>100</v>
      </c>
      <c r="W37" s="62">
        <f t="shared" si="2"/>
        <v>100</v>
      </c>
      <c r="X37" s="62">
        <f t="shared" si="2"/>
        <v>100</v>
      </c>
      <c r="Y37" s="62">
        <f t="shared" si="2"/>
        <v>100</v>
      </c>
      <c r="Z37" s="62">
        <f t="shared" si="2"/>
        <v>100</v>
      </c>
      <c r="AA37" s="62">
        <f t="shared" si="2"/>
        <v>100</v>
      </c>
      <c r="AB37" s="62">
        <f t="shared" si="2"/>
        <v>100</v>
      </c>
      <c r="AC37" s="62">
        <f t="shared" si="2"/>
        <v>100</v>
      </c>
      <c r="AD37" s="62">
        <f t="shared" si="2"/>
        <v>100</v>
      </c>
      <c r="AE37" s="62">
        <f t="shared" si="2"/>
        <v>100</v>
      </c>
      <c r="AF37" s="62">
        <f t="shared" si="2"/>
        <v>100</v>
      </c>
      <c r="AG37" s="62">
        <f t="shared" si="2"/>
        <v>100</v>
      </c>
      <c r="AH37" s="62">
        <f t="shared" si="2"/>
        <v>100</v>
      </c>
      <c r="AI37" s="62">
        <f t="shared" si="2"/>
        <v>100</v>
      </c>
      <c r="AJ37" s="62">
        <f t="shared" si="2"/>
        <v>100</v>
      </c>
      <c r="AK37" s="62">
        <f t="shared" si="2"/>
        <v>100</v>
      </c>
      <c r="AL37" s="62">
        <f t="shared" si="2"/>
        <v>100</v>
      </c>
      <c r="AM37" s="62">
        <f t="shared" si="2"/>
        <v>100</v>
      </c>
      <c r="AN37" s="62">
        <f t="shared" si="2"/>
        <v>100</v>
      </c>
      <c r="AO37" s="62">
        <f t="shared" si="2"/>
        <v>100</v>
      </c>
      <c r="AP37" s="62">
        <f t="shared" si="2"/>
        <v>100</v>
      </c>
      <c r="AQ37" s="62">
        <f t="shared" si="2"/>
        <v>100</v>
      </c>
      <c r="AR37" s="62">
        <f t="shared" si="2"/>
        <v>100</v>
      </c>
      <c r="AS37" s="62">
        <f t="shared" ref="AS37:AW37" si="3">AS36/40*100</f>
        <v>0</v>
      </c>
      <c r="AT37" s="62">
        <f t="shared" si="3"/>
        <v>0</v>
      </c>
      <c r="AU37" s="62">
        <f t="shared" si="3"/>
        <v>0</v>
      </c>
      <c r="AV37" s="62">
        <f t="shared" si="3"/>
        <v>0</v>
      </c>
      <c r="AW37" s="62">
        <f t="shared" si="3"/>
        <v>0</v>
      </c>
    </row>
    <row r="38" spans="1:49" hidden="1" x14ac:dyDescent="0.25">
      <c r="A38" s="8"/>
      <c r="B38" s="174" t="s">
        <v>150</v>
      </c>
      <c r="C38" s="174"/>
      <c r="D38" s="174"/>
      <c r="E38" s="11" t="str">
        <f>IF(E37="","",IF(E37&lt;80.5,"D",IF(AND(E37&gt;=80.5,E37&lt;90.5),"R","G")))</f>
        <v>G</v>
      </c>
      <c r="F38" s="11" t="str">
        <f t="shared" ref="F38:AR38" si="4">IF(F37="","",IF(F37&lt;80.5,"D",IF(AND(F37&gt;=80.5,F37&lt;90.5),"R","G")))</f>
        <v>G</v>
      </c>
      <c r="G38" s="11" t="str">
        <f t="shared" si="4"/>
        <v>G</v>
      </c>
      <c r="H38" s="11" t="str">
        <f t="shared" si="4"/>
        <v>G</v>
      </c>
      <c r="I38" s="11" t="str">
        <f t="shared" si="4"/>
        <v>G</v>
      </c>
      <c r="J38" s="11" t="str">
        <f t="shared" si="4"/>
        <v>G</v>
      </c>
      <c r="K38" s="11" t="str">
        <f t="shared" si="4"/>
        <v>G</v>
      </c>
      <c r="L38" s="11" t="str">
        <f t="shared" si="4"/>
        <v>G</v>
      </c>
      <c r="M38" s="11" t="str">
        <f t="shared" si="4"/>
        <v>G</v>
      </c>
      <c r="N38" s="11" t="str">
        <f t="shared" si="4"/>
        <v>G</v>
      </c>
      <c r="O38" s="11" t="str">
        <f t="shared" si="4"/>
        <v>G</v>
      </c>
      <c r="P38" s="11" t="str">
        <f t="shared" si="4"/>
        <v>G</v>
      </c>
      <c r="Q38" s="11" t="str">
        <f t="shared" si="4"/>
        <v>G</v>
      </c>
      <c r="R38" s="11" t="str">
        <f t="shared" si="4"/>
        <v>G</v>
      </c>
      <c r="S38" s="11" t="str">
        <f t="shared" si="4"/>
        <v>G</v>
      </c>
      <c r="T38" s="11" t="str">
        <f t="shared" si="4"/>
        <v>G</v>
      </c>
      <c r="U38" s="11" t="str">
        <f t="shared" si="4"/>
        <v>G</v>
      </c>
      <c r="V38" s="11" t="str">
        <f t="shared" si="4"/>
        <v>G</v>
      </c>
      <c r="W38" s="11" t="str">
        <f t="shared" si="4"/>
        <v>G</v>
      </c>
      <c r="X38" s="11" t="str">
        <f t="shared" si="4"/>
        <v>G</v>
      </c>
      <c r="Y38" s="11" t="str">
        <f t="shared" si="4"/>
        <v>G</v>
      </c>
      <c r="Z38" s="11" t="str">
        <f t="shared" si="4"/>
        <v>G</v>
      </c>
      <c r="AA38" s="11" t="str">
        <f t="shared" si="4"/>
        <v>G</v>
      </c>
      <c r="AB38" s="11" t="str">
        <f t="shared" si="4"/>
        <v>G</v>
      </c>
      <c r="AC38" s="11" t="str">
        <f t="shared" si="4"/>
        <v>G</v>
      </c>
      <c r="AD38" s="11" t="str">
        <f t="shared" si="4"/>
        <v>G</v>
      </c>
      <c r="AE38" s="11" t="str">
        <f t="shared" si="4"/>
        <v>G</v>
      </c>
      <c r="AF38" s="11" t="str">
        <f t="shared" si="4"/>
        <v>G</v>
      </c>
      <c r="AG38" s="11" t="str">
        <f t="shared" si="4"/>
        <v>G</v>
      </c>
      <c r="AH38" s="11" t="str">
        <f t="shared" si="4"/>
        <v>G</v>
      </c>
      <c r="AI38" s="11" t="str">
        <f t="shared" si="4"/>
        <v>G</v>
      </c>
      <c r="AJ38" s="11" t="str">
        <f t="shared" si="4"/>
        <v>G</v>
      </c>
      <c r="AK38" s="11" t="str">
        <f t="shared" si="4"/>
        <v>G</v>
      </c>
      <c r="AL38" s="11" t="str">
        <f t="shared" si="4"/>
        <v>G</v>
      </c>
      <c r="AM38" s="11" t="str">
        <f t="shared" si="4"/>
        <v>G</v>
      </c>
      <c r="AN38" s="11" t="str">
        <f t="shared" si="4"/>
        <v>G</v>
      </c>
      <c r="AO38" s="11" t="str">
        <f t="shared" si="4"/>
        <v>G</v>
      </c>
      <c r="AP38" s="11" t="str">
        <f t="shared" si="4"/>
        <v>G</v>
      </c>
      <c r="AQ38" s="11" t="str">
        <f t="shared" si="4"/>
        <v>G</v>
      </c>
      <c r="AR38" s="11" t="str">
        <f t="shared" si="4"/>
        <v>G</v>
      </c>
      <c r="AS38" s="11" t="str">
        <f t="shared" ref="AS38:AW38" si="5">IF(AS37="","",IF(AS37&lt;80.5,"D",IF(AND(AS37&gt;=80.5,AS37&lt;90.5),"R","G")))</f>
        <v>D</v>
      </c>
      <c r="AT38" s="11" t="str">
        <f t="shared" si="5"/>
        <v>D</v>
      </c>
      <c r="AU38" s="11" t="str">
        <f t="shared" si="5"/>
        <v>D</v>
      </c>
      <c r="AV38" s="11" t="str">
        <f t="shared" si="5"/>
        <v>D</v>
      </c>
      <c r="AW38" s="11" t="str">
        <f t="shared" si="5"/>
        <v>D</v>
      </c>
    </row>
    <row r="39" spans="1:49" ht="61.9" customHeight="1" x14ac:dyDescent="0.25">
      <c r="A39" s="8"/>
      <c r="B39" s="167" t="s">
        <v>151</v>
      </c>
      <c r="C39" s="167"/>
      <c r="D39" s="167"/>
      <c r="E39" s="12" t="str">
        <f>IF(E37=0,"",IF(E37&lt;80.5,"Ditolak",IF(AND(E37&gt;=80.5,E37&lt;90.5),"Diperbaiki","Digunakan")))</f>
        <v>Digunakan</v>
      </c>
      <c r="F39" s="12" t="str">
        <f t="shared" ref="F39:AR39" si="6">IF(F37=0,"",IF(F37&lt;80.5,"Ditolak",IF(AND(F37&gt;=80.5,F37&lt;90.5),"Diperbaiki","Digunakan")))</f>
        <v>Digunakan</v>
      </c>
      <c r="G39" s="12" t="str">
        <f t="shared" si="6"/>
        <v>Digunakan</v>
      </c>
      <c r="H39" s="12" t="str">
        <f t="shared" si="6"/>
        <v>Digunakan</v>
      </c>
      <c r="I39" s="12" t="str">
        <f t="shared" si="6"/>
        <v>Digunakan</v>
      </c>
      <c r="J39" s="12" t="str">
        <f t="shared" si="6"/>
        <v>Digunakan</v>
      </c>
      <c r="K39" s="12" t="str">
        <f t="shared" si="6"/>
        <v>Digunakan</v>
      </c>
      <c r="L39" s="12" t="str">
        <f t="shared" si="6"/>
        <v>Digunakan</v>
      </c>
      <c r="M39" s="12" t="str">
        <f t="shared" si="6"/>
        <v>Digunakan</v>
      </c>
      <c r="N39" s="12" t="str">
        <f t="shared" si="6"/>
        <v>Digunakan</v>
      </c>
      <c r="O39" s="12" t="str">
        <f t="shared" si="6"/>
        <v>Digunakan</v>
      </c>
      <c r="P39" s="12" t="str">
        <f t="shared" si="6"/>
        <v>Digunakan</v>
      </c>
      <c r="Q39" s="12" t="str">
        <f t="shared" si="6"/>
        <v>Digunakan</v>
      </c>
      <c r="R39" s="12" t="str">
        <f t="shared" si="6"/>
        <v>Digunakan</v>
      </c>
      <c r="S39" s="12" t="str">
        <f t="shared" si="6"/>
        <v>Digunakan</v>
      </c>
      <c r="T39" s="12" t="str">
        <f t="shared" si="6"/>
        <v>Digunakan</v>
      </c>
      <c r="U39" s="12" t="str">
        <f t="shared" si="6"/>
        <v>Digunakan</v>
      </c>
      <c r="V39" s="12" t="str">
        <f t="shared" si="6"/>
        <v>Digunakan</v>
      </c>
      <c r="W39" s="12" t="str">
        <f t="shared" si="6"/>
        <v>Digunakan</v>
      </c>
      <c r="X39" s="12" t="str">
        <f t="shared" si="6"/>
        <v>Digunakan</v>
      </c>
      <c r="Y39" s="12" t="str">
        <f t="shared" si="6"/>
        <v>Digunakan</v>
      </c>
      <c r="Z39" s="12" t="str">
        <f t="shared" si="6"/>
        <v>Digunakan</v>
      </c>
      <c r="AA39" s="12" t="str">
        <f t="shared" si="6"/>
        <v>Digunakan</v>
      </c>
      <c r="AB39" s="12" t="str">
        <f t="shared" si="6"/>
        <v>Digunakan</v>
      </c>
      <c r="AC39" s="12" t="str">
        <f t="shared" si="6"/>
        <v>Digunakan</v>
      </c>
      <c r="AD39" s="12" t="str">
        <f t="shared" si="6"/>
        <v>Digunakan</v>
      </c>
      <c r="AE39" s="12" t="str">
        <f t="shared" si="6"/>
        <v>Digunakan</v>
      </c>
      <c r="AF39" s="12" t="str">
        <f t="shared" si="6"/>
        <v>Digunakan</v>
      </c>
      <c r="AG39" s="12" t="str">
        <f t="shared" si="6"/>
        <v>Digunakan</v>
      </c>
      <c r="AH39" s="12" t="str">
        <f t="shared" si="6"/>
        <v>Digunakan</v>
      </c>
      <c r="AI39" s="12" t="str">
        <f t="shared" si="6"/>
        <v>Digunakan</v>
      </c>
      <c r="AJ39" s="12" t="str">
        <f t="shared" si="6"/>
        <v>Digunakan</v>
      </c>
      <c r="AK39" s="12" t="str">
        <f t="shared" si="6"/>
        <v>Digunakan</v>
      </c>
      <c r="AL39" s="12" t="str">
        <f t="shared" si="6"/>
        <v>Digunakan</v>
      </c>
      <c r="AM39" s="12" t="str">
        <f t="shared" si="6"/>
        <v>Digunakan</v>
      </c>
      <c r="AN39" s="12" t="str">
        <f t="shared" si="6"/>
        <v>Digunakan</v>
      </c>
      <c r="AO39" s="12" t="str">
        <f t="shared" si="6"/>
        <v>Digunakan</v>
      </c>
      <c r="AP39" s="12" t="str">
        <f t="shared" si="6"/>
        <v>Digunakan</v>
      </c>
      <c r="AQ39" s="12" t="str">
        <f t="shared" si="6"/>
        <v>Digunakan</v>
      </c>
      <c r="AR39" s="12" t="str">
        <f t="shared" si="6"/>
        <v>Digunakan</v>
      </c>
      <c r="AS39" s="12" t="str">
        <f t="shared" ref="AS39:AW39" si="7">IF(AS37=0,"",IF(AS37&lt;80.5,"Ditolak",IF(AND(AS37&gt;=80.5,AS37&lt;90.5),"Diperbaiki","Digunakan")))</f>
        <v/>
      </c>
      <c r="AT39" s="12" t="str">
        <f t="shared" si="7"/>
        <v/>
      </c>
      <c r="AU39" s="12" t="str">
        <f t="shared" si="7"/>
        <v/>
      </c>
      <c r="AV39" s="12" t="str">
        <f t="shared" si="7"/>
        <v/>
      </c>
      <c r="AW39" s="12" t="str">
        <f t="shared" si="7"/>
        <v/>
      </c>
    </row>
    <row r="40" spans="1:49" x14ac:dyDescent="0.25">
      <c r="A40" s="13"/>
      <c r="B40" s="14"/>
      <c r="C40" s="14"/>
      <c r="D40" s="14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</row>
    <row r="41" spans="1:49" ht="15.75" x14ac:dyDescent="0.25">
      <c r="A41" s="13"/>
      <c r="B41" s="14"/>
      <c r="C41" s="14"/>
      <c r="D41" s="86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2" t="str">
        <f>CONCATENATE(Biodata!C18,","," ",Biodata!C17 )</f>
        <v>Wonogiri, 16 Maret 2021</v>
      </c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13"/>
    </row>
    <row r="42" spans="1:49" ht="15.75" x14ac:dyDescent="0.25">
      <c r="A42" s="15"/>
      <c r="B42" s="2" t="s">
        <v>145</v>
      </c>
      <c r="E42" s="2"/>
      <c r="F42" s="2" t="s">
        <v>145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165" t="s">
        <v>277</v>
      </c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  <c r="AL42" s="165"/>
      <c r="AM42" s="165"/>
      <c r="AN42" s="2"/>
      <c r="AO42" s="2"/>
      <c r="AP42" s="2"/>
      <c r="AQ42" s="2"/>
    </row>
    <row r="43" spans="1:49" ht="15.75" x14ac:dyDescent="0.25">
      <c r="A43" s="15"/>
      <c r="B43" s="2" t="s">
        <v>163</v>
      </c>
      <c r="E43" s="2"/>
      <c r="F43" s="2" t="s">
        <v>148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 t="s">
        <v>274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 t="s">
        <v>90</v>
      </c>
      <c r="AI43" s="2"/>
      <c r="AJ43" s="2"/>
      <c r="AK43" s="2"/>
      <c r="AL43" s="2"/>
      <c r="AM43" s="2"/>
      <c r="AN43" s="2"/>
      <c r="AO43" s="2"/>
      <c r="AP43" s="2"/>
      <c r="AQ43" s="2"/>
    </row>
    <row r="44" spans="1:49" ht="15.75" x14ac:dyDescent="0.25">
      <c r="A44" s="15"/>
      <c r="B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spans="1:49" ht="15.75" x14ac:dyDescent="0.25">
      <c r="A45" s="15"/>
      <c r="B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1:49" ht="15.75" x14ac:dyDescent="0.25">
      <c r="A46" s="15"/>
      <c r="B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1:49" ht="15.75" x14ac:dyDescent="0.25">
      <c r="A47" s="15"/>
      <c r="B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1:49" ht="15.75" x14ac:dyDescent="0.25">
      <c r="A48" s="15"/>
      <c r="B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1:43" ht="15.75" x14ac:dyDescent="0.25">
      <c r="A49" s="15"/>
      <c r="B49" s="45" t="str">
        <f>Biodata!C7</f>
        <v>Indah Darmawati, SE, M.Pd</v>
      </c>
      <c r="E49" s="2"/>
      <c r="F49" s="107" t="str">
        <f>Biodata!C8</f>
        <v>Drs. Suyono, M.Si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107" t="str">
        <f>Biodata!C10</f>
        <v>Bhekti Tulus Martani, S.Pd.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39" t="str">
        <f>Biodata!C11</f>
        <v>Ade Setiyawan, S.Kom.</v>
      </c>
      <c r="AI49" s="2"/>
      <c r="AJ49" s="2"/>
      <c r="AK49" s="2"/>
      <c r="AL49" s="2"/>
      <c r="AM49" s="2"/>
      <c r="AN49" s="2"/>
      <c r="AO49" s="2"/>
      <c r="AP49" s="2"/>
      <c r="AQ49" s="2"/>
    </row>
    <row r="50" spans="1:43" ht="15.75" x14ac:dyDescent="0.25">
      <c r="B50" s="2" t="str">
        <f>CONCATENATE("NIP"," ",Biodata!F7)</f>
        <v>NIP 19770316 200701 2 002</v>
      </c>
      <c r="E50" s="2"/>
      <c r="F50" s="2" t="str">
        <f>CONCATENATE("NIP"," ",Biodata!F8)</f>
        <v>NIP 19630329 199512 1 003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 t="str">
        <f>CONCATENATE("NIP"," ",Biodata!F10)</f>
        <v>NIP -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 t="str">
        <f>CONCATENATE("NIP"," ",Biodata!F11)</f>
        <v>NIP -</v>
      </c>
      <c r="AI50" s="2"/>
      <c r="AJ50" s="2"/>
      <c r="AK50" s="2"/>
      <c r="AL50" s="2"/>
      <c r="AM50" s="2"/>
      <c r="AN50" s="2"/>
      <c r="AO50" s="2"/>
      <c r="AP50" s="2"/>
      <c r="AQ50" s="2"/>
    </row>
    <row r="52" spans="1:43" x14ac:dyDescent="0.25">
      <c r="A52" s="1" t="s">
        <v>149</v>
      </c>
    </row>
    <row r="53" spans="1:43" x14ac:dyDescent="0.25">
      <c r="A53" s="1">
        <v>1</v>
      </c>
      <c r="B53" s="1" t="s">
        <v>156</v>
      </c>
      <c r="C53" s="1" t="s">
        <v>143</v>
      </c>
      <c r="D53" s="1" t="s">
        <v>181</v>
      </c>
    </row>
    <row r="54" spans="1:43" x14ac:dyDescent="0.25">
      <c r="A54" s="1">
        <v>2</v>
      </c>
      <c r="B54" s="1" t="s">
        <v>153</v>
      </c>
      <c r="C54" s="1" t="s">
        <v>143</v>
      </c>
      <c r="D54" s="1" t="s">
        <v>182</v>
      </c>
    </row>
    <row r="55" spans="1:43" x14ac:dyDescent="0.25">
      <c r="A55" s="1">
        <v>3</v>
      </c>
      <c r="B55" s="1" t="s">
        <v>152</v>
      </c>
      <c r="C55" s="1" t="s">
        <v>143</v>
      </c>
      <c r="D55" s="1" t="s">
        <v>155</v>
      </c>
    </row>
  </sheetData>
  <mergeCells count="24">
    <mergeCell ref="B20:B28"/>
    <mergeCell ref="A20:A28"/>
    <mergeCell ref="A1:AW1"/>
    <mergeCell ref="A2:AW2"/>
    <mergeCell ref="A3:AW3"/>
    <mergeCell ref="B13:B14"/>
    <mergeCell ref="A13:A14"/>
    <mergeCell ref="F11:G11"/>
    <mergeCell ref="T42:AM42"/>
    <mergeCell ref="E13:AW13"/>
    <mergeCell ref="B39:D39"/>
    <mergeCell ref="B29:B32"/>
    <mergeCell ref="A29:A32"/>
    <mergeCell ref="B36:D36"/>
    <mergeCell ref="B38:D38"/>
    <mergeCell ref="B37:D37"/>
    <mergeCell ref="B33:B34"/>
    <mergeCell ref="A33:A34"/>
    <mergeCell ref="B35:D35"/>
    <mergeCell ref="B17:B19"/>
    <mergeCell ref="A17:A19"/>
    <mergeCell ref="B15:B16"/>
    <mergeCell ref="A15:A16"/>
    <mergeCell ref="C13:D14"/>
  </mergeCells>
  <printOptions horizontalCentered="1"/>
  <pageMargins left="0.19685039370078741" right="0.19685039370078741" top="0.39370078740157483" bottom="0.27559055118110237" header="0.31496062992125984" footer="0.19685039370078741"/>
  <pageSetup paperSize="9" scale="80" orientation="landscape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X51"/>
  <sheetViews>
    <sheetView showGridLines="0" topLeftCell="A29" zoomScale="55" zoomScaleNormal="55" workbookViewId="0">
      <selection activeCell="R58" sqref="R58"/>
    </sheetView>
  </sheetViews>
  <sheetFormatPr defaultColWidth="8.85546875" defaultRowHeight="15" x14ac:dyDescent="0.25"/>
  <cols>
    <col min="1" max="1" width="4.140625" style="1" customWidth="1"/>
    <col min="2" max="2" width="14.42578125" style="1" customWidth="1"/>
    <col min="3" max="3" width="3" style="1" customWidth="1"/>
    <col min="4" max="4" width="54.5703125" style="1" customWidth="1"/>
    <col min="5" max="6" width="3.7109375" style="1" customWidth="1"/>
    <col min="7" max="7" width="4.28515625" style="1" customWidth="1"/>
    <col min="8" max="10" width="4.42578125" style="1" customWidth="1"/>
    <col min="11" max="11" width="4.7109375" style="1" customWidth="1"/>
    <col min="12" max="15" width="4.42578125" style="1" customWidth="1"/>
    <col min="16" max="16" width="4.7109375" style="1" customWidth="1"/>
    <col min="17" max="17" width="5" style="1" customWidth="1"/>
    <col min="18" max="18" width="5.140625" style="1" customWidth="1"/>
    <col min="19" max="21" width="4.5703125" style="1" customWidth="1"/>
    <col min="22" max="22" width="5.140625" style="1" customWidth="1"/>
    <col min="23" max="23" width="4.85546875" style="1" customWidth="1"/>
    <col min="24" max="24" width="5.5703125" style="1" customWidth="1"/>
    <col min="25" max="25" width="8.85546875" style="1"/>
    <col min="26" max="26" width="13.5703125" style="1" customWidth="1"/>
    <col min="27" max="16384" width="8.85546875" style="1"/>
  </cols>
  <sheetData>
    <row r="1" spans="1:24" ht="18" x14ac:dyDescent="0.25">
      <c r="A1" s="179" t="s">
        <v>246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</row>
    <row r="2" spans="1:24" ht="18" x14ac:dyDescent="0.25">
      <c r="A2" s="179" t="s">
        <v>280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</row>
    <row r="3" spans="1:24" ht="18" x14ac:dyDescent="0.25">
      <c r="A3" s="179" t="str">
        <f>CONCATENATE("TAHUN PELAJARAN"," ",Biodata!C15)</f>
        <v>TAHUN PELAJARAN 2020/2021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</row>
    <row r="5" spans="1:24" ht="15.75" x14ac:dyDescent="0.25">
      <c r="A5" s="2" t="s">
        <v>184</v>
      </c>
      <c r="B5" s="2"/>
      <c r="C5" s="2"/>
      <c r="D5" s="2"/>
      <c r="E5" s="3" t="s">
        <v>143</v>
      </c>
      <c r="F5" s="77" t="str">
        <f>Biodata!C4</f>
        <v>SMK NEGERI 1 JATIROTO</v>
      </c>
      <c r="G5" s="2"/>
      <c r="H5" s="2"/>
      <c r="I5" s="2"/>
      <c r="J5" s="2"/>
      <c r="K5" s="2"/>
      <c r="L5" s="2"/>
      <c r="M5" s="2"/>
      <c r="N5" s="2"/>
      <c r="O5" s="2"/>
    </row>
    <row r="6" spans="1:24" ht="15.75" x14ac:dyDescent="0.25">
      <c r="A6" s="2" t="s">
        <v>69</v>
      </c>
      <c r="B6" s="2"/>
      <c r="C6" s="2"/>
      <c r="D6" s="2"/>
      <c r="E6" s="3" t="s">
        <v>143</v>
      </c>
      <c r="F6" s="77" t="str">
        <f>Biodata!C6</f>
        <v>Bahasa Inggris</v>
      </c>
      <c r="G6" s="2"/>
      <c r="H6" s="2"/>
      <c r="I6" s="2"/>
      <c r="J6" s="2"/>
      <c r="K6" s="2"/>
      <c r="L6" s="2"/>
      <c r="M6" s="2"/>
      <c r="N6" s="2"/>
      <c r="O6" s="2"/>
    </row>
    <row r="7" spans="1:24" ht="15.75" x14ac:dyDescent="0.25">
      <c r="A7" s="2" t="s">
        <v>163</v>
      </c>
      <c r="B7" s="2"/>
      <c r="C7" s="2"/>
      <c r="D7" s="2"/>
      <c r="E7" s="3" t="s">
        <v>143</v>
      </c>
      <c r="F7" s="77" t="str">
        <f>Biodata!C7</f>
        <v>Indah Darmawati, SE, M.Pd</v>
      </c>
      <c r="G7" s="2"/>
      <c r="H7" s="2"/>
      <c r="I7" s="2"/>
      <c r="J7" s="2"/>
      <c r="K7" s="2"/>
      <c r="L7" s="2"/>
      <c r="M7" s="2"/>
      <c r="N7" s="2"/>
      <c r="O7" s="2"/>
    </row>
    <row r="8" spans="1:24" ht="15.75" x14ac:dyDescent="0.25">
      <c r="A8" s="2" t="s">
        <v>279</v>
      </c>
      <c r="B8" s="2"/>
      <c r="C8" s="2"/>
      <c r="D8" s="2"/>
      <c r="E8" s="3" t="s">
        <v>143</v>
      </c>
      <c r="F8" s="77" t="str">
        <f>Biodata!C9</f>
        <v>Galuh Wury Prabaningrum, S.Pd.</v>
      </c>
      <c r="G8" s="2"/>
      <c r="H8" s="2"/>
      <c r="I8" s="2"/>
      <c r="J8" s="2"/>
      <c r="K8" s="2"/>
      <c r="L8" s="2"/>
      <c r="M8" s="2"/>
      <c r="N8" s="2"/>
      <c r="O8" s="2"/>
    </row>
    <row r="9" spans="1:24" ht="15.75" x14ac:dyDescent="0.25">
      <c r="A9" s="2" t="s">
        <v>183</v>
      </c>
      <c r="B9" s="2"/>
      <c r="C9" s="2"/>
      <c r="D9" s="2"/>
      <c r="E9" s="3" t="s">
        <v>143</v>
      </c>
      <c r="F9" s="77" t="str">
        <f>Biodata!C10</f>
        <v>Bhekti Tulus Martani, S.Pd.</v>
      </c>
      <c r="G9" s="2"/>
      <c r="H9" s="2"/>
      <c r="I9" s="2"/>
      <c r="J9" s="3"/>
      <c r="K9" s="2"/>
      <c r="L9" s="2"/>
      <c r="M9" s="2"/>
      <c r="N9" s="2"/>
      <c r="O9" s="2"/>
      <c r="X9" s="5"/>
    </row>
    <row r="10" spans="1:24" ht="15.75" x14ac:dyDescent="0.25">
      <c r="A10" s="2" t="s">
        <v>90</v>
      </c>
      <c r="B10" s="2"/>
      <c r="C10" s="2"/>
      <c r="D10" s="2"/>
      <c r="E10" s="3" t="s">
        <v>143</v>
      </c>
      <c r="F10" s="77" t="str">
        <f>Biodata!C11</f>
        <v>Ade Setiyawan, S.Kom.</v>
      </c>
      <c r="G10" s="2"/>
      <c r="H10" s="2"/>
      <c r="I10" s="2"/>
      <c r="J10" s="3"/>
      <c r="K10" s="2"/>
      <c r="L10" s="2"/>
      <c r="M10" s="2"/>
      <c r="N10" s="2"/>
      <c r="O10" s="2"/>
      <c r="X10" s="5"/>
    </row>
    <row r="11" spans="1:24" ht="15" customHeight="1" x14ac:dyDescent="0.25">
      <c r="A11" s="6" t="s">
        <v>247</v>
      </c>
      <c r="B11" s="2"/>
      <c r="C11" s="2"/>
      <c r="D11" s="7"/>
      <c r="E11" s="3" t="s">
        <v>143</v>
      </c>
      <c r="F11" s="69">
        <f>Biodata!C13</f>
        <v>5</v>
      </c>
      <c r="G11" s="79" t="s">
        <v>195</v>
      </c>
      <c r="H11" s="2"/>
      <c r="I11" s="2"/>
      <c r="J11" s="3"/>
      <c r="K11" s="2"/>
      <c r="L11" s="2"/>
      <c r="M11" s="2"/>
      <c r="N11" s="2"/>
      <c r="O11" s="2"/>
    </row>
    <row r="13" spans="1:24" x14ac:dyDescent="0.25">
      <c r="A13" s="178" t="s">
        <v>92</v>
      </c>
      <c r="B13" s="178" t="s">
        <v>91</v>
      </c>
      <c r="C13" s="178" t="s">
        <v>93</v>
      </c>
      <c r="D13" s="178"/>
      <c r="E13" s="166" t="s">
        <v>94</v>
      </c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</row>
    <row r="14" spans="1:24" x14ac:dyDescent="0.25">
      <c r="A14" s="178"/>
      <c r="B14" s="178"/>
      <c r="C14" s="178"/>
      <c r="D14" s="178"/>
      <c r="E14" s="16">
        <v>1</v>
      </c>
      <c r="F14" s="16">
        <v>2</v>
      </c>
      <c r="G14" s="16">
        <v>3</v>
      </c>
      <c r="H14" s="16">
        <v>4</v>
      </c>
      <c r="I14" s="16">
        <v>5</v>
      </c>
      <c r="J14" s="16">
        <v>6</v>
      </c>
      <c r="K14" s="16">
        <v>7</v>
      </c>
      <c r="L14" s="16">
        <v>8</v>
      </c>
      <c r="M14" s="16">
        <v>9</v>
      </c>
      <c r="N14" s="16">
        <v>10</v>
      </c>
      <c r="O14" s="16">
        <v>11</v>
      </c>
      <c r="P14" s="16">
        <v>12</v>
      </c>
      <c r="Q14" s="16">
        <v>13</v>
      </c>
      <c r="R14" s="16">
        <v>14</v>
      </c>
      <c r="S14" s="16">
        <v>15</v>
      </c>
      <c r="T14" s="16">
        <v>16</v>
      </c>
      <c r="U14" s="16">
        <v>17</v>
      </c>
      <c r="V14" s="16">
        <v>18</v>
      </c>
      <c r="W14" s="16">
        <v>19</v>
      </c>
      <c r="X14" s="16">
        <v>20</v>
      </c>
    </row>
    <row r="15" spans="1:24" ht="17.45" customHeight="1" x14ac:dyDescent="0.25">
      <c r="A15" s="176" t="s">
        <v>96</v>
      </c>
      <c r="B15" s="177" t="str">
        <f>Telaah_UR!B6</f>
        <v>HAL-HAL PENTING</v>
      </c>
      <c r="C15" s="71">
        <v>1</v>
      </c>
      <c r="D15" s="10" t="str">
        <f>Telaah_UR!D6</f>
        <v>Soal tidak menyinggung SARA</v>
      </c>
      <c r="E15" s="71">
        <f>Telaah_UR!AC6</f>
        <v>2</v>
      </c>
      <c r="F15" s="71">
        <f>Telaah_UR!AD6</f>
        <v>2</v>
      </c>
      <c r="G15" s="71">
        <f>Telaah_UR!AE6</f>
        <v>2</v>
      </c>
      <c r="H15" s="71">
        <f>Telaah_UR!AF6</f>
        <v>2</v>
      </c>
      <c r="I15" s="71">
        <f>Telaah_UR!AG6</f>
        <v>2</v>
      </c>
      <c r="J15" s="71" t="str">
        <f>Telaah_UR!AH6</f>
        <v/>
      </c>
      <c r="K15" s="71" t="str">
        <f>Telaah_UR!AI6</f>
        <v/>
      </c>
      <c r="L15" s="71" t="str">
        <f>Telaah_UR!AJ6</f>
        <v/>
      </c>
      <c r="M15" s="71" t="str">
        <f>Telaah_UR!AK6</f>
        <v/>
      </c>
      <c r="N15" s="71" t="str">
        <f>Telaah_UR!AL6</f>
        <v/>
      </c>
      <c r="O15" s="71" t="str">
        <f>Telaah_UR!AM6</f>
        <v/>
      </c>
      <c r="P15" s="71" t="str">
        <f>Telaah_UR!AN6</f>
        <v/>
      </c>
      <c r="Q15" s="71" t="str">
        <f>Telaah_UR!AO6</f>
        <v/>
      </c>
      <c r="R15" s="71" t="str">
        <f>Telaah_UR!AP6</f>
        <v/>
      </c>
      <c r="S15" s="71" t="str">
        <f>Telaah_UR!AQ6</f>
        <v/>
      </c>
      <c r="T15" s="71" t="str">
        <f>Telaah_UR!AR6</f>
        <v/>
      </c>
      <c r="U15" s="71" t="str">
        <f>Telaah_UR!AS6</f>
        <v/>
      </c>
      <c r="V15" s="71" t="str">
        <f>Telaah_UR!AT6</f>
        <v/>
      </c>
      <c r="W15" s="71" t="str">
        <f>Telaah_UR!AU6</f>
        <v/>
      </c>
      <c r="X15" s="71" t="str">
        <f>Telaah_UR!AV6</f>
        <v/>
      </c>
    </row>
    <row r="16" spans="1:24" ht="52.5" customHeight="1" x14ac:dyDescent="0.25">
      <c r="A16" s="176"/>
      <c r="B16" s="177"/>
      <c r="C16" s="71">
        <v>2</v>
      </c>
      <c r="D16" s="10" t="str">
        <f>Telaah_UR!D10</f>
        <v xml:space="preserve">Soal tidak bermuatan politik, pornografi, promosi produk komersil (iklan), kekerasan, dan bentuk lainnya yang dapat menimbulkan efek negatif </v>
      </c>
      <c r="E16" s="71">
        <f>Telaah_UR!AC10</f>
        <v>2</v>
      </c>
      <c r="F16" s="71">
        <f>Telaah_UR!AD10</f>
        <v>2</v>
      </c>
      <c r="G16" s="71">
        <f>Telaah_UR!AE10</f>
        <v>2</v>
      </c>
      <c r="H16" s="71">
        <f>Telaah_UR!AF10</f>
        <v>2</v>
      </c>
      <c r="I16" s="71">
        <f>Telaah_UR!AG10</f>
        <v>2</v>
      </c>
      <c r="J16" s="71" t="str">
        <f>Telaah_UR!AH10</f>
        <v/>
      </c>
      <c r="K16" s="71" t="str">
        <f>Telaah_UR!AI10</f>
        <v/>
      </c>
      <c r="L16" s="71" t="str">
        <f>Telaah_UR!AJ10</f>
        <v/>
      </c>
      <c r="M16" s="71" t="str">
        <f>Telaah_UR!AK10</f>
        <v/>
      </c>
      <c r="N16" s="71" t="str">
        <f>Telaah_UR!AL10</f>
        <v/>
      </c>
      <c r="O16" s="71" t="str">
        <f>Telaah_UR!AM10</f>
        <v/>
      </c>
      <c r="P16" s="71" t="str">
        <f>Telaah_UR!AN10</f>
        <v/>
      </c>
      <c r="Q16" s="71" t="str">
        <f>Telaah_UR!AO10</f>
        <v/>
      </c>
      <c r="R16" s="71" t="str">
        <f>Telaah_UR!AP10</f>
        <v/>
      </c>
      <c r="S16" s="71" t="str">
        <f>Telaah_UR!AQ10</f>
        <v/>
      </c>
      <c r="T16" s="71" t="str">
        <f>Telaah_UR!AR10</f>
        <v/>
      </c>
      <c r="U16" s="71" t="str">
        <f>Telaah_UR!AS10</f>
        <v/>
      </c>
      <c r="V16" s="71" t="str">
        <f>Telaah_UR!AT10</f>
        <v/>
      </c>
      <c r="W16" s="71" t="str">
        <f>Telaah_UR!AU10</f>
        <v/>
      </c>
      <c r="X16" s="71" t="str">
        <f>Telaah_UR!AV10</f>
        <v/>
      </c>
    </row>
    <row r="17" spans="1:24" x14ac:dyDescent="0.25">
      <c r="A17" s="176" t="s">
        <v>97</v>
      </c>
      <c r="B17" s="175" t="str">
        <f>Telaah_UR!D15</f>
        <v>MATERI</v>
      </c>
      <c r="C17" s="71">
        <v>1</v>
      </c>
      <c r="D17" s="10" t="str">
        <f>Telaah_UR!F15</f>
        <v>Soal sesuai dengan indikator.</v>
      </c>
      <c r="E17" s="71">
        <f>Telaah_UR!AC15</f>
        <v>2</v>
      </c>
      <c r="F17" s="71">
        <f>Telaah_UR!AD15</f>
        <v>2</v>
      </c>
      <c r="G17" s="71">
        <f>Telaah_UR!AE15</f>
        <v>2</v>
      </c>
      <c r="H17" s="71">
        <f>Telaah_UR!AF15</f>
        <v>2</v>
      </c>
      <c r="I17" s="71">
        <f>Telaah_UR!AG15</f>
        <v>2</v>
      </c>
      <c r="J17" s="71" t="str">
        <f>Telaah_UR!AH15</f>
        <v/>
      </c>
      <c r="K17" s="71" t="str">
        <f>Telaah_UR!AI15</f>
        <v/>
      </c>
      <c r="L17" s="71" t="str">
        <f>Telaah_UR!AJ15</f>
        <v/>
      </c>
      <c r="M17" s="71" t="str">
        <f>Telaah_UR!AK15</f>
        <v/>
      </c>
      <c r="N17" s="71" t="str">
        <f>Telaah_UR!AL15</f>
        <v/>
      </c>
      <c r="O17" s="71" t="str">
        <f>Telaah_UR!AM15</f>
        <v/>
      </c>
      <c r="P17" s="71" t="str">
        <f>Telaah_UR!AN15</f>
        <v/>
      </c>
      <c r="Q17" s="71" t="str">
        <f>Telaah_UR!AO15</f>
        <v/>
      </c>
      <c r="R17" s="71" t="str">
        <f>Telaah_UR!AP15</f>
        <v/>
      </c>
      <c r="S17" s="71" t="str">
        <f>Telaah_UR!AQ15</f>
        <v/>
      </c>
      <c r="T17" s="71" t="str">
        <f>Telaah_UR!AR15</f>
        <v/>
      </c>
      <c r="U17" s="71" t="str">
        <f>Telaah_UR!AS15</f>
        <v/>
      </c>
      <c r="V17" s="71" t="str">
        <f>Telaah_UR!AT15</f>
        <v/>
      </c>
      <c r="W17" s="71" t="str">
        <f>Telaah_UR!AU15</f>
        <v/>
      </c>
      <c r="X17" s="71" t="str">
        <f>Telaah_UR!AV15</f>
        <v/>
      </c>
    </row>
    <row r="18" spans="1:24" ht="15.75" customHeight="1" x14ac:dyDescent="0.25">
      <c r="A18" s="176"/>
      <c r="B18" s="175"/>
      <c r="C18" s="71">
        <v>2</v>
      </c>
      <c r="D18" s="10" t="str">
        <f>Telaah_UR!F17</f>
        <v>Batasan pertanyaan dan jawaban yang diharapkan jelas</v>
      </c>
      <c r="E18" s="71">
        <f>Telaah_UR!AC17</f>
        <v>2</v>
      </c>
      <c r="F18" s="71">
        <f>Telaah_UR!AD17</f>
        <v>2</v>
      </c>
      <c r="G18" s="71">
        <f>Telaah_UR!AE17</f>
        <v>2</v>
      </c>
      <c r="H18" s="71">
        <f>Telaah_UR!AF17</f>
        <v>2</v>
      </c>
      <c r="I18" s="71">
        <f>Telaah_UR!AG17</f>
        <v>2</v>
      </c>
      <c r="J18" s="71" t="str">
        <f>Telaah_UR!AH17</f>
        <v/>
      </c>
      <c r="K18" s="71" t="str">
        <f>Telaah_UR!AI17</f>
        <v/>
      </c>
      <c r="L18" s="71" t="str">
        <f>Telaah_UR!AJ17</f>
        <v/>
      </c>
      <c r="M18" s="71" t="str">
        <f>Telaah_UR!AK17</f>
        <v/>
      </c>
      <c r="N18" s="71" t="str">
        <f>Telaah_UR!AL17</f>
        <v/>
      </c>
      <c r="O18" s="71" t="str">
        <f>Telaah_UR!AM17</f>
        <v/>
      </c>
      <c r="P18" s="71" t="str">
        <f>Telaah_UR!AN17</f>
        <v/>
      </c>
      <c r="Q18" s="71" t="str">
        <f>Telaah_UR!AO17</f>
        <v/>
      </c>
      <c r="R18" s="71" t="str">
        <f>Telaah_UR!AP17</f>
        <v/>
      </c>
      <c r="S18" s="71" t="str">
        <f>Telaah_UR!AQ17</f>
        <v/>
      </c>
      <c r="T18" s="71" t="str">
        <f>Telaah_UR!AR17</f>
        <v/>
      </c>
      <c r="U18" s="71" t="str">
        <f>Telaah_UR!AS17</f>
        <v/>
      </c>
      <c r="V18" s="71" t="str">
        <f>Telaah_UR!AT17</f>
        <v/>
      </c>
      <c r="W18" s="71" t="str">
        <f>Telaah_UR!AU17</f>
        <v/>
      </c>
      <c r="X18" s="71" t="str">
        <f>Telaah_UR!AV17</f>
        <v/>
      </c>
    </row>
    <row r="19" spans="1:24" ht="18.75" customHeight="1" x14ac:dyDescent="0.25">
      <c r="A19" s="176"/>
      <c r="B19" s="175"/>
      <c r="C19" s="71">
        <v>3</v>
      </c>
      <c r="D19" s="10" t="str">
        <f>Telaah_UR!F19</f>
        <v>Isi materi sesuai dengan tujuan pengukuran</v>
      </c>
      <c r="E19" s="71">
        <f>Telaah_UR!AC19</f>
        <v>2</v>
      </c>
      <c r="F19" s="71">
        <f>Telaah_UR!AD19</f>
        <v>2</v>
      </c>
      <c r="G19" s="71">
        <f>Telaah_UR!AE19</f>
        <v>2</v>
      </c>
      <c r="H19" s="71">
        <f>Telaah_UR!AF19</f>
        <v>2</v>
      </c>
      <c r="I19" s="71">
        <f>Telaah_UR!AG19</f>
        <v>2</v>
      </c>
      <c r="J19" s="71" t="str">
        <f>Telaah_UR!AH19</f>
        <v/>
      </c>
      <c r="K19" s="71" t="str">
        <f>Telaah_UR!AI19</f>
        <v/>
      </c>
      <c r="L19" s="71" t="str">
        <f>Telaah_UR!AJ19</f>
        <v/>
      </c>
      <c r="M19" s="71" t="str">
        <f>Telaah_UR!AK19</f>
        <v/>
      </c>
      <c r="N19" s="71" t="str">
        <f>Telaah_UR!AL19</f>
        <v/>
      </c>
      <c r="O19" s="71" t="str">
        <f>Telaah_UR!AM19</f>
        <v/>
      </c>
      <c r="P19" s="71" t="str">
        <f>Telaah_UR!AN19</f>
        <v/>
      </c>
      <c r="Q19" s="71" t="str">
        <f>Telaah_UR!AO19</f>
        <v/>
      </c>
      <c r="R19" s="71" t="str">
        <f>Telaah_UR!AP19</f>
        <v/>
      </c>
      <c r="S19" s="71" t="str">
        <f>Telaah_UR!AQ19</f>
        <v/>
      </c>
      <c r="T19" s="71" t="str">
        <f>Telaah_UR!AR19</f>
        <v/>
      </c>
      <c r="U19" s="71" t="str">
        <f>Telaah_UR!AS19</f>
        <v/>
      </c>
      <c r="V19" s="71" t="str">
        <f>Telaah_UR!AT19</f>
        <v/>
      </c>
      <c r="W19" s="71" t="str">
        <f>Telaah_UR!AU19</f>
        <v/>
      </c>
      <c r="X19" s="71" t="str">
        <f>Telaah_UR!AV19</f>
        <v/>
      </c>
    </row>
    <row r="20" spans="1:24" ht="30" customHeight="1" x14ac:dyDescent="0.25">
      <c r="A20" s="176"/>
      <c r="B20" s="175"/>
      <c r="C20" s="71">
        <v>4</v>
      </c>
      <c r="D20" s="10" t="str">
        <f>Telaah_UR!F21</f>
        <v>Isi materi yang ditanyakan sudah sesuai dengan jenjang dan tingkat kelas</v>
      </c>
      <c r="E20" s="71">
        <f>Telaah_UR!AC21</f>
        <v>2</v>
      </c>
      <c r="F20" s="71">
        <f>Telaah_UR!AD21</f>
        <v>2</v>
      </c>
      <c r="G20" s="71">
        <f>Telaah_UR!AE21</f>
        <v>2</v>
      </c>
      <c r="H20" s="71">
        <f>Telaah_UR!AF21</f>
        <v>2</v>
      </c>
      <c r="I20" s="71">
        <f>Telaah_UR!AG21</f>
        <v>2</v>
      </c>
      <c r="J20" s="71" t="str">
        <f>Telaah_UR!AH21</f>
        <v/>
      </c>
      <c r="K20" s="71" t="str">
        <f>Telaah_UR!AI21</f>
        <v/>
      </c>
      <c r="L20" s="71" t="str">
        <f>Telaah_UR!AJ21</f>
        <v/>
      </c>
      <c r="M20" s="71" t="str">
        <f>Telaah_UR!AK21</f>
        <v/>
      </c>
      <c r="N20" s="71" t="str">
        <f>Telaah_UR!AL21</f>
        <v/>
      </c>
      <c r="O20" s="71" t="str">
        <f>Telaah_UR!AM21</f>
        <v/>
      </c>
      <c r="P20" s="71" t="str">
        <f>Telaah_UR!AN21</f>
        <v/>
      </c>
      <c r="Q20" s="71" t="str">
        <f>Telaah_UR!AO21</f>
        <v/>
      </c>
      <c r="R20" s="71" t="str">
        <f>Telaah_UR!AP21</f>
        <v/>
      </c>
      <c r="S20" s="71" t="str">
        <f>Telaah_UR!AQ21</f>
        <v/>
      </c>
      <c r="T20" s="71" t="str">
        <f>Telaah_UR!AR21</f>
        <v/>
      </c>
      <c r="U20" s="71" t="str">
        <f>Telaah_UR!AS21</f>
        <v/>
      </c>
      <c r="V20" s="71" t="str">
        <f>Telaah_UR!AT21</f>
        <v/>
      </c>
      <c r="W20" s="71" t="str">
        <f>Telaah_UR!AU21</f>
        <v/>
      </c>
      <c r="X20" s="71" t="str">
        <f>Telaah_UR!AV21</f>
        <v/>
      </c>
    </row>
    <row r="21" spans="1:24" ht="33.75" customHeight="1" x14ac:dyDescent="0.25">
      <c r="A21" s="82" t="s">
        <v>99</v>
      </c>
      <c r="B21" s="168" t="str">
        <f>Telaah_UR!D23</f>
        <v>KONSTRUKSI</v>
      </c>
      <c r="C21" s="71">
        <v>1</v>
      </c>
      <c r="D21" s="10" t="str">
        <f>Telaah_UR!F23</f>
        <v>Rumusan pertanyaan menggunakan kata-kata tanya yang menuntut jawaban terurai</v>
      </c>
      <c r="E21" s="71">
        <f>Telaah_UR!AC23</f>
        <v>2</v>
      </c>
      <c r="F21" s="71">
        <f>Telaah_UR!AD23</f>
        <v>2</v>
      </c>
      <c r="G21" s="71">
        <f>Telaah_UR!AE23</f>
        <v>2</v>
      </c>
      <c r="H21" s="71">
        <f>Telaah_UR!AF23</f>
        <v>2</v>
      </c>
      <c r="I21" s="71">
        <f>Telaah_UR!AG23</f>
        <v>2</v>
      </c>
      <c r="J21" s="71" t="str">
        <f>Telaah_UR!AH23</f>
        <v/>
      </c>
      <c r="K21" s="71" t="str">
        <f>Telaah_UR!AI23</f>
        <v/>
      </c>
      <c r="L21" s="71" t="str">
        <f>Telaah_UR!AJ23</f>
        <v/>
      </c>
      <c r="M21" s="71" t="str">
        <f>Telaah_UR!AK23</f>
        <v/>
      </c>
      <c r="N21" s="71" t="str">
        <f>Telaah_UR!AL23</f>
        <v/>
      </c>
      <c r="O21" s="71" t="str">
        <f>Telaah_UR!AM23</f>
        <v/>
      </c>
      <c r="P21" s="71" t="str">
        <f>Telaah_UR!AN23</f>
        <v/>
      </c>
      <c r="Q21" s="71" t="str">
        <f>Telaah_UR!AO23</f>
        <v/>
      </c>
      <c r="R21" s="71" t="str">
        <f>Telaah_UR!AP23</f>
        <v/>
      </c>
      <c r="S21" s="71" t="str">
        <f>Telaah_UR!AQ23</f>
        <v/>
      </c>
      <c r="T21" s="71" t="str">
        <f>Telaah_UR!AR23</f>
        <v/>
      </c>
      <c r="U21" s="71" t="str">
        <f>Telaah_UR!AS23</f>
        <v/>
      </c>
      <c r="V21" s="71" t="str">
        <f>Telaah_UR!AT23</f>
        <v/>
      </c>
      <c r="W21" s="71" t="str">
        <f>Telaah_UR!AU23</f>
        <v/>
      </c>
      <c r="X21" s="71" t="str">
        <f>Telaah_UR!AV23</f>
        <v/>
      </c>
    </row>
    <row r="22" spans="1:24" ht="30" x14ac:dyDescent="0.25">
      <c r="A22" s="83"/>
      <c r="B22" s="169"/>
      <c r="C22" s="71">
        <v>2</v>
      </c>
      <c r="D22" s="10" t="str">
        <f>Telaah_UR!F25</f>
        <v>Buatlah petunjuk yang jelas tentang cara mengerjakan soal</v>
      </c>
      <c r="E22" s="71">
        <f>Telaah_UR!AC25</f>
        <v>2</v>
      </c>
      <c r="F22" s="71">
        <f>Telaah_UR!AD25</f>
        <v>2</v>
      </c>
      <c r="G22" s="71">
        <f>Telaah_UR!AE25</f>
        <v>2</v>
      </c>
      <c r="H22" s="71">
        <f>Telaah_UR!AF25</f>
        <v>2</v>
      </c>
      <c r="I22" s="71">
        <f>Telaah_UR!AG25</f>
        <v>2</v>
      </c>
      <c r="J22" s="71" t="str">
        <f>Telaah_UR!AH25</f>
        <v/>
      </c>
      <c r="K22" s="71" t="str">
        <f>Telaah_UR!AI25</f>
        <v/>
      </c>
      <c r="L22" s="71" t="str">
        <f>Telaah_UR!AJ25</f>
        <v/>
      </c>
      <c r="M22" s="71" t="str">
        <f>Telaah_UR!AK25</f>
        <v/>
      </c>
      <c r="N22" s="71" t="str">
        <f>Telaah_UR!AL25</f>
        <v/>
      </c>
      <c r="O22" s="71" t="str">
        <f>Telaah_UR!AM25</f>
        <v/>
      </c>
      <c r="P22" s="71" t="str">
        <f>Telaah_UR!AN25</f>
        <v/>
      </c>
      <c r="Q22" s="71" t="str">
        <f>Telaah_UR!AO25</f>
        <v/>
      </c>
      <c r="R22" s="71" t="str">
        <f>Telaah_UR!AP25</f>
        <v/>
      </c>
      <c r="S22" s="71" t="str">
        <f>Telaah_UR!AQ25</f>
        <v/>
      </c>
      <c r="T22" s="71" t="str">
        <f>Telaah_UR!AR25</f>
        <v/>
      </c>
      <c r="U22" s="71" t="str">
        <f>Telaah_UR!AS25</f>
        <v/>
      </c>
      <c r="V22" s="71" t="str">
        <f>Telaah_UR!AT25</f>
        <v/>
      </c>
      <c r="W22" s="71" t="str">
        <f>Telaah_UR!AU25</f>
        <v/>
      </c>
      <c r="X22" s="71" t="str">
        <f>Telaah_UR!AV25</f>
        <v/>
      </c>
    </row>
    <row r="23" spans="1:24" ht="19.5" customHeight="1" x14ac:dyDescent="0.25">
      <c r="A23" s="83"/>
      <c r="B23" s="169"/>
      <c r="C23" s="71">
        <v>3</v>
      </c>
      <c r="D23" s="10" t="str">
        <f>Telaah_UR!F27</f>
        <v>Buatlah pedoman penskoran segera setelah soal ditulis</v>
      </c>
      <c r="E23" s="71">
        <f>Telaah_UR!AC27</f>
        <v>2</v>
      </c>
      <c r="F23" s="71">
        <f>Telaah_UR!AD27</f>
        <v>2</v>
      </c>
      <c r="G23" s="71">
        <f>Telaah_UR!AE27</f>
        <v>2</v>
      </c>
      <c r="H23" s="71">
        <f>Telaah_UR!AF27</f>
        <v>2</v>
      </c>
      <c r="I23" s="71">
        <f>Telaah_UR!AG27</f>
        <v>2</v>
      </c>
      <c r="J23" s="71" t="str">
        <f>Telaah_UR!AH27</f>
        <v/>
      </c>
      <c r="K23" s="71" t="str">
        <f>Telaah_UR!AI27</f>
        <v/>
      </c>
      <c r="L23" s="71" t="str">
        <f>Telaah_UR!AJ27</f>
        <v/>
      </c>
      <c r="M23" s="71" t="str">
        <f>Telaah_UR!AK27</f>
        <v/>
      </c>
      <c r="N23" s="71" t="str">
        <f>Telaah_UR!AL27</f>
        <v/>
      </c>
      <c r="O23" s="71" t="str">
        <f>Telaah_UR!AM27</f>
        <v/>
      </c>
      <c r="P23" s="71" t="str">
        <f>Telaah_UR!AN27</f>
        <v/>
      </c>
      <c r="Q23" s="71" t="str">
        <f>Telaah_UR!AO27</f>
        <v/>
      </c>
      <c r="R23" s="71" t="str">
        <f>Telaah_UR!AP27</f>
        <v/>
      </c>
      <c r="S23" s="71" t="str">
        <f>Telaah_UR!AQ27</f>
        <v/>
      </c>
      <c r="T23" s="71" t="str">
        <f>Telaah_UR!AR27</f>
        <v/>
      </c>
      <c r="U23" s="71" t="str">
        <f>Telaah_UR!AS27</f>
        <v/>
      </c>
      <c r="V23" s="71" t="str">
        <f>Telaah_UR!AT27</f>
        <v/>
      </c>
      <c r="W23" s="71" t="str">
        <f>Telaah_UR!AU27</f>
        <v/>
      </c>
      <c r="X23" s="71" t="str">
        <f>Telaah_UR!AV27</f>
        <v/>
      </c>
    </row>
    <row r="24" spans="1:24" ht="37.5" customHeight="1" x14ac:dyDescent="0.25">
      <c r="A24" s="83"/>
      <c r="B24" s="169"/>
      <c r="C24" s="71">
        <v>4</v>
      </c>
      <c r="D24" s="10" t="str">
        <f>Telaah_UR!F29</f>
        <v>Tabel, gambar, grafik, peta, atau yang sejenisnya harus disajikan dengan jelas, berfungsi, dan terbaca</v>
      </c>
      <c r="E24" s="71">
        <f>Telaah_UR!AC29</f>
        <v>2</v>
      </c>
      <c r="F24" s="71">
        <f>Telaah_UR!AD29</f>
        <v>2</v>
      </c>
      <c r="G24" s="71">
        <f>Telaah_UR!AE29</f>
        <v>2</v>
      </c>
      <c r="H24" s="71">
        <f>Telaah_UR!AF29</f>
        <v>2</v>
      </c>
      <c r="I24" s="71">
        <f>Telaah_UR!AG29</f>
        <v>2</v>
      </c>
      <c r="J24" s="71" t="str">
        <f>Telaah_UR!AH29</f>
        <v/>
      </c>
      <c r="K24" s="71" t="str">
        <f>Telaah_UR!AI29</f>
        <v/>
      </c>
      <c r="L24" s="71" t="str">
        <f>Telaah_UR!AJ29</f>
        <v/>
      </c>
      <c r="M24" s="71" t="str">
        <f>Telaah_UR!AK29</f>
        <v/>
      </c>
      <c r="N24" s="71" t="str">
        <f>Telaah_UR!AL29</f>
        <v/>
      </c>
      <c r="O24" s="71" t="str">
        <f>Telaah_UR!AM29</f>
        <v/>
      </c>
      <c r="P24" s="71" t="str">
        <f>Telaah_UR!AN29</f>
        <v/>
      </c>
      <c r="Q24" s="71" t="str">
        <f>Telaah_UR!AO29</f>
        <v/>
      </c>
      <c r="R24" s="71" t="str">
        <f>Telaah_UR!AP29</f>
        <v/>
      </c>
      <c r="S24" s="71" t="str">
        <f>Telaah_UR!AQ29</f>
        <v/>
      </c>
      <c r="T24" s="71" t="str">
        <f>Telaah_UR!AR29</f>
        <v/>
      </c>
      <c r="U24" s="71" t="str">
        <f>Telaah_UR!AS29</f>
        <v/>
      </c>
      <c r="V24" s="71" t="str">
        <f>Telaah_UR!AT29</f>
        <v/>
      </c>
      <c r="W24" s="71" t="str">
        <f>Telaah_UR!AU29</f>
        <v/>
      </c>
      <c r="X24" s="71" t="str">
        <f>Telaah_UR!AV29</f>
        <v/>
      </c>
    </row>
    <row r="25" spans="1:24" ht="30" x14ac:dyDescent="0.25">
      <c r="A25" s="176" t="s">
        <v>100</v>
      </c>
      <c r="B25" s="168" t="str">
        <f>Telaah_UR!D31</f>
        <v>BAHASA</v>
      </c>
      <c r="C25" s="71">
        <v>1</v>
      </c>
      <c r="D25" s="10" t="str">
        <f>Telaah_UR!F31</f>
        <v>Soal menggunakan bahasa yang sederhana dan komunikatif</v>
      </c>
      <c r="E25" s="71">
        <f>Telaah_UR!AC31</f>
        <v>2</v>
      </c>
      <c r="F25" s="71">
        <f>Telaah_UR!AD31</f>
        <v>2</v>
      </c>
      <c r="G25" s="71">
        <f>Telaah_UR!AE31</f>
        <v>2</v>
      </c>
      <c r="H25" s="71">
        <f>Telaah_UR!AF31</f>
        <v>2</v>
      </c>
      <c r="I25" s="71">
        <f>Telaah_UR!AG31</f>
        <v>2</v>
      </c>
      <c r="J25" s="71" t="str">
        <f>Telaah_UR!AH31</f>
        <v/>
      </c>
      <c r="K25" s="71" t="str">
        <f>Telaah_UR!AI31</f>
        <v/>
      </c>
      <c r="L25" s="71" t="str">
        <f>Telaah_UR!AJ31</f>
        <v/>
      </c>
      <c r="M25" s="71" t="str">
        <f>Telaah_UR!AK31</f>
        <v/>
      </c>
      <c r="N25" s="71" t="str">
        <f>Telaah_UR!AL31</f>
        <v/>
      </c>
      <c r="O25" s="71" t="str">
        <f>Telaah_UR!AM31</f>
        <v/>
      </c>
      <c r="P25" s="71" t="str">
        <f>Telaah_UR!AN31</f>
        <v/>
      </c>
      <c r="Q25" s="71" t="str">
        <f>Telaah_UR!AO31</f>
        <v/>
      </c>
      <c r="R25" s="71" t="str">
        <f>Telaah_UR!AP31</f>
        <v/>
      </c>
      <c r="S25" s="71" t="str">
        <f>Telaah_UR!AQ31</f>
        <v/>
      </c>
      <c r="T25" s="71" t="str">
        <f>Telaah_UR!AR31</f>
        <v/>
      </c>
      <c r="U25" s="71" t="str">
        <f>Telaah_UR!AS31</f>
        <v/>
      </c>
      <c r="V25" s="71" t="str">
        <f>Telaah_UR!AT31</f>
        <v/>
      </c>
      <c r="W25" s="71" t="str">
        <f>Telaah_UR!AU31</f>
        <v/>
      </c>
      <c r="X25" s="71" t="str">
        <f>Telaah_UR!AV31</f>
        <v/>
      </c>
    </row>
    <row r="26" spans="1:24" ht="30" x14ac:dyDescent="0.25">
      <c r="A26" s="176"/>
      <c r="B26" s="169"/>
      <c r="C26" s="71">
        <v>2</v>
      </c>
      <c r="D26" s="10" t="str">
        <f>Telaah_UR!F33</f>
        <v>Soal tidak menyinggung perasaan peserta didik atau kelompok tertentu</v>
      </c>
      <c r="E26" s="71">
        <f>Telaah_UR!AC33</f>
        <v>2</v>
      </c>
      <c r="F26" s="71">
        <f>Telaah_UR!AD33</f>
        <v>2</v>
      </c>
      <c r="G26" s="71">
        <f>Telaah_UR!AE33</f>
        <v>2</v>
      </c>
      <c r="H26" s="71">
        <f>Telaah_UR!AF33</f>
        <v>2</v>
      </c>
      <c r="I26" s="71">
        <f>Telaah_UR!AG33</f>
        <v>2</v>
      </c>
      <c r="J26" s="71" t="str">
        <f>Telaah_UR!AH33</f>
        <v/>
      </c>
      <c r="K26" s="71" t="str">
        <f>Telaah_UR!AI33</f>
        <v/>
      </c>
      <c r="L26" s="71" t="str">
        <f>Telaah_UR!AJ33</f>
        <v/>
      </c>
      <c r="M26" s="71" t="str">
        <f>Telaah_UR!AK33</f>
        <v/>
      </c>
      <c r="N26" s="71" t="str">
        <f>Telaah_UR!AL33</f>
        <v/>
      </c>
      <c r="O26" s="71" t="str">
        <f>Telaah_UR!AM33</f>
        <v/>
      </c>
      <c r="P26" s="71" t="str">
        <f>Telaah_UR!AN33</f>
        <v/>
      </c>
      <c r="Q26" s="71" t="str">
        <f>Telaah_UR!AO33</f>
        <v/>
      </c>
      <c r="R26" s="71" t="str">
        <f>Telaah_UR!AP33</f>
        <v/>
      </c>
      <c r="S26" s="71" t="str">
        <f>Telaah_UR!AQ33</f>
        <v/>
      </c>
      <c r="T26" s="71" t="str">
        <f>Telaah_UR!AR33</f>
        <v/>
      </c>
      <c r="U26" s="71" t="str">
        <f>Telaah_UR!AS33</f>
        <v/>
      </c>
      <c r="V26" s="71" t="str">
        <f>Telaah_UR!AT33</f>
        <v/>
      </c>
      <c r="W26" s="71" t="str">
        <f>Telaah_UR!AU33</f>
        <v/>
      </c>
      <c r="X26" s="71" t="str">
        <f>Telaah_UR!AV33</f>
        <v/>
      </c>
    </row>
    <row r="27" spans="1:24" ht="46.9" customHeight="1" x14ac:dyDescent="0.25">
      <c r="A27" s="176"/>
      <c r="B27" s="169"/>
      <c r="C27" s="71">
        <v>3</v>
      </c>
      <c r="D27" s="10" t="str">
        <f>Telaah_UR!F35</f>
        <v xml:space="preserve">Soal tidak menggunakan kata-kata yang menimbulkan penafsiran ganda </v>
      </c>
      <c r="E27" s="71">
        <f>Telaah_UR!AC33</f>
        <v>2</v>
      </c>
      <c r="F27" s="71">
        <f>Telaah_UR!AD33</f>
        <v>2</v>
      </c>
      <c r="G27" s="71">
        <f>Telaah_UR!AE33</f>
        <v>2</v>
      </c>
      <c r="H27" s="71">
        <f>Telaah_UR!AF33</f>
        <v>2</v>
      </c>
      <c r="I27" s="71">
        <f>Telaah_UR!AG33</f>
        <v>2</v>
      </c>
      <c r="J27" s="71" t="str">
        <f>Telaah_UR!AH33</f>
        <v/>
      </c>
      <c r="K27" s="71" t="str">
        <f>Telaah_UR!AI33</f>
        <v/>
      </c>
      <c r="L27" s="71" t="str">
        <f>Telaah_UR!AJ33</f>
        <v/>
      </c>
      <c r="M27" s="71" t="str">
        <f>Telaah_UR!AK33</f>
        <v/>
      </c>
      <c r="N27" s="71" t="str">
        <f>Telaah_UR!AL33</f>
        <v/>
      </c>
      <c r="O27" s="71" t="str">
        <f>Telaah_UR!AM33</f>
        <v/>
      </c>
      <c r="P27" s="71" t="str">
        <f>Telaah_UR!AN33</f>
        <v/>
      </c>
      <c r="Q27" s="71" t="str">
        <f>Telaah_UR!AO33</f>
        <v/>
      </c>
      <c r="R27" s="71" t="str">
        <f>Telaah_UR!AP33</f>
        <v/>
      </c>
      <c r="S27" s="71" t="str">
        <f>Telaah_UR!AQ33</f>
        <v/>
      </c>
      <c r="T27" s="71" t="str">
        <f>Telaah_UR!AR33</f>
        <v/>
      </c>
      <c r="U27" s="71" t="str">
        <f>Telaah_UR!AS33</f>
        <v/>
      </c>
      <c r="V27" s="71" t="str">
        <f>Telaah_UR!AT33</f>
        <v/>
      </c>
      <c r="W27" s="71" t="str">
        <f>Telaah_UR!AU33</f>
        <v/>
      </c>
      <c r="X27" s="71" t="str">
        <f>Telaah_UR!AV33</f>
        <v/>
      </c>
    </row>
    <row r="28" spans="1:24" ht="30.6" customHeight="1" x14ac:dyDescent="0.25">
      <c r="A28" s="176"/>
      <c r="B28" s="169"/>
      <c r="C28" s="71">
        <v>4</v>
      </c>
      <c r="D28" s="10" t="str">
        <f>Telaah_UR!F37</f>
        <v>Soal menggunakan Bahasa Indonesia yang baik dan benar</v>
      </c>
      <c r="E28" s="71">
        <f>Telaah_UR!AC37</f>
        <v>2</v>
      </c>
      <c r="F28" s="71">
        <f>Telaah_UR!AD37</f>
        <v>2</v>
      </c>
      <c r="G28" s="71">
        <f>Telaah_UR!AE37</f>
        <v>2</v>
      </c>
      <c r="H28" s="71">
        <f>Telaah_UR!AF37</f>
        <v>2</v>
      </c>
      <c r="I28" s="71">
        <f>Telaah_UR!AG37</f>
        <v>2</v>
      </c>
      <c r="J28" s="71" t="str">
        <f>Telaah_UR!AH37</f>
        <v/>
      </c>
      <c r="K28" s="71" t="str">
        <f>Telaah_UR!AI37</f>
        <v/>
      </c>
      <c r="L28" s="71" t="str">
        <f>Telaah_UR!AJ37</f>
        <v/>
      </c>
      <c r="M28" s="71" t="str">
        <f>Telaah_UR!AK37</f>
        <v/>
      </c>
      <c r="N28" s="71" t="str">
        <f>Telaah_UR!AL37</f>
        <v/>
      </c>
      <c r="O28" s="71" t="str">
        <f>Telaah_UR!AM37</f>
        <v/>
      </c>
      <c r="P28" s="71" t="str">
        <f>Telaah_UR!AN37</f>
        <v/>
      </c>
      <c r="Q28" s="71" t="str">
        <f>Telaah_UR!AO37</f>
        <v/>
      </c>
      <c r="R28" s="71" t="str">
        <f>Telaah_UR!AP37</f>
        <v/>
      </c>
      <c r="S28" s="71" t="str">
        <f>Telaah_UR!AQ37</f>
        <v/>
      </c>
      <c r="T28" s="71" t="str">
        <f>Telaah_UR!AR37</f>
        <v/>
      </c>
      <c r="U28" s="71" t="str">
        <f>Telaah_UR!AS37</f>
        <v/>
      </c>
      <c r="V28" s="71" t="str">
        <f>Telaah_UR!AT37</f>
        <v/>
      </c>
      <c r="W28" s="71" t="str">
        <f>Telaah_UR!AU37</f>
        <v/>
      </c>
      <c r="X28" s="71" t="str">
        <f>Telaah_UR!AV37</f>
        <v/>
      </c>
    </row>
    <row r="29" spans="1:24" ht="44.45" customHeight="1" x14ac:dyDescent="0.25">
      <c r="A29" s="176"/>
      <c r="B29" s="169"/>
      <c r="C29" s="71">
        <v>5</v>
      </c>
      <c r="D29" s="10" t="str">
        <f>Telaah_UR!F39</f>
        <v>Rumusan soal sudah mempertimbangkan segi bahasa dan budaya</v>
      </c>
      <c r="E29" s="71">
        <f>Telaah_UR!AC39</f>
        <v>2</v>
      </c>
      <c r="F29" s="71">
        <f>Telaah_UR!AD39</f>
        <v>2</v>
      </c>
      <c r="G29" s="71">
        <f>Telaah_UR!AE39</f>
        <v>2</v>
      </c>
      <c r="H29" s="71">
        <f>Telaah_UR!AF39</f>
        <v>2</v>
      </c>
      <c r="I29" s="71">
        <f>Telaah_UR!AG39</f>
        <v>2</v>
      </c>
      <c r="J29" s="71" t="str">
        <f>Telaah_UR!AH39</f>
        <v/>
      </c>
      <c r="K29" s="71" t="str">
        <f>Telaah_UR!AI39</f>
        <v/>
      </c>
      <c r="L29" s="71" t="str">
        <f>Telaah_UR!AJ39</f>
        <v/>
      </c>
      <c r="M29" s="71" t="str">
        <f>Telaah_UR!AK39</f>
        <v/>
      </c>
      <c r="N29" s="71" t="str">
        <f>Telaah_UR!AL39</f>
        <v/>
      </c>
      <c r="O29" s="71" t="str">
        <f>Telaah_UR!AM39</f>
        <v/>
      </c>
      <c r="P29" s="71" t="str">
        <f>Telaah_UR!AN39</f>
        <v/>
      </c>
      <c r="Q29" s="71" t="str">
        <f>Telaah_UR!AO39</f>
        <v/>
      </c>
      <c r="R29" s="71" t="str">
        <f>Telaah_UR!AP39</f>
        <v/>
      </c>
      <c r="S29" s="71" t="str">
        <f>Telaah_UR!AQ39</f>
        <v/>
      </c>
      <c r="T29" s="71" t="str">
        <f>Telaah_UR!AR39</f>
        <v/>
      </c>
      <c r="U29" s="71" t="str">
        <f>Telaah_UR!AS39</f>
        <v/>
      </c>
      <c r="V29" s="71" t="str">
        <f>Telaah_UR!AT39</f>
        <v/>
      </c>
      <c r="W29" s="71" t="str">
        <f>Telaah_UR!AU39</f>
        <v/>
      </c>
      <c r="X29" s="71" t="str">
        <f>Telaah_UR!AV39</f>
        <v/>
      </c>
    </row>
    <row r="30" spans="1:24" ht="30.6" customHeight="1" x14ac:dyDescent="0.25">
      <c r="A30" s="176"/>
      <c r="B30" s="170"/>
      <c r="C30" s="71">
        <v>6</v>
      </c>
      <c r="D30" s="10" t="str">
        <f>Telaah_UR!F41</f>
        <v>Jangan menggunakan bahasa yang berlaku setempat</v>
      </c>
      <c r="E30" s="71">
        <f>Telaah_UR!AC41</f>
        <v>2</v>
      </c>
      <c r="F30" s="71">
        <f>Telaah_UR!AD41</f>
        <v>2</v>
      </c>
      <c r="G30" s="71">
        <f>Telaah_UR!AE41</f>
        <v>2</v>
      </c>
      <c r="H30" s="71">
        <f>Telaah_UR!AF41</f>
        <v>2</v>
      </c>
      <c r="I30" s="71">
        <f>Telaah_UR!AG41</f>
        <v>2</v>
      </c>
      <c r="J30" s="71" t="str">
        <f>Telaah_UR!AH41</f>
        <v/>
      </c>
      <c r="K30" s="71" t="str">
        <f>Telaah_UR!AI41</f>
        <v/>
      </c>
      <c r="L30" s="71" t="str">
        <f>Telaah_UR!AJ41</f>
        <v/>
      </c>
      <c r="M30" s="71" t="str">
        <f>Telaah_UR!AK41</f>
        <v/>
      </c>
      <c r="N30" s="71" t="str">
        <f>Telaah_UR!AL41</f>
        <v/>
      </c>
      <c r="O30" s="71" t="str">
        <f>Telaah_UR!AM41</f>
        <v/>
      </c>
      <c r="P30" s="71" t="str">
        <f>Telaah_UR!AN41</f>
        <v/>
      </c>
      <c r="Q30" s="71" t="str">
        <f>Telaah_UR!AO41</f>
        <v/>
      </c>
      <c r="R30" s="71" t="str">
        <f>Telaah_UR!AP41</f>
        <v/>
      </c>
      <c r="S30" s="71" t="str">
        <f>Telaah_UR!AQ41</f>
        <v/>
      </c>
      <c r="T30" s="71" t="str">
        <f>Telaah_UR!AR41</f>
        <v/>
      </c>
      <c r="U30" s="71" t="str">
        <f>Telaah_UR!AS41</f>
        <v/>
      </c>
      <c r="V30" s="71" t="str">
        <f>Telaah_UR!AT41</f>
        <v/>
      </c>
      <c r="W30" s="71" t="str">
        <f>Telaah_UR!AU41</f>
        <v/>
      </c>
      <c r="X30" s="71" t="str">
        <f>Telaah_UR!AV41</f>
        <v/>
      </c>
    </row>
    <row r="31" spans="1:24" ht="85.9" customHeight="1" x14ac:dyDescent="0.25">
      <c r="A31" s="176" t="s">
        <v>101</v>
      </c>
      <c r="B31" s="175" t="s">
        <v>37</v>
      </c>
      <c r="C31" s="71">
        <v>1</v>
      </c>
      <c r="D31" s="10" t="str">
        <f>Telaah_UR!F43</f>
        <v>Soal memuat stimulus (pernyataan, tabel, grafik, hasil dari percobaan yang dilakukan, laporan, bahan bacaan, hasil observasi, dll) menarik dan kontekstual</v>
      </c>
      <c r="E31" s="71">
        <f>Telaah_UR!AC43</f>
        <v>2</v>
      </c>
      <c r="F31" s="71">
        <f>Telaah_UR!AD43</f>
        <v>2</v>
      </c>
      <c r="G31" s="71">
        <f>Telaah_UR!AE43</f>
        <v>2</v>
      </c>
      <c r="H31" s="71">
        <f>Telaah_UR!AF43</f>
        <v>2</v>
      </c>
      <c r="I31" s="71">
        <f>Telaah_UR!AG43</f>
        <v>2</v>
      </c>
      <c r="J31" s="71" t="str">
        <f>Telaah_UR!AH43</f>
        <v/>
      </c>
      <c r="K31" s="71" t="str">
        <f>Telaah_UR!AI43</f>
        <v/>
      </c>
      <c r="L31" s="71" t="str">
        <f>Telaah_UR!AJ43</f>
        <v/>
      </c>
      <c r="M31" s="71" t="str">
        <f>Telaah_UR!AK43</f>
        <v/>
      </c>
      <c r="N31" s="71" t="str">
        <f>Telaah_UR!AL43</f>
        <v/>
      </c>
      <c r="O31" s="71" t="str">
        <f>Telaah_UR!AM43</f>
        <v/>
      </c>
      <c r="P31" s="71" t="str">
        <f>Telaah_UR!AN43</f>
        <v/>
      </c>
      <c r="Q31" s="71" t="str">
        <f>Telaah_UR!AO43</f>
        <v/>
      </c>
      <c r="R31" s="71" t="str">
        <f>Telaah_UR!AP43</f>
        <v/>
      </c>
      <c r="S31" s="71" t="str">
        <f>Telaah_UR!AQ43</f>
        <v/>
      </c>
      <c r="T31" s="71" t="str">
        <f>Telaah_UR!AR43</f>
        <v/>
      </c>
      <c r="U31" s="71" t="str">
        <f>Telaah_UR!AS43</f>
        <v/>
      </c>
      <c r="V31" s="71" t="str">
        <f>Telaah_UR!AT43</f>
        <v/>
      </c>
      <c r="W31" s="71" t="str">
        <f>Telaah_UR!AU43</f>
        <v/>
      </c>
      <c r="X31" s="71" t="str">
        <f>Telaah_UR!AV43</f>
        <v/>
      </c>
    </row>
    <row r="32" spans="1:24" ht="30" x14ac:dyDescent="0.25">
      <c r="A32" s="176"/>
      <c r="B32" s="175"/>
      <c r="C32" s="71">
        <v>2</v>
      </c>
      <c r="D32" s="10" t="str">
        <f>Telaah_UR!F48</f>
        <v xml:space="preserve">Soal mengukur cara berfikir logis atau proses penalaran </v>
      </c>
      <c r="E32" s="71">
        <f>Telaah_UR!AC48</f>
        <v>2</v>
      </c>
      <c r="F32" s="71">
        <f>Telaah_UR!AD48</f>
        <v>2</v>
      </c>
      <c r="G32" s="71">
        <f>Telaah_UR!AE48</f>
        <v>2</v>
      </c>
      <c r="H32" s="71">
        <f>Telaah_UR!AF48</f>
        <v>2</v>
      </c>
      <c r="I32" s="71">
        <f>Telaah_UR!AG48</f>
        <v>2</v>
      </c>
      <c r="J32" s="71" t="str">
        <f>Telaah_UR!AH48</f>
        <v/>
      </c>
      <c r="K32" s="71" t="str">
        <f>Telaah_UR!AI48</f>
        <v/>
      </c>
      <c r="L32" s="71" t="str">
        <f>Telaah_UR!AJ48</f>
        <v/>
      </c>
      <c r="M32" s="71" t="str">
        <f>Telaah_UR!AK48</f>
        <v/>
      </c>
      <c r="N32" s="71" t="str">
        <f>Telaah_UR!AL48</f>
        <v/>
      </c>
      <c r="O32" s="71" t="str">
        <f>Telaah_UR!AM48</f>
        <v/>
      </c>
      <c r="P32" s="71" t="str">
        <f>Telaah_UR!AN48</f>
        <v/>
      </c>
      <c r="Q32" s="71" t="str">
        <f>Telaah_UR!AO48</f>
        <v/>
      </c>
      <c r="R32" s="71" t="str">
        <f>Telaah_UR!AP48</f>
        <v/>
      </c>
      <c r="S32" s="71" t="str">
        <f>Telaah_UR!AQ48</f>
        <v/>
      </c>
      <c r="T32" s="71" t="str">
        <f>Telaah_UR!AR48</f>
        <v/>
      </c>
      <c r="U32" s="71" t="str">
        <f>Telaah_UR!AS48</f>
        <v/>
      </c>
      <c r="V32" s="71" t="str">
        <f>Telaah_UR!AT48</f>
        <v/>
      </c>
      <c r="W32" s="71" t="str">
        <f>Telaah_UR!AU48</f>
        <v/>
      </c>
      <c r="X32" s="71" t="str">
        <f>Telaah_UR!AV48</f>
        <v/>
      </c>
    </row>
    <row r="33" spans="1:24" ht="18" customHeight="1" x14ac:dyDescent="0.25">
      <c r="A33" s="71" t="s">
        <v>103</v>
      </c>
      <c r="B33" s="177" t="s">
        <v>110</v>
      </c>
      <c r="C33" s="177"/>
      <c r="D33" s="177"/>
      <c r="E33" s="81" t="str">
        <f>Telaah_UR!$CK$53</f>
        <v>C6</v>
      </c>
      <c r="F33" s="81" t="str">
        <f>Telaah_UR!$CL$53</f>
        <v>C1</v>
      </c>
      <c r="G33" s="81" t="str">
        <f>Telaah_UR!$CM$53</f>
        <v>C1</v>
      </c>
      <c r="H33" s="81" t="str">
        <f>Telaah_UR!$CN$53</f>
        <v>C1</v>
      </c>
      <c r="I33" s="81" t="str">
        <f>Telaah_UR!$CO$53</f>
        <v>C2</v>
      </c>
      <c r="J33" s="81" t="str">
        <f>Telaah_UR!$CP$53</f>
        <v/>
      </c>
      <c r="K33" s="81" t="str">
        <f>Telaah_UR!$CQ$53</f>
        <v/>
      </c>
      <c r="L33" s="81" t="str">
        <f>Telaah_UR!$CR$53</f>
        <v/>
      </c>
      <c r="M33" s="81" t="str">
        <f>Telaah_UR!$CS$53</f>
        <v/>
      </c>
      <c r="N33" s="81" t="str">
        <f>Telaah_UR!$CT$53</f>
        <v/>
      </c>
      <c r="O33" s="81" t="str">
        <f>Telaah_UR!$CU$53</f>
        <v/>
      </c>
      <c r="P33" s="81" t="str">
        <f>Telaah_UR!$CV$53</f>
        <v/>
      </c>
      <c r="Q33" s="81" t="str">
        <f>Telaah_UR!$CW$53</f>
        <v/>
      </c>
      <c r="R33" s="81" t="str">
        <f>Telaah_UR!$CX$53</f>
        <v/>
      </c>
      <c r="S33" s="81" t="str">
        <f>Telaah_UR!$CY$53</f>
        <v/>
      </c>
      <c r="T33" s="81" t="str">
        <f>Telaah_UR!$CZ$53</f>
        <v/>
      </c>
      <c r="U33" s="81" t="str">
        <f>Telaah_UR!$DA$53</f>
        <v/>
      </c>
      <c r="V33" s="81" t="str">
        <f>Telaah_UR!$DB$53</f>
        <v/>
      </c>
      <c r="W33" s="81" t="str">
        <f>Telaah_UR!$DC$53</f>
        <v/>
      </c>
      <c r="X33" s="81" t="str">
        <f>Telaah_UR!$DD$53</f>
        <v/>
      </c>
    </row>
    <row r="34" spans="1:24" ht="15.75" x14ac:dyDescent="0.3">
      <c r="A34" s="70"/>
      <c r="B34" s="174" t="s">
        <v>144</v>
      </c>
      <c r="C34" s="174"/>
      <c r="D34" s="174"/>
      <c r="E34" s="80">
        <f t="shared" ref="E34:X34" si="0">SUM(E15:E32)</f>
        <v>36</v>
      </c>
      <c r="F34" s="80">
        <f t="shared" si="0"/>
        <v>36</v>
      </c>
      <c r="G34" s="80">
        <f t="shared" si="0"/>
        <v>36</v>
      </c>
      <c r="H34" s="80">
        <f t="shared" si="0"/>
        <v>36</v>
      </c>
      <c r="I34" s="80">
        <f t="shared" si="0"/>
        <v>36</v>
      </c>
      <c r="J34" s="80">
        <f t="shared" si="0"/>
        <v>0</v>
      </c>
      <c r="K34" s="80">
        <f t="shared" si="0"/>
        <v>0</v>
      </c>
      <c r="L34" s="80">
        <f t="shared" si="0"/>
        <v>0</v>
      </c>
      <c r="M34" s="80">
        <f t="shared" si="0"/>
        <v>0</v>
      </c>
      <c r="N34" s="80">
        <f t="shared" si="0"/>
        <v>0</v>
      </c>
      <c r="O34" s="80">
        <f t="shared" si="0"/>
        <v>0</v>
      </c>
      <c r="P34" s="80">
        <f t="shared" si="0"/>
        <v>0</v>
      </c>
      <c r="Q34" s="80">
        <f t="shared" si="0"/>
        <v>0</v>
      </c>
      <c r="R34" s="80">
        <f t="shared" si="0"/>
        <v>0</v>
      </c>
      <c r="S34" s="80">
        <f t="shared" si="0"/>
        <v>0</v>
      </c>
      <c r="T34" s="80">
        <f t="shared" si="0"/>
        <v>0</v>
      </c>
      <c r="U34" s="80">
        <f t="shared" si="0"/>
        <v>0</v>
      </c>
      <c r="V34" s="80">
        <f t="shared" si="0"/>
        <v>0</v>
      </c>
      <c r="W34" s="80">
        <f t="shared" si="0"/>
        <v>0</v>
      </c>
      <c r="X34" s="80">
        <f t="shared" si="0"/>
        <v>0</v>
      </c>
    </row>
    <row r="35" spans="1:24" x14ac:dyDescent="0.25">
      <c r="A35" s="70"/>
      <c r="B35" s="174" t="s">
        <v>154</v>
      </c>
      <c r="C35" s="174"/>
      <c r="D35" s="174"/>
      <c r="E35" s="16">
        <f>E34/36*100</f>
        <v>100</v>
      </c>
      <c r="F35" s="16">
        <f t="shared" ref="F35:X35" si="1">F34/36*100</f>
        <v>100</v>
      </c>
      <c r="G35" s="16">
        <f t="shared" si="1"/>
        <v>100</v>
      </c>
      <c r="H35" s="16">
        <f t="shared" si="1"/>
        <v>100</v>
      </c>
      <c r="I35" s="16">
        <f t="shared" si="1"/>
        <v>100</v>
      </c>
      <c r="J35" s="16">
        <f t="shared" si="1"/>
        <v>0</v>
      </c>
      <c r="K35" s="16">
        <f t="shared" si="1"/>
        <v>0</v>
      </c>
      <c r="L35" s="16">
        <f t="shared" si="1"/>
        <v>0</v>
      </c>
      <c r="M35" s="16">
        <f t="shared" si="1"/>
        <v>0</v>
      </c>
      <c r="N35" s="16">
        <f t="shared" si="1"/>
        <v>0</v>
      </c>
      <c r="O35" s="16">
        <f t="shared" si="1"/>
        <v>0</v>
      </c>
      <c r="P35" s="16">
        <f t="shared" si="1"/>
        <v>0</v>
      </c>
      <c r="Q35" s="16">
        <f t="shared" si="1"/>
        <v>0</v>
      </c>
      <c r="R35" s="16">
        <f t="shared" si="1"/>
        <v>0</v>
      </c>
      <c r="S35" s="16">
        <f t="shared" si="1"/>
        <v>0</v>
      </c>
      <c r="T35" s="16">
        <f t="shared" si="1"/>
        <v>0</v>
      </c>
      <c r="U35" s="16">
        <f t="shared" si="1"/>
        <v>0</v>
      </c>
      <c r="V35" s="16">
        <f t="shared" si="1"/>
        <v>0</v>
      </c>
      <c r="W35" s="16">
        <f t="shared" si="1"/>
        <v>0</v>
      </c>
      <c r="X35" s="16">
        <f t="shared" si="1"/>
        <v>0</v>
      </c>
    </row>
    <row r="36" spans="1:24" hidden="1" x14ac:dyDescent="0.25">
      <c r="A36" s="70"/>
      <c r="B36" s="174" t="s">
        <v>150</v>
      </c>
      <c r="C36" s="174"/>
      <c r="D36" s="174"/>
      <c r="E36" s="11" t="str">
        <f>IF(E35="","",IF(E35&lt;80.5,"D",IF(AND(E35&gt;=80.5,E35&lt;90.5),"R","G")))</f>
        <v>G</v>
      </c>
      <c r="F36" s="11" t="str">
        <f t="shared" ref="F36:X36" si="2">IF(F35="","",IF(F35&lt;80.5,"D",IF(AND(F35&gt;=80.5,F35&lt;90.5),"R","G")))</f>
        <v>G</v>
      </c>
      <c r="G36" s="11" t="str">
        <f t="shared" si="2"/>
        <v>G</v>
      </c>
      <c r="H36" s="11" t="str">
        <f t="shared" si="2"/>
        <v>G</v>
      </c>
      <c r="I36" s="11" t="str">
        <f t="shared" si="2"/>
        <v>G</v>
      </c>
      <c r="J36" s="11" t="str">
        <f t="shared" si="2"/>
        <v>D</v>
      </c>
      <c r="K36" s="11" t="str">
        <f t="shared" si="2"/>
        <v>D</v>
      </c>
      <c r="L36" s="11" t="str">
        <f t="shared" si="2"/>
        <v>D</v>
      </c>
      <c r="M36" s="11" t="str">
        <f t="shared" si="2"/>
        <v>D</v>
      </c>
      <c r="N36" s="11" t="str">
        <f t="shared" si="2"/>
        <v>D</v>
      </c>
      <c r="O36" s="11" t="str">
        <f t="shared" si="2"/>
        <v>D</v>
      </c>
      <c r="P36" s="11" t="str">
        <f t="shared" si="2"/>
        <v>D</v>
      </c>
      <c r="Q36" s="11" t="str">
        <f t="shared" si="2"/>
        <v>D</v>
      </c>
      <c r="R36" s="11" t="str">
        <f t="shared" si="2"/>
        <v>D</v>
      </c>
      <c r="S36" s="11" t="str">
        <f t="shared" si="2"/>
        <v>D</v>
      </c>
      <c r="T36" s="11" t="str">
        <f t="shared" si="2"/>
        <v>D</v>
      </c>
      <c r="U36" s="11" t="str">
        <f t="shared" si="2"/>
        <v>D</v>
      </c>
      <c r="V36" s="11" t="str">
        <f t="shared" si="2"/>
        <v>D</v>
      </c>
      <c r="W36" s="11" t="str">
        <f t="shared" si="2"/>
        <v>D</v>
      </c>
      <c r="X36" s="11" t="str">
        <f t="shared" si="2"/>
        <v>D</v>
      </c>
    </row>
    <row r="37" spans="1:24" ht="61.9" customHeight="1" x14ac:dyDescent="0.25">
      <c r="A37" s="70"/>
      <c r="B37" s="167" t="s">
        <v>151</v>
      </c>
      <c r="C37" s="167"/>
      <c r="D37" s="167"/>
      <c r="E37" s="12" t="str">
        <f>IF(E35=0,"",IF(E35&lt;80.5,"Ditolak",IF(AND(E35&gt;=80.5,E35&lt;90.5),"Diperbaiki","Digunakan")))</f>
        <v>Digunakan</v>
      </c>
      <c r="F37" s="12" t="str">
        <f t="shared" ref="F37:X37" si="3">IF(F35=0,"",IF(F35&lt;80.5,"Ditolak",IF(AND(F35&gt;=80.5,F35&lt;90.5),"Diperbaiki","Digunakan")))</f>
        <v>Digunakan</v>
      </c>
      <c r="G37" s="12" t="str">
        <f t="shared" si="3"/>
        <v>Digunakan</v>
      </c>
      <c r="H37" s="12" t="str">
        <f t="shared" si="3"/>
        <v>Digunakan</v>
      </c>
      <c r="I37" s="12" t="str">
        <f t="shared" si="3"/>
        <v>Digunakan</v>
      </c>
      <c r="J37" s="12" t="str">
        <f t="shared" si="3"/>
        <v/>
      </c>
      <c r="K37" s="12" t="str">
        <f t="shared" si="3"/>
        <v/>
      </c>
      <c r="L37" s="12" t="str">
        <f t="shared" si="3"/>
        <v/>
      </c>
      <c r="M37" s="12" t="str">
        <f t="shared" si="3"/>
        <v/>
      </c>
      <c r="N37" s="12" t="str">
        <f t="shared" si="3"/>
        <v/>
      </c>
      <c r="O37" s="12" t="str">
        <f t="shared" si="3"/>
        <v/>
      </c>
      <c r="P37" s="12" t="str">
        <f t="shared" si="3"/>
        <v/>
      </c>
      <c r="Q37" s="12" t="str">
        <f t="shared" si="3"/>
        <v/>
      </c>
      <c r="R37" s="12" t="str">
        <f t="shared" si="3"/>
        <v/>
      </c>
      <c r="S37" s="12" t="str">
        <f t="shared" si="3"/>
        <v/>
      </c>
      <c r="T37" s="12" t="str">
        <f t="shared" si="3"/>
        <v/>
      </c>
      <c r="U37" s="12" t="str">
        <f t="shared" si="3"/>
        <v/>
      </c>
      <c r="V37" s="12" t="str">
        <f t="shared" si="3"/>
        <v/>
      </c>
      <c r="W37" s="12" t="str">
        <f t="shared" si="3"/>
        <v/>
      </c>
      <c r="X37" s="12" t="str">
        <f t="shared" si="3"/>
        <v/>
      </c>
    </row>
    <row r="38" spans="1:24" x14ac:dyDescent="0.25">
      <c r="A38" s="13"/>
      <c r="B38" s="14"/>
      <c r="C38" s="14"/>
      <c r="D38" s="14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4" ht="15.75" x14ac:dyDescent="0.25">
      <c r="A39" s="13"/>
      <c r="B39" s="86"/>
      <c r="C39" s="86"/>
      <c r="D39" s="86"/>
      <c r="E39" s="87"/>
      <c r="F39" s="87"/>
      <c r="G39" s="87"/>
      <c r="H39" s="87"/>
      <c r="I39" s="87"/>
      <c r="J39" s="87"/>
      <c r="K39" s="2"/>
      <c r="L39" s="2" t="str">
        <f>CONCATENATE(Biodata!C18,","," ",Biodata!C17 )</f>
        <v>Wonogiri, 16 Maret 2021</v>
      </c>
      <c r="M39" s="87"/>
      <c r="N39" s="87"/>
      <c r="O39" s="87"/>
      <c r="P39" s="87"/>
      <c r="Q39" s="87"/>
      <c r="R39" s="2"/>
      <c r="S39" s="2"/>
      <c r="T39" s="87"/>
      <c r="U39" s="87"/>
      <c r="V39" s="87"/>
      <c r="W39" s="87"/>
      <c r="X39" s="87"/>
    </row>
    <row r="40" spans="1:24" ht="15.75" x14ac:dyDescent="0.25">
      <c r="A40" s="15"/>
      <c r="B40" s="2" t="s">
        <v>145</v>
      </c>
      <c r="C40" s="2"/>
      <c r="D40" s="2"/>
      <c r="E40" s="2" t="s">
        <v>145</v>
      </c>
      <c r="F40" s="2"/>
      <c r="G40" s="2"/>
      <c r="H40" s="2"/>
      <c r="I40" s="2"/>
      <c r="J40" s="2"/>
      <c r="K40" s="2"/>
      <c r="L40" s="97" t="s">
        <v>278</v>
      </c>
      <c r="M40" s="69"/>
      <c r="N40" s="69"/>
      <c r="O40" s="69"/>
      <c r="P40" s="69"/>
      <c r="Q40" s="69"/>
      <c r="R40" s="2"/>
      <c r="S40" s="2"/>
      <c r="T40" s="69"/>
      <c r="U40" s="69"/>
      <c r="V40" s="69"/>
      <c r="W40" s="69"/>
      <c r="X40" s="69"/>
    </row>
    <row r="41" spans="1:24" ht="30.6" customHeight="1" x14ac:dyDescent="0.25">
      <c r="A41" s="15"/>
      <c r="B41" s="6" t="s">
        <v>146</v>
      </c>
      <c r="C41" s="2"/>
      <c r="D41" s="2"/>
      <c r="E41" s="181" t="s">
        <v>248</v>
      </c>
      <c r="F41" s="181"/>
      <c r="G41" s="181"/>
      <c r="H41" s="181"/>
      <c r="I41" s="181"/>
      <c r="J41" s="181"/>
      <c r="K41" s="6"/>
      <c r="L41" s="181" t="s">
        <v>275</v>
      </c>
      <c r="M41" s="181"/>
      <c r="N41" s="181"/>
      <c r="O41" s="181"/>
      <c r="P41" s="181"/>
      <c r="Q41" s="181"/>
      <c r="R41" s="181"/>
      <c r="S41" s="6" t="s">
        <v>90</v>
      </c>
      <c r="T41" s="2"/>
      <c r="U41" s="6"/>
      <c r="V41" s="6"/>
      <c r="W41" s="6"/>
      <c r="X41" s="6"/>
    </row>
    <row r="42" spans="1:24" ht="15.75" x14ac:dyDescent="0.25">
      <c r="A42" s="1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x14ac:dyDescent="0.25">
      <c r="A43" s="1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x14ac:dyDescent="0.25">
      <c r="A44" s="1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x14ac:dyDescent="0.25">
      <c r="A45" s="15"/>
      <c r="B45" s="45" t="str">
        <f>Biodata!C7</f>
        <v>Indah Darmawati, SE, M.Pd</v>
      </c>
      <c r="C45" s="2"/>
      <c r="D45" s="2"/>
      <c r="E45" s="107" t="str">
        <f>Biodata!C8</f>
        <v>Drs. Suyono, M.Si</v>
      </c>
      <c r="F45" s="2"/>
      <c r="G45" s="2"/>
      <c r="H45" s="2"/>
      <c r="I45" s="2"/>
      <c r="J45" s="2"/>
      <c r="K45" s="2"/>
      <c r="L45" s="107" t="str">
        <f>Biodata!C10</f>
        <v>Bhekti Tulus Martani, S.Pd.</v>
      </c>
      <c r="M45" s="2"/>
      <c r="N45" s="2"/>
      <c r="O45" s="2"/>
      <c r="P45" s="2"/>
      <c r="Q45" s="2"/>
      <c r="R45" s="2"/>
      <c r="S45" s="107" t="str">
        <f>Biodata!C11</f>
        <v>Ade Setiyawan, S.Kom.</v>
      </c>
      <c r="T45" s="2"/>
      <c r="U45" s="2"/>
      <c r="V45" s="2"/>
      <c r="W45" s="2"/>
      <c r="X45" s="2"/>
    </row>
    <row r="46" spans="1:24" ht="15.75" x14ac:dyDescent="0.25">
      <c r="B46" s="2" t="str">
        <f>CONCATENATE("NIP"," ",Biodata!F7)</f>
        <v>NIP 19770316 200701 2 002</v>
      </c>
      <c r="C46" s="2"/>
      <c r="D46" s="2"/>
      <c r="E46" s="180" t="str">
        <f>CONCATENATE("NIP"," ",Biodata!F8)</f>
        <v>NIP 19630329 199512 1 003</v>
      </c>
      <c r="F46" s="180"/>
      <c r="G46" s="180"/>
      <c r="H46" s="180"/>
      <c r="I46" s="180"/>
      <c r="J46" s="180"/>
      <c r="K46" s="180"/>
      <c r="L46" s="180" t="str">
        <f>CONCATENATE("NIP"," ",Biodata!F10)</f>
        <v>NIP -</v>
      </c>
      <c r="M46" s="180"/>
      <c r="N46" s="180"/>
      <c r="O46" s="180"/>
      <c r="P46" s="180"/>
      <c r="Q46" s="180"/>
      <c r="R46" s="180"/>
      <c r="S46" s="2" t="str">
        <f>CONCATENATE("NIP"," ",Biodata!F11)</f>
        <v>NIP -</v>
      </c>
      <c r="T46" s="2"/>
      <c r="U46" s="2"/>
      <c r="V46" s="2"/>
      <c r="W46" s="2"/>
      <c r="X46" s="2"/>
    </row>
    <row r="48" spans="1:24" x14ac:dyDescent="0.25">
      <c r="A48" s="1" t="s">
        <v>149</v>
      </c>
    </row>
    <row r="49" spans="1:4" x14ac:dyDescent="0.25">
      <c r="A49" s="1">
        <v>1</v>
      </c>
      <c r="B49" s="1" t="s">
        <v>156</v>
      </c>
      <c r="C49" s="1" t="s">
        <v>143</v>
      </c>
      <c r="D49" s="1" t="s">
        <v>181</v>
      </c>
    </row>
    <row r="50" spans="1:4" x14ac:dyDescent="0.25">
      <c r="A50" s="1">
        <v>2</v>
      </c>
      <c r="B50" s="1" t="s">
        <v>153</v>
      </c>
      <c r="C50" s="1" t="s">
        <v>143</v>
      </c>
      <c r="D50" s="1" t="s">
        <v>182</v>
      </c>
    </row>
    <row r="51" spans="1:4" x14ac:dyDescent="0.25">
      <c r="A51" s="1">
        <v>3</v>
      </c>
      <c r="B51" s="1" t="s">
        <v>152</v>
      </c>
      <c r="C51" s="1" t="s">
        <v>143</v>
      </c>
      <c r="D51" s="1" t="s">
        <v>155</v>
      </c>
    </row>
  </sheetData>
  <mergeCells count="25">
    <mergeCell ref="L46:R46"/>
    <mergeCell ref="A15:A16"/>
    <mergeCell ref="B15:B16"/>
    <mergeCell ref="A1:X1"/>
    <mergeCell ref="A2:X2"/>
    <mergeCell ref="A3:X3"/>
    <mergeCell ref="A13:A14"/>
    <mergeCell ref="B13:B14"/>
    <mergeCell ref="C13:D14"/>
    <mergeCell ref="E13:X13"/>
    <mergeCell ref="L41:R41"/>
    <mergeCell ref="B21:B24"/>
    <mergeCell ref="B17:B20"/>
    <mergeCell ref="A17:A20"/>
    <mergeCell ref="B31:B32"/>
    <mergeCell ref="B25:B30"/>
    <mergeCell ref="A25:A30"/>
    <mergeCell ref="B35:D35"/>
    <mergeCell ref="B36:D36"/>
    <mergeCell ref="E46:K46"/>
    <mergeCell ref="B37:D37"/>
    <mergeCell ref="E41:J41"/>
    <mergeCell ref="B33:D33"/>
    <mergeCell ref="B34:D34"/>
    <mergeCell ref="A31:A32"/>
  </mergeCells>
  <pageMargins left="0.39370078740157483" right="0.11811023622047245" top="0.39370078740157483" bottom="0.35433070866141736" header="0.31496062992125984" footer="0.27559055118110237"/>
  <pageSetup paperSize="9" scale="75" orientation="landscape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WVQ68"/>
  <sheetViews>
    <sheetView showGridLines="0" topLeftCell="A20" zoomScale="40" zoomScaleNormal="40" workbookViewId="0">
      <selection activeCell="F13" sqref="F13"/>
    </sheetView>
  </sheetViews>
  <sheetFormatPr defaultColWidth="0" defaultRowHeight="15" x14ac:dyDescent="0.25"/>
  <cols>
    <col min="1" max="1" width="11.140625" style="1" customWidth="1"/>
    <col min="2" max="2" width="5.28515625" style="1" customWidth="1"/>
    <col min="3" max="3" width="8" style="1" customWidth="1"/>
    <col min="4" max="4" width="14.7109375" style="1" hidden="1" customWidth="1"/>
    <col min="5" max="6" width="15.5703125" style="1" customWidth="1"/>
    <col min="7" max="7" width="21.85546875" style="1" customWidth="1"/>
    <col min="8" max="8" width="65.7109375" style="29" customWidth="1"/>
    <col min="9" max="9" width="9.140625" style="28" customWidth="1"/>
    <col min="10" max="10" width="9.5703125" style="27" hidden="1" customWidth="1"/>
    <col min="11" max="11" width="107" style="27" customWidth="1"/>
    <col min="12" max="70" width="9.140625" style="27" customWidth="1"/>
    <col min="71" max="258" width="9.140625" style="28" customWidth="1"/>
    <col min="259" max="259" width="11.140625" style="28" customWidth="1"/>
    <col min="260" max="260" width="5.28515625" style="28" customWidth="1"/>
    <col min="261" max="261" width="8" style="28" customWidth="1"/>
    <col min="262" max="262" width="9.140625" style="28" hidden="1" customWidth="1"/>
    <col min="263" max="263" width="16.85546875" style="28" customWidth="1"/>
    <col min="264" max="264" width="83" style="28" customWidth="1"/>
    <col min="265" max="265" width="9.140625" style="28" customWidth="1"/>
    <col min="266" max="326" width="9.140625" style="28" hidden="1" customWidth="1"/>
    <col min="327" max="514" width="9.140625" style="28" hidden="1"/>
    <col min="515" max="515" width="11.140625" style="28" customWidth="1"/>
    <col min="516" max="516" width="5.28515625" style="28" customWidth="1"/>
    <col min="517" max="517" width="8" style="28" customWidth="1"/>
    <col min="518" max="518" width="9.140625" style="28" hidden="1" customWidth="1"/>
    <col min="519" max="519" width="16.85546875" style="28" customWidth="1"/>
    <col min="520" max="520" width="83" style="28" customWidth="1"/>
    <col min="521" max="521" width="9.140625" style="28" customWidth="1"/>
    <col min="522" max="582" width="9.140625" style="28" hidden="1" customWidth="1"/>
    <col min="583" max="770" width="9.140625" style="28" hidden="1"/>
    <col min="771" max="771" width="11.140625" style="28" customWidth="1"/>
    <col min="772" max="772" width="5.28515625" style="28" customWidth="1"/>
    <col min="773" max="773" width="8" style="28" customWidth="1"/>
    <col min="774" max="774" width="9.140625" style="28" hidden="1" customWidth="1"/>
    <col min="775" max="775" width="16.85546875" style="28" customWidth="1"/>
    <col min="776" max="776" width="83" style="28" customWidth="1"/>
    <col min="777" max="777" width="9.140625" style="28" customWidth="1"/>
    <col min="778" max="838" width="9.140625" style="28" hidden="1" customWidth="1"/>
    <col min="839" max="1026" width="9.140625" style="28" hidden="1"/>
    <col min="1027" max="1027" width="11.140625" style="28" customWidth="1"/>
    <col min="1028" max="1028" width="5.28515625" style="28" customWidth="1"/>
    <col min="1029" max="1029" width="8" style="28" customWidth="1"/>
    <col min="1030" max="1030" width="9.140625" style="28" hidden="1" customWidth="1"/>
    <col min="1031" max="1031" width="16.85546875" style="28" customWidth="1"/>
    <col min="1032" max="1032" width="83" style="28" customWidth="1"/>
    <col min="1033" max="1033" width="9.140625" style="28" customWidth="1"/>
    <col min="1034" max="1094" width="9.140625" style="28" hidden="1" customWidth="1"/>
    <col min="1095" max="1282" width="9.140625" style="28" hidden="1"/>
    <col min="1283" max="1283" width="11.140625" style="28" customWidth="1"/>
    <col min="1284" max="1284" width="5.28515625" style="28" customWidth="1"/>
    <col min="1285" max="1285" width="8" style="28" customWidth="1"/>
    <col min="1286" max="1286" width="9.140625" style="28" hidden="1" customWidth="1"/>
    <col min="1287" max="1287" width="16.85546875" style="28" customWidth="1"/>
    <col min="1288" max="1288" width="83" style="28" customWidth="1"/>
    <col min="1289" max="1289" width="9.140625" style="28" customWidth="1"/>
    <col min="1290" max="1350" width="9.140625" style="28" hidden="1" customWidth="1"/>
    <col min="1351" max="1538" width="9.140625" style="28" hidden="1"/>
    <col min="1539" max="1539" width="11.140625" style="28" customWidth="1"/>
    <col min="1540" max="1540" width="5.28515625" style="28" customWidth="1"/>
    <col min="1541" max="1541" width="8" style="28" customWidth="1"/>
    <col min="1542" max="1542" width="9.140625" style="28" hidden="1" customWidth="1"/>
    <col min="1543" max="1543" width="16.85546875" style="28" customWidth="1"/>
    <col min="1544" max="1544" width="83" style="28" customWidth="1"/>
    <col min="1545" max="1545" width="9.140625" style="28" customWidth="1"/>
    <col min="1546" max="1606" width="9.140625" style="28" hidden="1" customWidth="1"/>
    <col min="1607" max="1794" width="9.140625" style="28" hidden="1"/>
    <col min="1795" max="1795" width="11.140625" style="28" customWidth="1"/>
    <col min="1796" max="1796" width="5.28515625" style="28" customWidth="1"/>
    <col min="1797" max="1797" width="8" style="28" customWidth="1"/>
    <col min="1798" max="1798" width="9.140625" style="28" hidden="1" customWidth="1"/>
    <col min="1799" max="1799" width="16.85546875" style="28" customWidth="1"/>
    <col min="1800" max="1800" width="83" style="28" customWidth="1"/>
    <col min="1801" max="1801" width="9.140625" style="28" customWidth="1"/>
    <col min="1802" max="1862" width="9.140625" style="28" hidden="1" customWidth="1"/>
    <col min="1863" max="2050" width="9.140625" style="28" hidden="1"/>
    <col min="2051" max="2051" width="11.140625" style="28" customWidth="1"/>
    <col min="2052" max="2052" width="5.28515625" style="28" customWidth="1"/>
    <col min="2053" max="2053" width="8" style="28" customWidth="1"/>
    <col min="2054" max="2054" width="9.140625" style="28" hidden="1" customWidth="1"/>
    <col min="2055" max="2055" width="16.85546875" style="28" customWidth="1"/>
    <col min="2056" max="2056" width="83" style="28" customWidth="1"/>
    <col min="2057" max="2057" width="9.140625" style="28" customWidth="1"/>
    <col min="2058" max="2118" width="9.140625" style="28" hidden="1" customWidth="1"/>
    <col min="2119" max="2306" width="9.140625" style="28" hidden="1"/>
    <col min="2307" max="2307" width="11.140625" style="28" customWidth="1"/>
    <col min="2308" max="2308" width="5.28515625" style="28" customWidth="1"/>
    <col min="2309" max="2309" width="8" style="28" customWidth="1"/>
    <col min="2310" max="2310" width="9.140625" style="28" hidden="1" customWidth="1"/>
    <col min="2311" max="2311" width="16.85546875" style="28" customWidth="1"/>
    <col min="2312" max="2312" width="83" style="28" customWidth="1"/>
    <col min="2313" max="2313" width="9.140625" style="28" customWidth="1"/>
    <col min="2314" max="2374" width="9.140625" style="28" hidden="1" customWidth="1"/>
    <col min="2375" max="2562" width="9.140625" style="28" hidden="1"/>
    <col min="2563" max="2563" width="11.140625" style="28" customWidth="1"/>
    <col min="2564" max="2564" width="5.28515625" style="28" customWidth="1"/>
    <col min="2565" max="2565" width="8" style="28" customWidth="1"/>
    <col min="2566" max="2566" width="9.140625" style="28" hidden="1" customWidth="1"/>
    <col min="2567" max="2567" width="16.85546875" style="28" customWidth="1"/>
    <col min="2568" max="2568" width="83" style="28" customWidth="1"/>
    <col min="2569" max="2569" width="9.140625" style="28" customWidth="1"/>
    <col min="2570" max="2630" width="9.140625" style="28" hidden="1" customWidth="1"/>
    <col min="2631" max="2818" width="9.140625" style="28" hidden="1"/>
    <col min="2819" max="2819" width="11.140625" style="28" customWidth="1"/>
    <col min="2820" max="2820" width="5.28515625" style="28" customWidth="1"/>
    <col min="2821" max="2821" width="8" style="28" customWidth="1"/>
    <col min="2822" max="2822" width="9.140625" style="28" hidden="1" customWidth="1"/>
    <col min="2823" max="2823" width="16.85546875" style="28" customWidth="1"/>
    <col min="2824" max="2824" width="83" style="28" customWidth="1"/>
    <col min="2825" max="2825" width="9.140625" style="28" customWidth="1"/>
    <col min="2826" max="2886" width="9.140625" style="28" hidden="1" customWidth="1"/>
    <col min="2887" max="3074" width="9.140625" style="28" hidden="1"/>
    <col min="3075" max="3075" width="11.140625" style="28" customWidth="1"/>
    <col min="3076" max="3076" width="5.28515625" style="28" customWidth="1"/>
    <col min="3077" max="3077" width="8" style="28" customWidth="1"/>
    <col min="3078" max="3078" width="9.140625" style="28" hidden="1" customWidth="1"/>
    <col min="3079" max="3079" width="16.85546875" style="28" customWidth="1"/>
    <col min="3080" max="3080" width="83" style="28" customWidth="1"/>
    <col min="3081" max="3081" width="9.140625" style="28" customWidth="1"/>
    <col min="3082" max="3142" width="9.140625" style="28" hidden="1" customWidth="1"/>
    <col min="3143" max="3330" width="9.140625" style="28" hidden="1"/>
    <col min="3331" max="3331" width="11.140625" style="28" customWidth="1"/>
    <col min="3332" max="3332" width="5.28515625" style="28" customWidth="1"/>
    <col min="3333" max="3333" width="8" style="28" customWidth="1"/>
    <col min="3334" max="3334" width="9.140625" style="28" hidden="1" customWidth="1"/>
    <col min="3335" max="3335" width="16.85546875" style="28" customWidth="1"/>
    <col min="3336" max="3336" width="83" style="28" customWidth="1"/>
    <col min="3337" max="3337" width="9.140625" style="28" customWidth="1"/>
    <col min="3338" max="3398" width="9.140625" style="28" hidden="1" customWidth="1"/>
    <col min="3399" max="3586" width="9.140625" style="28" hidden="1"/>
    <col min="3587" max="3587" width="11.140625" style="28" customWidth="1"/>
    <col min="3588" max="3588" width="5.28515625" style="28" customWidth="1"/>
    <col min="3589" max="3589" width="8" style="28" customWidth="1"/>
    <col min="3590" max="3590" width="9.140625" style="28" hidden="1" customWidth="1"/>
    <col min="3591" max="3591" width="16.85546875" style="28" customWidth="1"/>
    <col min="3592" max="3592" width="83" style="28" customWidth="1"/>
    <col min="3593" max="3593" width="9.140625" style="28" customWidth="1"/>
    <col min="3594" max="3654" width="9.140625" style="28" hidden="1" customWidth="1"/>
    <col min="3655" max="3842" width="9.140625" style="28" hidden="1"/>
    <col min="3843" max="3843" width="11.140625" style="28" customWidth="1"/>
    <col min="3844" max="3844" width="5.28515625" style="28" customWidth="1"/>
    <col min="3845" max="3845" width="8" style="28" customWidth="1"/>
    <col min="3846" max="3846" width="9.140625" style="28" hidden="1" customWidth="1"/>
    <col min="3847" max="3847" width="16.85546875" style="28" customWidth="1"/>
    <col min="3848" max="3848" width="83" style="28" customWidth="1"/>
    <col min="3849" max="3849" width="9.140625" style="28" customWidth="1"/>
    <col min="3850" max="3910" width="9.140625" style="28" hidden="1" customWidth="1"/>
    <col min="3911" max="4098" width="9.140625" style="28" hidden="1"/>
    <col min="4099" max="4099" width="11.140625" style="28" customWidth="1"/>
    <col min="4100" max="4100" width="5.28515625" style="28" customWidth="1"/>
    <col min="4101" max="4101" width="8" style="28" customWidth="1"/>
    <col min="4102" max="4102" width="9.140625" style="28" hidden="1" customWidth="1"/>
    <col min="4103" max="4103" width="16.85546875" style="28" customWidth="1"/>
    <col min="4104" max="4104" width="83" style="28" customWidth="1"/>
    <col min="4105" max="4105" width="9.140625" style="28" customWidth="1"/>
    <col min="4106" max="4166" width="9.140625" style="28" hidden="1" customWidth="1"/>
    <col min="4167" max="4354" width="9.140625" style="28" hidden="1"/>
    <col min="4355" max="4355" width="11.140625" style="28" customWidth="1"/>
    <col min="4356" max="4356" width="5.28515625" style="28" customWidth="1"/>
    <col min="4357" max="4357" width="8" style="28" customWidth="1"/>
    <col min="4358" max="4358" width="9.140625" style="28" hidden="1" customWidth="1"/>
    <col min="4359" max="4359" width="16.85546875" style="28" customWidth="1"/>
    <col min="4360" max="4360" width="83" style="28" customWidth="1"/>
    <col min="4361" max="4361" width="9.140625" style="28" customWidth="1"/>
    <col min="4362" max="4422" width="9.140625" style="28" hidden="1" customWidth="1"/>
    <col min="4423" max="4610" width="9.140625" style="28" hidden="1"/>
    <col min="4611" max="4611" width="11.140625" style="28" customWidth="1"/>
    <col min="4612" max="4612" width="5.28515625" style="28" customWidth="1"/>
    <col min="4613" max="4613" width="8" style="28" customWidth="1"/>
    <col min="4614" max="4614" width="9.140625" style="28" hidden="1" customWidth="1"/>
    <col min="4615" max="4615" width="16.85546875" style="28" customWidth="1"/>
    <col min="4616" max="4616" width="83" style="28" customWidth="1"/>
    <col min="4617" max="4617" width="9.140625" style="28" customWidth="1"/>
    <col min="4618" max="4678" width="9.140625" style="28" hidden="1" customWidth="1"/>
    <col min="4679" max="4866" width="9.140625" style="28" hidden="1"/>
    <col min="4867" max="4867" width="11.140625" style="28" customWidth="1"/>
    <col min="4868" max="4868" width="5.28515625" style="28" customWidth="1"/>
    <col min="4869" max="4869" width="8" style="28" customWidth="1"/>
    <col min="4870" max="4870" width="9.140625" style="28" hidden="1" customWidth="1"/>
    <col min="4871" max="4871" width="16.85546875" style="28" customWidth="1"/>
    <col min="4872" max="4872" width="83" style="28" customWidth="1"/>
    <col min="4873" max="4873" width="9.140625" style="28" customWidth="1"/>
    <col min="4874" max="4934" width="9.140625" style="28" hidden="1" customWidth="1"/>
    <col min="4935" max="5122" width="9.140625" style="28" hidden="1"/>
    <col min="5123" max="5123" width="11.140625" style="28" customWidth="1"/>
    <col min="5124" max="5124" width="5.28515625" style="28" customWidth="1"/>
    <col min="5125" max="5125" width="8" style="28" customWidth="1"/>
    <col min="5126" max="5126" width="9.140625" style="28" hidden="1" customWidth="1"/>
    <col min="5127" max="5127" width="16.85546875" style="28" customWidth="1"/>
    <col min="5128" max="5128" width="83" style="28" customWidth="1"/>
    <col min="5129" max="5129" width="9.140625" style="28" customWidth="1"/>
    <col min="5130" max="5190" width="9.140625" style="28" hidden="1" customWidth="1"/>
    <col min="5191" max="5378" width="9.140625" style="28" hidden="1"/>
    <col min="5379" max="5379" width="11.140625" style="28" customWidth="1"/>
    <col min="5380" max="5380" width="5.28515625" style="28" customWidth="1"/>
    <col min="5381" max="5381" width="8" style="28" customWidth="1"/>
    <col min="5382" max="5382" width="9.140625" style="28" hidden="1" customWidth="1"/>
    <col min="5383" max="5383" width="16.85546875" style="28" customWidth="1"/>
    <col min="5384" max="5384" width="83" style="28" customWidth="1"/>
    <col min="5385" max="5385" width="9.140625" style="28" customWidth="1"/>
    <col min="5386" max="5446" width="9.140625" style="28" hidden="1" customWidth="1"/>
    <col min="5447" max="5634" width="9.140625" style="28" hidden="1"/>
    <col min="5635" max="5635" width="11.140625" style="28" customWidth="1"/>
    <col min="5636" max="5636" width="5.28515625" style="28" customWidth="1"/>
    <col min="5637" max="5637" width="8" style="28" customWidth="1"/>
    <col min="5638" max="5638" width="9.140625" style="28" hidden="1" customWidth="1"/>
    <col min="5639" max="5639" width="16.85546875" style="28" customWidth="1"/>
    <col min="5640" max="5640" width="83" style="28" customWidth="1"/>
    <col min="5641" max="5641" width="9.140625" style="28" customWidth="1"/>
    <col min="5642" max="5702" width="9.140625" style="28" hidden="1" customWidth="1"/>
    <col min="5703" max="5890" width="9.140625" style="28" hidden="1"/>
    <col min="5891" max="5891" width="11.140625" style="28" customWidth="1"/>
    <col min="5892" max="5892" width="5.28515625" style="28" customWidth="1"/>
    <col min="5893" max="5893" width="8" style="28" customWidth="1"/>
    <col min="5894" max="5894" width="9.140625" style="28" hidden="1" customWidth="1"/>
    <col min="5895" max="5895" width="16.85546875" style="28" customWidth="1"/>
    <col min="5896" max="5896" width="83" style="28" customWidth="1"/>
    <col min="5897" max="5897" width="9.140625" style="28" customWidth="1"/>
    <col min="5898" max="5958" width="9.140625" style="28" hidden="1" customWidth="1"/>
    <col min="5959" max="6146" width="9.140625" style="28" hidden="1"/>
    <col min="6147" max="6147" width="11.140625" style="28" customWidth="1"/>
    <col min="6148" max="6148" width="5.28515625" style="28" customWidth="1"/>
    <col min="6149" max="6149" width="8" style="28" customWidth="1"/>
    <col min="6150" max="6150" width="9.140625" style="28" hidden="1" customWidth="1"/>
    <col min="6151" max="6151" width="16.85546875" style="28" customWidth="1"/>
    <col min="6152" max="6152" width="83" style="28" customWidth="1"/>
    <col min="6153" max="6153" width="9.140625" style="28" customWidth="1"/>
    <col min="6154" max="6214" width="9.140625" style="28" hidden="1" customWidth="1"/>
    <col min="6215" max="6402" width="9.140625" style="28" hidden="1"/>
    <col min="6403" max="6403" width="11.140625" style="28" customWidth="1"/>
    <col min="6404" max="6404" width="5.28515625" style="28" customWidth="1"/>
    <col min="6405" max="6405" width="8" style="28" customWidth="1"/>
    <col min="6406" max="6406" width="9.140625" style="28" hidden="1" customWidth="1"/>
    <col min="6407" max="6407" width="16.85546875" style="28" customWidth="1"/>
    <col min="6408" max="6408" width="83" style="28" customWidth="1"/>
    <col min="6409" max="6409" width="9.140625" style="28" customWidth="1"/>
    <col min="6410" max="6470" width="9.140625" style="28" hidden="1" customWidth="1"/>
    <col min="6471" max="6658" width="9.140625" style="28" hidden="1"/>
    <col min="6659" max="6659" width="11.140625" style="28" customWidth="1"/>
    <col min="6660" max="6660" width="5.28515625" style="28" customWidth="1"/>
    <col min="6661" max="6661" width="8" style="28" customWidth="1"/>
    <col min="6662" max="6662" width="9.140625" style="28" hidden="1" customWidth="1"/>
    <col min="6663" max="6663" width="16.85546875" style="28" customWidth="1"/>
    <col min="6664" max="6664" width="83" style="28" customWidth="1"/>
    <col min="6665" max="6665" width="9.140625" style="28" customWidth="1"/>
    <col min="6666" max="6726" width="9.140625" style="28" hidden="1" customWidth="1"/>
    <col min="6727" max="6914" width="9.140625" style="28" hidden="1"/>
    <col min="6915" max="6915" width="11.140625" style="28" customWidth="1"/>
    <col min="6916" max="6916" width="5.28515625" style="28" customWidth="1"/>
    <col min="6917" max="6917" width="8" style="28" customWidth="1"/>
    <col min="6918" max="6918" width="9.140625" style="28" hidden="1" customWidth="1"/>
    <col min="6919" max="6919" width="16.85546875" style="28" customWidth="1"/>
    <col min="6920" max="6920" width="83" style="28" customWidth="1"/>
    <col min="6921" max="6921" width="9.140625" style="28" customWidth="1"/>
    <col min="6922" max="6982" width="9.140625" style="28" hidden="1" customWidth="1"/>
    <col min="6983" max="7170" width="9.140625" style="28" hidden="1"/>
    <col min="7171" max="7171" width="11.140625" style="28" customWidth="1"/>
    <col min="7172" max="7172" width="5.28515625" style="28" customWidth="1"/>
    <col min="7173" max="7173" width="8" style="28" customWidth="1"/>
    <col min="7174" max="7174" width="9.140625" style="28" hidden="1" customWidth="1"/>
    <col min="7175" max="7175" width="16.85546875" style="28" customWidth="1"/>
    <col min="7176" max="7176" width="83" style="28" customWidth="1"/>
    <col min="7177" max="7177" width="9.140625" style="28" customWidth="1"/>
    <col min="7178" max="7238" width="9.140625" style="28" hidden="1" customWidth="1"/>
    <col min="7239" max="7426" width="9.140625" style="28" hidden="1"/>
    <col min="7427" max="7427" width="11.140625" style="28" customWidth="1"/>
    <col min="7428" max="7428" width="5.28515625" style="28" customWidth="1"/>
    <col min="7429" max="7429" width="8" style="28" customWidth="1"/>
    <col min="7430" max="7430" width="9.140625" style="28" hidden="1" customWidth="1"/>
    <col min="7431" max="7431" width="16.85546875" style="28" customWidth="1"/>
    <col min="7432" max="7432" width="83" style="28" customWidth="1"/>
    <col min="7433" max="7433" width="9.140625" style="28" customWidth="1"/>
    <col min="7434" max="7494" width="9.140625" style="28" hidden="1" customWidth="1"/>
    <col min="7495" max="7682" width="9.140625" style="28" hidden="1"/>
    <col min="7683" max="7683" width="11.140625" style="28" customWidth="1"/>
    <col min="7684" max="7684" width="5.28515625" style="28" customWidth="1"/>
    <col min="7685" max="7685" width="8" style="28" customWidth="1"/>
    <col min="7686" max="7686" width="9.140625" style="28" hidden="1" customWidth="1"/>
    <col min="7687" max="7687" width="16.85546875" style="28" customWidth="1"/>
    <col min="7688" max="7688" width="83" style="28" customWidth="1"/>
    <col min="7689" max="7689" width="9.140625" style="28" customWidth="1"/>
    <col min="7690" max="7750" width="9.140625" style="28" hidden="1" customWidth="1"/>
    <col min="7751" max="7938" width="9.140625" style="28" hidden="1"/>
    <col min="7939" max="7939" width="11.140625" style="28" customWidth="1"/>
    <col min="7940" max="7940" width="5.28515625" style="28" customWidth="1"/>
    <col min="7941" max="7941" width="8" style="28" customWidth="1"/>
    <col min="7942" max="7942" width="9.140625" style="28" hidden="1" customWidth="1"/>
    <col min="7943" max="7943" width="16.85546875" style="28" customWidth="1"/>
    <col min="7944" max="7944" width="83" style="28" customWidth="1"/>
    <col min="7945" max="7945" width="9.140625" style="28" customWidth="1"/>
    <col min="7946" max="8006" width="9.140625" style="28" hidden="1" customWidth="1"/>
    <col min="8007" max="8194" width="9.140625" style="28" hidden="1"/>
    <col min="8195" max="8195" width="11.140625" style="28" customWidth="1"/>
    <col min="8196" max="8196" width="5.28515625" style="28" customWidth="1"/>
    <col min="8197" max="8197" width="8" style="28" customWidth="1"/>
    <col min="8198" max="8198" width="9.140625" style="28" hidden="1" customWidth="1"/>
    <col min="8199" max="8199" width="16.85546875" style="28" customWidth="1"/>
    <col min="8200" max="8200" width="83" style="28" customWidth="1"/>
    <col min="8201" max="8201" width="9.140625" style="28" customWidth="1"/>
    <col min="8202" max="8262" width="9.140625" style="28" hidden="1" customWidth="1"/>
    <col min="8263" max="8450" width="9.140625" style="28" hidden="1"/>
    <col min="8451" max="8451" width="11.140625" style="28" customWidth="1"/>
    <col min="8452" max="8452" width="5.28515625" style="28" customWidth="1"/>
    <col min="8453" max="8453" width="8" style="28" customWidth="1"/>
    <col min="8454" max="8454" width="9.140625" style="28" hidden="1" customWidth="1"/>
    <col min="8455" max="8455" width="16.85546875" style="28" customWidth="1"/>
    <col min="8456" max="8456" width="83" style="28" customWidth="1"/>
    <col min="8457" max="8457" width="9.140625" style="28" customWidth="1"/>
    <col min="8458" max="8518" width="9.140625" style="28" hidden="1" customWidth="1"/>
    <col min="8519" max="8706" width="9.140625" style="28" hidden="1"/>
    <col min="8707" max="8707" width="11.140625" style="28" customWidth="1"/>
    <col min="8708" max="8708" width="5.28515625" style="28" customWidth="1"/>
    <col min="8709" max="8709" width="8" style="28" customWidth="1"/>
    <col min="8710" max="8710" width="9.140625" style="28" hidden="1" customWidth="1"/>
    <col min="8711" max="8711" width="16.85546875" style="28" customWidth="1"/>
    <col min="8712" max="8712" width="83" style="28" customWidth="1"/>
    <col min="8713" max="8713" width="9.140625" style="28" customWidth="1"/>
    <col min="8714" max="8774" width="9.140625" style="28" hidden="1" customWidth="1"/>
    <col min="8775" max="8962" width="9.140625" style="28" hidden="1"/>
    <col min="8963" max="8963" width="11.140625" style="28" customWidth="1"/>
    <col min="8964" max="8964" width="5.28515625" style="28" customWidth="1"/>
    <col min="8965" max="8965" width="8" style="28" customWidth="1"/>
    <col min="8966" max="8966" width="9.140625" style="28" hidden="1" customWidth="1"/>
    <col min="8967" max="8967" width="16.85546875" style="28" customWidth="1"/>
    <col min="8968" max="8968" width="83" style="28" customWidth="1"/>
    <col min="8969" max="8969" width="9.140625" style="28" customWidth="1"/>
    <col min="8970" max="9030" width="9.140625" style="28" hidden="1" customWidth="1"/>
    <col min="9031" max="9218" width="9.140625" style="28" hidden="1"/>
    <col min="9219" max="9219" width="11.140625" style="28" customWidth="1"/>
    <col min="9220" max="9220" width="5.28515625" style="28" customWidth="1"/>
    <col min="9221" max="9221" width="8" style="28" customWidth="1"/>
    <col min="9222" max="9222" width="9.140625" style="28" hidden="1" customWidth="1"/>
    <col min="9223" max="9223" width="16.85546875" style="28" customWidth="1"/>
    <col min="9224" max="9224" width="83" style="28" customWidth="1"/>
    <col min="9225" max="9225" width="9.140625" style="28" customWidth="1"/>
    <col min="9226" max="9286" width="9.140625" style="28" hidden="1" customWidth="1"/>
    <col min="9287" max="9474" width="9.140625" style="28" hidden="1"/>
    <col min="9475" max="9475" width="11.140625" style="28" customWidth="1"/>
    <col min="9476" max="9476" width="5.28515625" style="28" customWidth="1"/>
    <col min="9477" max="9477" width="8" style="28" customWidth="1"/>
    <col min="9478" max="9478" width="9.140625" style="28" hidden="1" customWidth="1"/>
    <col min="9479" max="9479" width="16.85546875" style="28" customWidth="1"/>
    <col min="9480" max="9480" width="83" style="28" customWidth="1"/>
    <col min="9481" max="9481" width="9.140625" style="28" customWidth="1"/>
    <col min="9482" max="9542" width="9.140625" style="28" hidden="1" customWidth="1"/>
    <col min="9543" max="9730" width="9.140625" style="28" hidden="1"/>
    <col min="9731" max="9731" width="11.140625" style="28" customWidth="1"/>
    <col min="9732" max="9732" width="5.28515625" style="28" customWidth="1"/>
    <col min="9733" max="9733" width="8" style="28" customWidth="1"/>
    <col min="9734" max="9734" width="9.140625" style="28" hidden="1" customWidth="1"/>
    <col min="9735" max="9735" width="16.85546875" style="28" customWidth="1"/>
    <col min="9736" max="9736" width="83" style="28" customWidth="1"/>
    <col min="9737" max="9737" width="9.140625" style="28" customWidth="1"/>
    <col min="9738" max="9798" width="9.140625" style="28" hidden="1" customWidth="1"/>
    <col min="9799" max="9986" width="9.140625" style="28" hidden="1"/>
    <col min="9987" max="9987" width="11.140625" style="28" customWidth="1"/>
    <col min="9988" max="9988" width="5.28515625" style="28" customWidth="1"/>
    <col min="9989" max="9989" width="8" style="28" customWidth="1"/>
    <col min="9990" max="9990" width="9.140625" style="28" hidden="1" customWidth="1"/>
    <col min="9991" max="9991" width="16.85546875" style="28" customWidth="1"/>
    <col min="9992" max="9992" width="83" style="28" customWidth="1"/>
    <col min="9993" max="9993" width="9.140625" style="28" customWidth="1"/>
    <col min="9994" max="10054" width="9.140625" style="28" hidden="1" customWidth="1"/>
    <col min="10055" max="10242" width="9.140625" style="28" hidden="1"/>
    <col min="10243" max="10243" width="11.140625" style="28" customWidth="1"/>
    <col min="10244" max="10244" width="5.28515625" style="28" customWidth="1"/>
    <col min="10245" max="10245" width="8" style="28" customWidth="1"/>
    <col min="10246" max="10246" width="9.140625" style="28" hidden="1" customWidth="1"/>
    <col min="10247" max="10247" width="16.85546875" style="28" customWidth="1"/>
    <col min="10248" max="10248" width="83" style="28" customWidth="1"/>
    <col min="10249" max="10249" width="9.140625" style="28" customWidth="1"/>
    <col min="10250" max="10310" width="9.140625" style="28" hidden="1" customWidth="1"/>
    <col min="10311" max="10498" width="9.140625" style="28" hidden="1"/>
    <col min="10499" max="10499" width="11.140625" style="28" customWidth="1"/>
    <col min="10500" max="10500" width="5.28515625" style="28" customWidth="1"/>
    <col min="10501" max="10501" width="8" style="28" customWidth="1"/>
    <col min="10502" max="10502" width="9.140625" style="28" hidden="1" customWidth="1"/>
    <col min="10503" max="10503" width="16.85546875" style="28" customWidth="1"/>
    <col min="10504" max="10504" width="83" style="28" customWidth="1"/>
    <col min="10505" max="10505" width="9.140625" style="28" customWidth="1"/>
    <col min="10506" max="10566" width="9.140625" style="28" hidden="1" customWidth="1"/>
    <col min="10567" max="10754" width="9.140625" style="28" hidden="1"/>
    <col min="10755" max="10755" width="11.140625" style="28" customWidth="1"/>
    <col min="10756" max="10756" width="5.28515625" style="28" customWidth="1"/>
    <col min="10757" max="10757" width="8" style="28" customWidth="1"/>
    <col min="10758" max="10758" width="9.140625" style="28" hidden="1" customWidth="1"/>
    <col min="10759" max="10759" width="16.85546875" style="28" customWidth="1"/>
    <col min="10760" max="10760" width="83" style="28" customWidth="1"/>
    <col min="10761" max="10761" width="9.140625" style="28" customWidth="1"/>
    <col min="10762" max="10822" width="9.140625" style="28" hidden="1" customWidth="1"/>
    <col min="10823" max="11010" width="9.140625" style="28" hidden="1"/>
    <col min="11011" max="11011" width="11.140625" style="28" customWidth="1"/>
    <col min="11012" max="11012" width="5.28515625" style="28" customWidth="1"/>
    <col min="11013" max="11013" width="8" style="28" customWidth="1"/>
    <col min="11014" max="11014" width="9.140625" style="28" hidden="1" customWidth="1"/>
    <col min="11015" max="11015" width="16.85546875" style="28" customWidth="1"/>
    <col min="11016" max="11016" width="83" style="28" customWidth="1"/>
    <col min="11017" max="11017" width="9.140625" style="28" customWidth="1"/>
    <col min="11018" max="11078" width="9.140625" style="28" hidden="1" customWidth="1"/>
    <col min="11079" max="11266" width="9.140625" style="28" hidden="1"/>
    <col min="11267" max="11267" width="11.140625" style="28" customWidth="1"/>
    <col min="11268" max="11268" width="5.28515625" style="28" customWidth="1"/>
    <col min="11269" max="11269" width="8" style="28" customWidth="1"/>
    <col min="11270" max="11270" width="9.140625" style="28" hidden="1" customWidth="1"/>
    <col min="11271" max="11271" width="16.85546875" style="28" customWidth="1"/>
    <col min="11272" max="11272" width="83" style="28" customWidth="1"/>
    <col min="11273" max="11273" width="9.140625" style="28" customWidth="1"/>
    <col min="11274" max="11334" width="9.140625" style="28" hidden="1" customWidth="1"/>
    <col min="11335" max="11522" width="9.140625" style="28" hidden="1"/>
    <col min="11523" max="11523" width="11.140625" style="28" customWidth="1"/>
    <col min="11524" max="11524" width="5.28515625" style="28" customWidth="1"/>
    <col min="11525" max="11525" width="8" style="28" customWidth="1"/>
    <col min="11526" max="11526" width="9.140625" style="28" hidden="1" customWidth="1"/>
    <col min="11527" max="11527" width="16.85546875" style="28" customWidth="1"/>
    <col min="11528" max="11528" width="83" style="28" customWidth="1"/>
    <col min="11529" max="11529" width="9.140625" style="28" customWidth="1"/>
    <col min="11530" max="11590" width="9.140625" style="28" hidden="1" customWidth="1"/>
    <col min="11591" max="11778" width="9.140625" style="28" hidden="1"/>
    <col min="11779" max="11779" width="11.140625" style="28" customWidth="1"/>
    <col min="11780" max="11780" width="5.28515625" style="28" customWidth="1"/>
    <col min="11781" max="11781" width="8" style="28" customWidth="1"/>
    <col min="11782" max="11782" width="9.140625" style="28" hidden="1" customWidth="1"/>
    <col min="11783" max="11783" width="16.85546875" style="28" customWidth="1"/>
    <col min="11784" max="11784" width="83" style="28" customWidth="1"/>
    <col min="11785" max="11785" width="9.140625" style="28" customWidth="1"/>
    <col min="11786" max="11846" width="9.140625" style="28" hidden="1" customWidth="1"/>
    <col min="11847" max="12034" width="9.140625" style="28" hidden="1"/>
    <col min="12035" max="12035" width="11.140625" style="28" customWidth="1"/>
    <col min="12036" max="12036" width="5.28515625" style="28" customWidth="1"/>
    <col min="12037" max="12037" width="8" style="28" customWidth="1"/>
    <col min="12038" max="12038" width="9.140625" style="28" hidden="1" customWidth="1"/>
    <col min="12039" max="12039" width="16.85546875" style="28" customWidth="1"/>
    <col min="12040" max="12040" width="83" style="28" customWidth="1"/>
    <col min="12041" max="12041" width="9.140625" style="28" customWidth="1"/>
    <col min="12042" max="12102" width="9.140625" style="28" hidden="1" customWidth="1"/>
    <col min="12103" max="12290" width="9.140625" style="28" hidden="1"/>
    <col min="12291" max="12291" width="11.140625" style="28" customWidth="1"/>
    <col min="12292" max="12292" width="5.28515625" style="28" customWidth="1"/>
    <col min="12293" max="12293" width="8" style="28" customWidth="1"/>
    <col min="12294" max="12294" width="9.140625" style="28" hidden="1" customWidth="1"/>
    <col min="12295" max="12295" width="16.85546875" style="28" customWidth="1"/>
    <col min="12296" max="12296" width="83" style="28" customWidth="1"/>
    <col min="12297" max="12297" width="9.140625" style="28" customWidth="1"/>
    <col min="12298" max="12358" width="9.140625" style="28" hidden="1" customWidth="1"/>
    <col min="12359" max="12546" width="9.140625" style="28" hidden="1"/>
    <col min="12547" max="12547" width="11.140625" style="28" customWidth="1"/>
    <col min="12548" max="12548" width="5.28515625" style="28" customWidth="1"/>
    <col min="12549" max="12549" width="8" style="28" customWidth="1"/>
    <col min="12550" max="12550" width="9.140625" style="28" hidden="1" customWidth="1"/>
    <col min="12551" max="12551" width="16.85546875" style="28" customWidth="1"/>
    <col min="12552" max="12552" width="83" style="28" customWidth="1"/>
    <col min="12553" max="12553" width="9.140625" style="28" customWidth="1"/>
    <col min="12554" max="12614" width="9.140625" style="28" hidden="1" customWidth="1"/>
    <col min="12615" max="12802" width="9.140625" style="28" hidden="1"/>
    <col min="12803" max="12803" width="11.140625" style="28" customWidth="1"/>
    <col min="12804" max="12804" width="5.28515625" style="28" customWidth="1"/>
    <col min="12805" max="12805" width="8" style="28" customWidth="1"/>
    <col min="12806" max="12806" width="9.140625" style="28" hidden="1" customWidth="1"/>
    <col min="12807" max="12807" width="16.85546875" style="28" customWidth="1"/>
    <col min="12808" max="12808" width="83" style="28" customWidth="1"/>
    <col min="12809" max="12809" width="9.140625" style="28" customWidth="1"/>
    <col min="12810" max="12870" width="9.140625" style="28" hidden="1" customWidth="1"/>
    <col min="12871" max="13058" width="9.140625" style="28" hidden="1"/>
    <col min="13059" max="13059" width="11.140625" style="28" customWidth="1"/>
    <col min="13060" max="13060" width="5.28515625" style="28" customWidth="1"/>
    <col min="13061" max="13061" width="8" style="28" customWidth="1"/>
    <col min="13062" max="13062" width="9.140625" style="28" hidden="1" customWidth="1"/>
    <col min="13063" max="13063" width="16.85546875" style="28" customWidth="1"/>
    <col min="13064" max="13064" width="83" style="28" customWidth="1"/>
    <col min="13065" max="13065" width="9.140625" style="28" customWidth="1"/>
    <col min="13066" max="13126" width="9.140625" style="28" hidden="1" customWidth="1"/>
    <col min="13127" max="13314" width="9.140625" style="28" hidden="1"/>
    <col min="13315" max="13315" width="11.140625" style="28" customWidth="1"/>
    <col min="13316" max="13316" width="5.28515625" style="28" customWidth="1"/>
    <col min="13317" max="13317" width="8" style="28" customWidth="1"/>
    <col min="13318" max="13318" width="9.140625" style="28" hidden="1" customWidth="1"/>
    <col min="13319" max="13319" width="16.85546875" style="28" customWidth="1"/>
    <col min="13320" max="13320" width="83" style="28" customWidth="1"/>
    <col min="13321" max="13321" width="9.140625" style="28" customWidth="1"/>
    <col min="13322" max="13382" width="9.140625" style="28" hidden="1" customWidth="1"/>
    <col min="13383" max="13570" width="9.140625" style="28" hidden="1"/>
    <col min="13571" max="13571" width="11.140625" style="28" customWidth="1"/>
    <col min="13572" max="13572" width="5.28515625" style="28" customWidth="1"/>
    <col min="13573" max="13573" width="8" style="28" customWidth="1"/>
    <col min="13574" max="13574" width="9.140625" style="28" hidden="1" customWidth="1"/>
    <col min="13575" max="13575" width="16.85546875" style="28" customWidth="1"/>
    <col min="13576" max="13576" width="83" style="28" customWidth="1"/>
    <col min="13577" max="13577" width="9.140625" style="28" customWidth="1"/>
    <col min="13578" max="13638" width="9.140625" style="28" hidden="1" customWidth="1"/>
    <col min="13639" max="13826" width="9.140625" style="28" hidden="1"/>
    <col min="13827" max="13827" width="11.140625" style="28" customWidth="1"/>
    <col min="13828" max="13828" width="5.28515625" style="28" customWidth="1"/>
    <col min="13829" max="13829" width="8" style="28" customWidth="1"/>
    <col min="13830" max="13830" width="9.140625" style="28" hidden="1" customWidth="1"/>
    <col min="13831" max="13831" width="16.85546875" style="28" customWidth="1"/>
    <col min="13832" max="13832" width="83" style="28" customWidth="1"/>
    <col min="13833" max="13833" width="9.140625" style="28" customWidth="1"/>
    <col min="13834" max="13894" width="9.140625" style="28" hidden="1" customWidth="1"/>
    <col min="13895" max="14082" width="9.140625" style="28" hidden="1"/>
    <col min="14083" max="14083" width="11.140625" style="28" customWidth="1"/>
    <col min="14084" max="14084" width="5.28515625" style="28" customWidth="1"/>
    <col min="14085" max="14085" width="8" style="28" customWidth="1"/>
    <col min="14086" max="14086" width="9.140625" style="28" hidden="1" customWidth="1"/>
    <col min="14087" max="14087" width="16.85546875" style="28" customWidth="1"/>
    <col min="14088" max="14088" width="83" style="28" customWidth="1"/>
    <col min="14089" max="14089" width="9.140625" style="28" customWidth="1"/>
    <col min="14090" max="14150" width="9.140625" style="28" hidden="1" customWidth="1"/>
    <col min="14151" max="14338" width="9.140625" style="28" hidden="1"/>
    <col min="14339" max="14339" width="11.140625" style="28" customWidth="1"/>
    <col min="14340" max="14340" width="5.28515625" style="28" customWidth="1"/>
    <col min="14341" max="14341" width="8" style="28" customWidth="1"/>
    <col min="14342" max="14342" width="9.140625" style="28" hidden="1" customWidth="1"/>
    <col min="14343" max="14343" width="16.85546875" style="28" customWidth="1"/>
    <col min="14344" max="14344" width="83" style="28" customWidth="1"/>
    <col min="14345" max="14345" width="9.140625" style="28" customWidth="1"/>
    <col min="14346" max="14406" width="9.140625" style="28" hidden="1" customWidth="1"/>
    <col min="14407" max="14594" width="9.140625" style="28" hidden="1"/>
    <col min="14595" max="14595" width="11.140625" style="28" customWidth="1"/>
    <col min="14596" max="14596" width="5.28515625" style="28" customWidth="1"/>
    <col min="14597" max="14597" width="8" style="28" customWidth="1"/>
    <col min="14598" max="14598" width="9.140625" style="28" hidden="1" customWidth="1"/>
    <col min="14599" max="14599" width="16.85546875" style="28" customWidth="1"/>
    <col min="14600" max="14600" width="83" style="28" customWidth="1"/>
    <col min="14601" max="14601" width="9.140625" style="28" customWidth="1"/>
    <col min="14602" max="14662" width="9.140625" style="28" hidden="1" customWidth="1"/>
    <col min="14663" max="14850" width="9.140625" style="28" hidden="1"/>
    <col min="14851" max="14851" width="11.140625" style="28" customWidth="1"/>
    <col min="14852" max="14852" width="5.28515625" style="28" customWidth="1"/>
    <col min="14853" max="14853" width="8" style="28" customWidth="1"/>
    <col min="14854" max="14854" width="9.140625" style="28" hidden="1" customWidth="1"/>
    <col min="14855" max="14855" width="16.85546875" style="28" customWidth="1"/>
    <col min="14856" max="14856" width="83" style="28" customWidth="1"/>
    <col min="14857" max="14857" width="9.140625" style="28" customWidth="1"/>
    <col min="14858" max="14918" width="9.140625" style="28" hidden="1" customWidth="1"/>
    <col min="14919" max="15106" width="9.140625" style="28" hidden="1"/>
    <col min="15107" max="15107" width="11.140625" style="28" customWidth="1"/>
    <col min="15108" max="15108" width="5.28515625" style="28" customWidth="1"/>
    <col min="15109" max="15109" width="8" style="28" customWidth="1"/>
    <col min="15110" max="15110" width="9.140625" style="28" hidden="1" customWidth="1"/>
    <col min="15111" max="15111" width="16.85546875" style="28" customWidth="1"/>
    <col min="15112" max="15112" width="83" style="28" customWidth="1"/>
    <col min="15113" max="15113" width="9.140625" style="28" customWidth="1"/>
    <col min="15114" max="15174" width="9.140625" style="28" hidden="1" customWidth="1"/>
    <col min="15175" max="15362" width="9.140625" style="28" hidden="1"/>
    <col min="15363" max="15363" width="11.140625" style="28" customWidth="1"/>
    <col min="15364" max="15364" width="5.28515625" style="28" customWidth="1"/>
    <col min="15365" max="15365" width="8" style="28" customWidth="1"/>
    <col min="15366" max="15366" width="9.140625" style="28" hidden="1" customWidth="1"/>
    <col min="15367" max="15367" width="16.85546875" style="28" customWidth="1"/>
    <col min="15368" max="15368" width="83" style="28" customWidth="1"/>
    <col min="15369" max="15369" width="9.140625" style="28" customWidth="1"/>
    <col min="15370" max="15430" width="9.140625" style="28" hidden="1" customWidth="1"/>
    <col min="15431" max="15618" width="9.140625" style="28" hidden="1"/>
    <col min="15619" max="15619" width="11.140625" style="28" customWidth="1"/>
    <col min="15620" max="15620" width="5.28515625" style="28" customWidth="1"/>
    <col min="15621" max="15621" width="8" style="28" customWidth="1"/>
    <col min="15622" max="15622" width="9.140625" style="28" hidden="1" customWidth="1"/>
    <col min="15623" max="15623" width="16.85546875" style="28" customWidth="1"/>
    <col min="15624" max="15624" width="83" style="28" customWidth="1"/>
    <col min="15625" max="15625" width="9.140625" style="28" customWidth="1"/>
    <col min="15626" max="15686" width="9.140625" style="28" hidden="1" customWidth="1"/>
    <col min="15687" max="15874" width="9.140625" style="28" hidden="1"/>
    <col min="15875" max="15875" width="11.140625" style="28" customWidth="1"/>
    <col min="15876" max="15876" width="5.28515625" style="28" customWidth="1"/>
    <col min="15877" max="15877" width="8" style="28" customWidth="1"/>
    <col min="15878" max="15878" width="9.140625" style="28" hidden="1" customWidth="1"/>
    <col min="15879" max="15879" width="16.85546875" style="28" customWidth="1"/>
    <col min="15880" max="15880" width="83" style="28" customWidth="1"/>
    <col min="15881" max="15881" width="9.140625" style="28" customWidth="1"/>
    <col min="15882" max="15942" width="9.140625" style="28" hidden="1" customWidth="1"/>
    <col min="15943" max="16130" width="9.140625" style="28" hidden="1"/>
    <col min="16131" max="16131" width="11.140625" style="28" customWidth="1"/>
    <col min="16132" max="16132" width="5.28515625" style="28" customWidth="1"/>
    <col min="16133" max="16133" width="8" style="28" customWidth="1"/>
    <col min="16134" max="16134" width="9.140625" style="28" hidden="1" customWidth="1"/>
    <col min="16135" max="16135" width="16.85546875" style="28" customWidth="1"/>
    <col min="16136" max="16136" width="83" style="28" customWidth="1"/>
    <col min="16137" max="16137" width="9.140625" style="28" customWidth="1"/>
    <col min="16138" max="16198" width="9.140625" style="28" hidden="1" customWidth="1"/>
    <col min="16199" max="16384" width="9.140625" style="28" hidden="1"/>
  </cols>
  <sheetData>
    <row r="1" spans="1:69" ht="19.5" x14ac:dyDescent="0.3">
      <c r="A1" s="186" t="s">
        <v>162</v>
      </c>
      <c r="B1" s="186"/>
      <c r="C1" s="186"/>
      <c r="D1" s="186"/>
      <c r="E1" s="186"/>
      <c r="F1" s="186"/>
      <c r="G1" s="186"/>
      <c r="H1" s="186"/>
      <c r="I1" s="25"/>
      <c r="J1" s="26"/>
      <c r="K1" s="26"/>
      <c r="L1" s="26"/>
      <c r="M1" s="26"/>
    </row>
    <row r="2" spans="1:69" ht="19.5" x14ac:dyDescent="0.3">
      <c r="A2" s="186" t="s">
        <v>281</v>
      </c>
      <c r="B2" s="186"/>
      <c r="C2" s="186"/>
      <c r="D2" s="186"/>
      <c r="E2" s="186"/>
      <c r="F2" s="186"/>
      <c r="G2" s="186"/>
      <c r="H2" s="186"/>
      <c r="I2" s="25"/>
      <c r="J2" s="26"/>
      <c r="K2" s="26"/>
      <c r="L2" s="26"/>
      <c r="M2" s="26"/>
    </row>
    <row r="3" spans="1:69" ht="19.5" x14ac:dyDescent="0.3">
      <c r="A3" s="186" t="str">
        <f>CONCATENATE("TAHUN PELAJARAN"," ",Biodata!C15)</f>
        <v>TAHUN PELAJARAN 2020/2021</v>
      </c>
      <c r="B3" s="186"/>
      <c r="C3" s="186"/>
      <c r="D3" s="186"/>
      <c r="E3" s="186"/>
      <c r="F3" s="186"/>
      <c r="G3" s="186"/>
      <c r="H3" s="186"/>
      <c r="I3" s="25"/>
      <c r="J3" s="26"/>
      <c r="K3" s="26"/>
      <c r="L3" s="26"/>
      <c r="M3" s="26"/>
    </row>
    <row r="5" spans="1:69" ht="15.75" x14ac:dyDescent="0.25">
      <c r="A5" s="2" t="s">
        <v>184</v>
      </c>
      <c r="B5" s="2"/>
      <c r="C5" s="2"/>
      <c r="D5" s="2"/>
      <c r="E5" s="2"/>
      <c r="F5" s="47" t="str">
        <f>CONCATENATE(":"," ",Biodata!C4)</f>
        <v>: SMK NEGERI 1 JATIROTO</v>
      </c>
    </row>
    <row r="6" spans="1:69" ht="15.75" x14ac:dyDescent="0.25">
      <c r="A6" s="2" t="s">
        <v>69</v>
      </c>
      <c r="B6" s="2"/>
      <c r="C6" s="2"/>
      <c r="D6" s="2"/>
      <c r="E6" s="46"/>
      <c r="F6" s="47" t="str">
        <f>CONCATENATE(":"," ",Biodata!C6)</f>
        <v>: Bahasa Inggris</v>
      </c>
    </row>
    <row r="7" spans="1:69" ht="15.75" x14ac:dyDescent="0.25">
      <c r="A7" s="2" t="s">
        <v>157</v>
      </c>
      <c r="B7" s="2"/>
      <c r="C7" s="2"/>
      <c r="D7" s="2"/>
      <c r="E7" s="46"/>
      <c r="F7" s="47" t="str">
        <f>CONCATENATE(":"," ",Biodata!C12," ","butir")</f>
        <v>: 40 butir</v>
      </c>
    </row>
    <row r="8" spans="1:69" ht="15.75" x14ac:dyDescent="0.25">
      <c r="A8" s="2" t="s">
        <v>194</v>
      </c>
      <c r="B8" s="2"/>
      <c r="C8" s="2"/>
      <c r="D8" s="2"/>
      <c r="E8" s="46"/>
      <c r="F8" s="47" t="str">
        <f>CONCATENATE(":"," ",Biodata!C10)</f>
        <v>: Bhekti Tulus Martani, S.Pd.</v>
      </c>
    </row>
    <row r="9" spans="1:69" ht="15.75" x14ac:dyDescent="0.25">
      <c r="A9" s="2" t="s">
        <v>158</v>
      </c>
      <c r="B9" s="2"/>
      <c r="C9" s="2"/>
      <c r="D9" s="2"/>
      <c r="E9" s="46"/>
      <c r="F9" s="47" t="str">
        <f>CONCATENATE(":"," ",Biodata!C11)</f>
        <v>: Ade Setiyawan, S.Kom.</v>
      </c>
    </row>
    <row r="11" spans="1:69" ht="25.15" customHeight="1" x14ac:dyDescent="0.25">
      <c r="A11" s="187" t="s">
        <v>159</v>
      </c>
      <c r="B11" s="193" t="s">
        <v>154</v>
      </c>
      <c r="C11" s="194"/>
      <c r="D11" s="30" t="s">
        <v>149</v>
      </c>
      <c r="E11" s="191" t="s">
        <v>171</v>
      </c>
      <c r="F11" s="192"/>
      <c r="G11" s="187" t="s">
        <v>160</v>
      </c>
      <c r="H11" s="189" t="s">
        <v>206</v>
      </c>
      <c r="I11" s="32"/>
      <c r="J11" s="27">
        <v>1</v>
      </c>
      <c r="K11" s="27">
        <v>2</v>
      </c>
      <c r="L11" s="27">
        <v>3</v>
      </c>
      <c r="M11" s="27">
        <v>4</v>
      </c>
      <c r="S11" s="27">
        <v>1</v>
      </c>
      <c r="T11" s="27">
        <v>1</v>
      </c>
      <c r="U11" s="27">
        <v>2</v>
      </c>
      <c r="V11" s="27">
        <v>3</v>
      </c>
      <c r="W11" s="27">
        <v>4</v>
      </c>
      <c r="X11" s="27">
        <v>5</v>
      </c>
      <c r="Y11" s="27">
        <v>6</v>
      </c>
      <c r="Z11" s="27">
        <v>7</v>
      </c>
      <c r="AA11" s="27">
        <v>8</v>
      </c>
      <c r="AB11" s="27">
        <v>9</v>
      </c>
      <c r="AC11" s="27">
        <v>10</v>
      </c>
      <c r="AD11" s="27">
        <v>11</v>
      </c>
      <c r="AE11" s="27">
        <v>12</v>
      </c>
      <c r="AF11" s="27">
        <v>13</v>
      </c>
      <c r="AG11" s="27">
        <v>14</v>
      </c>
      <c r="AH11" s="27">
        <v>15</v>
      </c>
      <c r="AI11" s="27">
        <v>16</v>
      </c>
      <c r="AJ11" s="27">
        <v>17</v>
      </c>
      <c r="AK11" s="27">
        <v>18</v>
      </c>
      <c r="AL11" s="27">
        <v>19</v>
      </c>
      <c r="AM11" s="27">
        <v>20</v>
      </c>
      <c r="AN11" s="27">
        <v>21</v>
      </c>
      <c r="AO11" s="27">
        <v>22</v>
      </c>
      <c r="AP11" s="27">
        <v>23</v>
      </c>
      <c r="AQ11" s="27">
        <v>24</v>
      </c>
      <c r="AR11" s="27">
        <v>25</v>
      </c>
      <c r="AS11" s="27">
        <v>26</v>
      </c>
      <c r="AT11" s="27">
        <v>27</v>
      </c>
      <c r="AU11" s="27">
        <v>28</v>
      </c>
      <c r="AV11" s="27">
        <v>29</v>
      </c>
      <c r="AW11" s="27">
        <v>30</v>
      </c>
      <c r="AX11" s="27">
        <v>31</v>
      </c>
      <c r="AY11" s="27">
        <v>32</v>
      </c>
      <c r="AZ11" s="27">
        <v>33</v>
      </c>
      <c r="BA11" s="27">
        <v>34</v>
      </c>
      <c r="BB11" s="27">
        <v>35</v>
      </c>
      <c r="BC11" s="27">
        <v>36</v>
      </c>
      <c r="BD11" s="27">
        <v>37</v>
      </c>
      <c r="BE11" s="27">
        <v>38</v>
      </c>
      <c r="BF11" s="27">
        <v>39</v>
      </c>
      <c r="BG11" s="27">
        <v>40</v>
      </c>
      <c r="BH11" s="27">
        <v>41</v>
      </c>
      <c r="BI11" s="27">
        <v>42</v>
      </c>
      <c r="BJ11" s="27">
        <v>43</v>
      </c>
      <c r="BK11" s="27">
        <v>44</v>
      </c>
      <c r="BL11" s="27">
        <v>45</v>
      </c>
      <c r="BM11" s="27">
        <v>46</v>
      </c>
      <c r="BN11" s="27">
        <v>47</v>
      </c>
      <c r="BO11" s="27">
        <v>48</v>
      </c>
      <c r="BP11" s="27">
        <v>49</v>
      </c>
      <c r="BQ11" s="27">
        <v>50</v>
      </c>
    </row>
    <row r="12" spans="1:69" ht="33" customHeight="1" x14ac:dyDescent="0.25">
      <c r="A12" s="188"/>
      <c r="B12" s="195"/>
      <c r="C12" s="196"/>
      <c r="D12" s="30"/>
      <c r="E12" s="31" t="s">
        <v>172</v>
      </c>
      <c r="F12" s="31" t="s">
        <v>173</v>
      </c>
      <c r="G12" s="188"/>
      <c r="H12" s="190"/>
      <c r="I12" s="32"/>
    </row>
    <row r="13" spans="1:69" ht="18" customHeight="1" x14ac:dyDescent="0.25">
      <c r="A13" s="33">
        <v>1</v>
      </c>
      <c r="B13" s="184">
        <f>Ins_PG!$E$37</f>
        <v>100</v>
      </c>
      <c r="C13" s="185"/>
      <c r="D13" s="34" t="s">
        <v>161</v>
      </c>
      <c r="E13" s="35" t="str">
        <f>Ins_PG!$E$35</f>
        <v>C3</v>
      </c>
      <c r="F13" s="35" t="str">
        <f>IF(E13="","",IF(OR(E13="C1",E13="C2"),"Level 1",IF(E13="C3","Level 2",IF(OR(E13="C4",E13="C5",E13="C6"),"Level 3",""))))</f>
        <v>Level 2</v>
      </c>
      <c r="G13" s="35" t="str">
        <f>Ins_PG!$E$39</f>
        <v>Digunakan</v>
      </c>
      <c r="H13" s="36" t="str">
        <f>IF(G13="Ditolak","Soal No. 1 wajib diganti",IF(G13="Digunakan","Soal No. 1 wajib diujikan",IF(G13="Diperbaiki",J13,"")))</f>
        <v>Soal No. 1 wajib diujikan</v>
      </c>
      <c r="J13" s="38" t="str">
        <f>IF(Telaah_PG!$JS$6="","",Telaah_PG!$JS$6)</f>
        <v>Soal No. 1 perlu perbaikan pada aspek     HOTS</v>
      </c>
      <c r="K13" s="27" t="str">
        <f t="shared" ref="K13:K44" si="0">IF(AND(B13="Diperbaiki",HLOOKUP(A13,DataRek1,67)=""),HLOOKUP(A13,DataRek1,78)&amp;", "&amp;HLOOKUP(A13,DataRek1,83)&amp;" Harus diperbaiki !",IF(B13="Diperbaiki",HLOOKUP(A13,DataRek1,67)&amp;", "&amp;HLOOKUP(A13,DataRek1,78)&amp;", "&amp;HLOOKUP(A13,DataRek1,83)&amp;" Harus diperbaiki !",""))</f>
        <v/>
      </c>
      <c r="L13" s="37" t="str">
        <f t="shared" ref="L13:L44" si="1">IF(AND(B13="Diperbaiki",OR(HLOOKUP(A13,DataKet3,6,0)&lt;2,HLOOKUP(A13,DataKet3,7,0)&lt;1,HLOOKUP(A13,DataKet3,8,0)&lt;1,HLOOKUP(A13,DataKet3,9,0)&lt;1,HLOOKUP(A13,DataKet3,10,0)&lt;1,HLOOKUP(A13,DataKet3,11,0)&lt;1,HLOOKUP(A13,DataKet3,12,0)&lt;1,HLOOKUP(A13,DataKet3,13,0)&lt;1,HLOOKUP(A13,DataKet3,14,0)&lt;2,HLOOKUP(A13,DataKet3,15,0)&lt;1)),"Konstruksi Soal (aspek 5,6,7,8,9,10,11,12,13 dan/atau 14) ","")</f>
        <v/>
      </c>
      <c r="M13" s="27" t="str">
        <f t="shared" ref="M13:M44" si="2">IF(AND(B13="Diperbaiki",OR(HLOOKUP(A13,DataKet3,16,0)&lt;&gt;1,HLOOKUP(A13,DataKet3,17,0)&lt;&gt;1,HLOOKUP(A13,DataKet3,18,0)&lt;&gt;1)),"Aspek Bahasa Soal (aspek 15,16,17 dan/atau 18) ","")</f>
        <v/>
      </c>
      <c r="N13" s="27" t="e">
        <f>IF(B13="Ditolak","Soal Ditolak",IF(AND(#REF!="",K13="",L13="",M13="",HLOOKUP(A13,DataRek1,50,0)=100),"Soal Dapat Digunakan",IF(AND(K13&lt;&gt;"",L13&lt;&gt;"",M13&lt;&gt;""),K13&amp;", "&amp;L13&amp;", "&amp;M13&amp;" Harus Diperbaiki",IF(OR(K13&lt;&gt;"",L13&lt;&gt;"",M13&lt;&gt;""),K13&amp;", "&amp;L13&amp;", "&amp;M13&amp;" Harus Diperbaiki",""))))</f>
        <v>#REF!</v>
      </c>
      <c r="S13" s="27">
        <v>2</v>
      </c>
      <c r="T13" s="27">
        <f>[1]Instrumen!O12</f>
        <v>0</v>
      </c>
      <c r="U13" s="27">
        <f>[1]Instrumen!P12</f>
        <v>0</v>
      </c>
      <c r="V13" s="27">
        <f>[1]Instrumen!Q12</f>
        <v>0</v>
      </c>
      <c r="W13" s="27">
        <f>[1]Instrumen!R12</f>
        <v>0</v>
      </c>
      <c r="X13" s="27">
        <f>[1]Instrumen!S12</f>
        <v>0</v>
      </c>
      <c r="Y13" s="27">
        <f>[1]Instrumen!T12</f>
        <v>0</v>
      </c>
      <c r="Z13" s="27">
        <f>[1]Instrumen!U12</f>
        <v>0</v>
      </c>
      <c r="AA13" s="27">
        <f>[1]Instrumen!V12</f>
        <v>0</v>
      </c>
      <c r="AB13" s="27">
        <f>[1]Instrumen!W12</f>
        <v>0</v>
      </c>
      <c r="AC13" s="27">
        <f>[1]Instrumen!X12</f>
        <v>0</v>
      </c>
      <c r="AD13" s="27">
        <f>[1]Instrumen!Y12</f>
        <v>0</v>
      </c>
      <c r="AE13" s="27">
        <f>[1]Instrumen!Z12</f>
        <v>0</v>
      </c>
      <c r="AF13" s="27">
        <f>[1]Instrumen!AA12</f>
        <v>0</v>
      </c>
      <c r="AG13" s="27">
        <f>[1]Instrumen!AB12</f>
        <v>0</v>
      </c>
      <c r="AH13" s="27">
        <f>[1]Instrumen!AC12</f>
        <v>0</v>
      </c>
      <c r="AI13" s="27">
        <f>[1]Instrumen!AD12</f>
        <v>0</v>
      </c>
      <c r="AJ13" s="27">
        <f>[1]Instrumen!AE12</f>
        <v>0</v>
      </c>
      <c r="AK13" s="27">
        <f>[1]Instrumen!AF12</f>
        <v>0</v>
      </c>
      <c r="AL13" s="27">
        <f>[1]Instrumen!AG12</f>
        <v>0</v>
      </c>
      <c r="AM13" s="27">
        <f>[1]Instrumen!AH12</f>
        <v>0</v>
      </c>
      <c r="AN13" s="27">
        <f>[1]Instrumen!AI12</f>
        <v>0</v>
      </c>
      <c r="AO13" s="27">
        <f>[1]Instrumen!AJ12</f>
        <v>0</v>
      </c>
      <c r="AP13" s="27">
        <f>[1]Instrumen!AK12</f>
        <v>0</v>
      </c>
      <c r="AQ13" s="27">
        <f>[1]Instrumen!AL12</f>
        <v>0</v>
      </c>
      <c r="AR13" s="27">
        <f>[1]Instrumen!AM12</f>
        <v>0</v>
      </c>
      <c r="AS13" s="27">
        <f>[1]Instrumen!AN12</f>
        <v>0</v>
      </c>
      <c r="AT13" s="27">
        <f>[1]Instrumen!AO12</f>
        <v>0</v>
      </c>
      <c r="AU13" s="27">
        <f>[1]Instrumen!AP12</f>
        <v>0</v>
      </c>
      <c r="AV13" s="27">
        <f>[1]Instrumen!AQ12</f>
        <v>0</v>
      </c>
      <c r="AW13" s="27">
        <f>[1]Instrumen!AR12</f>
        <v>0</v>
      </c>
      <c r="AX13" s="27">
        <f>[1]Instrumen!AS12</f>
        <v>0</v>
      </c>
      <c r="AY13" s="27">
        <f>[1]Instrumen!AT12</f>
        <v>0</v>
      </c>
      <c r="AZ13" s="27">
        <f>[1]Instrumen!AU12</f>
        <v>0</v>
      </c>
      <c r="BA13" s="27">
        <f>[1]Instrumen!AV12</f>
        <v>0</v>
      </c>
      <c r="BB13" s="27">
        <f>[1]Instrumen!AW12</f>
        <v>0</v>
      </c>
      <c r="BC13" s="27">
        <f>[1]Instrumen!AX12</f>
        <v>0</v>
      </c>
      <c r="BD13" s="27">
        <f>[1]Instrumen!AY12</f>
        <v>0</v>
      </c>
      <c r="BE13" s="27">
        <f>[1]Instrumen!AZ12</f>
        <v>0</v>
      </c>
      <c r="BF13" s="27">
        <f>[1]Instrumen!BA12</f>
        <v>0</v>
      </c>
      <c r="BG13" s="27">
        <f>[1]Instrumen!BB12</f>
        <v>0</v>
      </c>
      <c r="BH13" s="27">
        <f>[1]Instrumen!BC12</f>
        <v>0</v>
      </c>
      <c r="BI13" s="27">
        <f>[1]Instrumen!BD12</f>
        <v>0</v>
      </c>
      <c r="BJ13" s="27">
        <f>[1]Instrumen!BE12</f>
        <v>0</v>
      </c>
      <c r="BK13" s="27">
        <f>[1]Instrumen!BF12</f>
        <v>0</v>
      </c>
      <c r="BL13" s="27">
        <f>[1]Instrumen!BG12</f>
        <v>0</v>
      </c>
      <c r="BM13" s="27">
        <f>[1]Instrumen!BH12</f>
        <v>0</v>
      </c>
      <c r="BN13" s="27">
        <f>[1]Instrumen!BI12</f>
        <v>0</v>
      </c>
      <c r="BO13" s="27">
        <f>[1]Instrumen!BJ12</f>
        <v>0</v>
      </c>
      <c r="BP13" s="27">
        <f>[1]Instrumen!BK12</f>
        <v>0</v>
      </c>
      <c r="BQ13" s="27">
        <f>[1]Instrumen!BL12</f>
        <v>0</v>
      </c>
    </row>
    <row r="14" spans="1:69" ht="18" customHeight="1" x14ac:dyDescent="0.25">
      <c r="A14" s="33">
        <v>2</v>
      </c>
      <c r="B14" s="184">
        <f>Ins_PG!$F$37</f>
        <v>100</v>
      </c>
      <c r="C14" s="185"/>
      <c r="D14" s="34" t="s">
        <v>161</v>
      </c>
      <c r="E14" s="35" t="str">
        <f>Ins_PG!$F$35</f>
        <v>C2</v>
      </c>
      <c r="F14" s="35" t="str">
        <f t="shared" ref="F14:F52" si="3">IF(E14="","",IF(OR(E14="C1",E14="C2"),"Level 1",IF(E14="C3","Level 2",IF(OR(E14="C4",E14="C5",E14="C6"),"Level 3",""))))</f>
        <v>Level 1</v>
      </c>
      <c r="G14" s="35" t="str">
        <f>Ins_PG!$F$39</f>
        <v>Digunakan</v>
      </c>
      <c r="H14" s="36" t="str">
        <f>IF(G14="Ditolak","Soal No. 2 wajib diganti",IF(G14="Digunakan","Soal No. 2 wajib diujikan",IF(G14="Diperbaiki",J14,"")))</f>
        <v>Soal No. 2 wajib diujikan</v>
      </c>
      <c r="J14" s="38" t="str">
        <f>IF(Telaah_PG!$JT$6="","",Telaah_PG!$JT$6)</f>
        <v>Soal No. 2 perlu perbaikan pada aspek hal-hal penting,    HOTS</v>
      </c>
      <c r="K14" s="27" t="str">
        <f t="shared" si="0"/>
        <v/>
      </c>
      <c r="L14" s="37" t="str">
        <f t="shared" si="1"/>
        <v/>
      </c>
      <c r="M14" s="27" t="str">
        <f t="shared" si="2"/>
        <v/>
      </c>
      <c r="N14" s="27" t="e">
        <f>IF(B14="Ditolak","Soal Ditolak",IF(AND(#REF!="",K14="",L14="",M14="",HLOOKUP(A14,DataRek1,50,0)=100),"Soal Dapat Digunakan",IF(AND(K14&lt;&gt;"",L14&lt;&gt;"",M14&lt;&gt;""),K14&amp;", "&amp;L14&amp;", "&amp;M14&amp;" Harus Diperbaiki",IF(OR(K14&lt;&gt;"",L14&lt;&gt;"",M14&lt;&gt;""),K14&amp;", "&amp;L14&amp;", "&amp;M14&amp;" Harus Diperbaiki",""))))</f>
        <v>#REF!</v>
      </c>
      <c r="S14" s="27">
        <v>3</v>
      </c>
      <c r="T14" s="27">
        <f>[1]Instrumen!O14</f>
        <v>0</v>
      </c>
      <c r="U14" s="27">
        <f>[1]Instrumen!P14</f>
        <v>0</v>
      </c>
      <c r="V14" s="27">
        <f>[1]Instrumen!Q14</f>
        <v>0</v>
      </c>
      <c r="W14" s="27">
        <f>[1]Instrumen!R14</f>
        <v>0</v>
      </c>
      <c r="X14" s="27">
        <f>[1]Instrumen!S14</f>
        <v>0</v>
      </c>
      <c r="Y14" s="27">
        <f>[1]Instrumen!T14</f>
        <v>0</v>
      </c>
      <c r="Z14" s="27">
        <f>[1]Instrumen!U14</f>
        <v>0</v>
      </c>
      <c r="AA14" s="27">
        <f>[1]Instrumen!V14</f>
        <v>0</v>
      </c>
      <c r="AB14" s="27">
        <f>[1]Instrumen!W14</f>
        <v>0</v>
      </c>
      <c r="AC14" s="27">
        <f>[1]Instrumen!X14</f>
        <v>0</v>
      </c>
      <c r="AD14" s="27">
        <f>[1]Instrumen!Y14</f>
        <v>0</v>
      </c>
      <c r="AE14" s="27">
        <f>[1]Instrumen!Z14</f>
        <v>0</v>
      </c>
      <c r="AF14" s="27">
        <f>[1]Instrumen!AA14</f>
        <v>0</v>
      </c>
      <c r="AG14" s="27">
        <f>[1]Instrumen!AB14</f>
        <v>0</v>
      </c>
      <c r="AH14" s="27">
        <f>[1]Instrumen!AC14</f>
        <v>0</v>
      </c>
      <c r="AI14" s="27">
        <f>[1]Instrumen!AD14</f>
        <v>0</v>
      </c>
      <c r="AJ14" s="27">
        <f>[1]Instrumen!AE14</f>
        <v>0</v>
      </c>
      <c r="AK14" s="27">
        <f>[1]Instrumen!AF14</f>
        <v>0</v>
      </c>
      <c r="AL14" s="27">
        <f>[1]Instrumen!AG14</f>
        <v>0</v>
      </c>
      <c r="AM14" s="27">
        <f>[1]Instrumen!AH14</f>
        <v>0</v>
      </c>
      <c r="AN14" s="27">
        <f>[1]Instrumen!AI14</f>
        <v>0</v>
      </c>
      <c r="AO14" s="27">
        <f>[1]Instrumen!AJ14</f>
        <v>0</v>
      </c>
      <c r="AP14" s="27">
        <f>[1]Instrumen!AK14</f>
        <v>0</v>
      </c>
      <c r="AQ14" s="27">
        <f>[1]Instrumen!AL14</f>
        <v>0</v>
      </c>
      <c r="AR14" s="27">
        <f>[1]Instrumen!AM14</f>
        <v>0</v>
      </c>
      <c r="AS14" s="27">
        <f>[1]Instrumen!AN14</f>
        <v>0</v>
      </c>
      <c r="AT14" s="27">
        <f>[1]Instrumen!AO14</f>
        <v>0</v>
      </c>
      <c r="AU14" s="27">
        <f>[1]Instrumen!AP14</f>
        <v>0</v>
      </c>
      <c r="AV14" s="27">
        <f>[1]Instrumen!AQ14</f>
        <v>0</v>
      </c>
      <c r="AW14" s="27">
        <f>[1]Instrumen!AR14</f>
        <v>0</v>
      </c>
      <c r="AX14" s="27">
        <f>[1]Instrumen!AS14</f>
        <v>0</v>
      </c>
      <c r="AY14" s="27">
        <f>[1]Instrumen!AT14</f>
        <v>0</v>
      </c>
      <c r="AZ14" s="27">
        <f>[1]Instrumen!AU14</f>
        <v>0</v>
      </c>
      <c r="BA14" s="27">
        <f>[1]Instrumen!AV14</f>
        <v>0</v>
      </c>
      <c r="BB14" s="27">
        <f>[1]Instrumen!AW14</f>
        <v>0</v>
      </c>
      <c r="BC14" s="27">
        <f>[1]Instrumen!AX14</f>
        <v>0</v>
      </c>
      <c r="BD14" s="27">
        <f>[1]Instrumen!AY14</f>
        <v>0</v>
      </c>
      <c r="BE14" s="27">
        <f>[1]Instrumen!AZ14</f>
        <v>0</v>
      </c>
      <c r="BF14" s="27">
        <f>[1]Instrumen!BA14</f>
        <v>0</v>
      </c>
      <c r="BG14" s="27">
        <f>[1]Instrumen!BB14</f>
        <v>0</v>
      </c>
      <c r="BH14" s="27">
        <f>[1]Instrumen!BC14</f>
        <v>0</v>
      </c>
      <c r="BI14" s="27">
        <f>[1]Instrumen!BD14</f>
        <v>0</v>
      </c>
      <c r="BJ14" s="27">
        <f>[1]Instrumen!BE14</f>
        <v>0</v>
      </c>
      <c r="BK14" s="27">
        <f>[1]Instrumen!BF14</f>
        <v>0</v>
      </c>
      <c r="BL14" s="27">
        <f>[1]Instrumen!BG14</f>
        <v>0</v>
      </c>
      <c r="BM14" s="27">
        <f>[1]Instrumen!BH14</f>
        <v>0</v>
      </c>
      <c r="BN14" s="27">
        <f>[1]Instrumen!BI14</f>
        <v>0</v>
      </c>
      <c r="BO14" s="27">
        <f>[1]Instrumen!BJ14</f>
        <v>0</v>
      </c>
      <c r="BP14" s="27">
        <f>[1]Instrumen!BK14</f>
        <v>0</v>
      </c>
      <c r="BQ14" s="27">
        <f>[1]Instrumen!BL14</f>
        <v>0</v>
      </c>
    </row>
    <row r="15" spans="1:69" ht="18" customHeight="1" x14ac:dyDescent="0.25">
      <c r="A15" s="33">
        <v>3</v>
      </c>
      <c r="B15" s="184">
        <f>Ins_PG!$G$37</f>
        <v>100</v>
      </c>
      <c r="C15" s="185"/>
      <c r="D15" s="34" t="s">
        <v>161</v>
      </c>
      <c r="E15" s="35" t="str">
        <f>Ins_PG!$G$35</f>
        <v>C2</v>
      </c>
      <c r="F15" s="35" t="str">
        <f t="shared" si="3"/>
        <v>Level 1</v>
      </c>
      <c r="G15" s="35" t="str">
        <f>Ins_PG!$G$39</f>
        <v>Digunakan</v>
      </c>
      <c r="H15" s="36" t="str">
        <f>IF(G15="Ditolak","Soal No. 3 wajib diganti",IF(G15="Digunakan","Soal No. 3 wajib diujikan",IF(G15="Diperbaiki",J15,"")))</f>
        <v>Soal No. 3 wajib diujikan</v>
      </c>
      <c r="J15" s="38" t="str">
        <f>IF(Telaah_PG!$JU$6="","",Telaah_PG!$JU$6)</f>
        <v>Soal No. 3 perlu perbaikan pada aspek hal-hal penting,    HOTS</v>
      </c>
      <c r="K15" s="27" t="str">
        <f t="shared" si="0"/>
        <v/>
      </c>
      <c r="L15" s="37" t="str">
        <f t="shared" si="1"/>
        <v/>
      </c>
      <c r="M15" s="27" t="str">
        <f t="shared" si="2"/>
        <v/>
      </c>
      <c r="N15" s="27" t="e">
        <f>IF(B15="Ditolak","Soal Ditolak",IF(AND(#REF!="",K15="",L15="",M15="",HLOOKUP(A15,DataRek1,50,0)=100),"Soal Dapat Digunakan",IF(AND(K15&lt;&gt;"",L15&lt;&gt;"",M15&lt;&gt;""),K15&amp;", "&amp;L15&amp;", "&amp;M15&amp;" Harus Diperbaiki",IF(OR(K15&lt;&gt;"",L15&lt;&gt;"",M15&lt;&gt;""),K15&amp;", "&amp;L15&amp;", "&amp;M15&amp;" Harus Diperbaiki",""))))</f>
        <v>#REF!</v>
      </c>
      <c r="S15" s="27">
        <v>4</v>
      </c>
      <c r="T15" s="27">
        <f>[1]Instrumen!O16</f>
        <v>0</v>
      </c>
      <c r="U15" s="27">
        <f>[1]Instrumen!P16</f>
        <v>0</v>
      </c>
      <c r="V15" s="27">
        <f>[1]Instrumen!Q16</f>
        <v>0</v>
      </c>
      <c r="W15" s="27">
        <f>[1]Instrumen!R16</f>
        <v>0</v>
      </c>
      <c r="X15" s="27">
        <f>[1]Instrumen!S16</f>
        <v>0</v>
      </c>
      <c r="Y15" s="27">
        <f>[1]Instrumen!T16</f>
        <v>0</v>
      </c>
      <c r="Z15" s="27">
        <f>[1]Instrumen!U16</f>
        <v>0</v>
      </c>
      <c r="AA15" s="27">
        <f>[1]Instrumen!V16</f>
        <v>0</v>
      </c>
      <c r="AB15" s="27">
        <f>[1]Instrumen!W16</f>
        <v>0</v>
      </c>
      <c r="AC15" s="27">
        <f>[1]Instrumen!X16</f>
        <v>0</v>
      </c>
      <c r="AD15" s="27">
        <f>[1]Instrumen!Y16</f>
        <v>0</v>
      </c>
      <c r="AE15" s="27">
        <f>[1]Instrumen!Z16</f>
        <v>0</v>
      </c>
      <c r="AF15" s="27">
        <f>[1]Instrumen!AA16</f>
        <v>0</v>
      </c>
      <c r="AG15" s="27">
        <f>[1]Instrumen!AB16</f>
        <v>0</v>
      </c>
      <c r="AH15" s="27">
        <f>[1]Instrumen!AC16</f>
        <v>0</v>
      </c>
      <c r="AI15" s="27">
        <f>[1]Instrumen!AD16</f>
        <v>0</v>
      </c>
      <c r="AJ15" s="27">
        <f>[1]Instrumen!AE16</f>
        <v>0</v>
      </c>
      <c r="AK15" s="27">
        <f>[1]Instrumen!AF16</f>
        <v>0</v>
      </c>
      <c r="AL15" s="27">
        <f>[1]Instrumen!AG16</f>
        <v>0</v>
      </c>
      <c r="AM15" s="27">
        <f>[1]Instrumen!AH16</f>
        <v>0</v>
      </c>
      <c r="AN15" s="27">
        <f>[1]Instrumen!AI16</f>
        <v>0</v>
      </c>
      <c r="AO15" s="27">
        <f>[1]Instrumen!AJ16</f>
        <v>0</v>
      </c>
      <c r="AP15" s="27">
        <f>[1]Instrumen!AK16</f>
        <v>0</v>
      </c>
      <c r="AQ15" s="27">
        <f>[1]Instrumen!AL16</f>
        <v>0</v>
      </c>
      <c r="AR15" s="27">
        <f>[1]Instrumen!AM16</f>
        <v>0</v>
      </c>
      <c r="AS15" s="27">
        <f>[1]Instrumen!AN16</f>
        <v>0</v>
      </c>
      <c r="AT15" s="27">
        <f>[1]Instrumen!AO16</f>
        <v>0</v>
      </c>
      <c r="AU15" s="27">
        <f>[1]Instrumen!AP16</f>
        <v>0</v>
      </c>
      <c r="AV15" s="27">
        <f>[1]Instrumen!AQ16</f>
        <v>0</v>
      </c>
      <c r="AW15" s="27">
        <f>[1]Instrumen!AR16</f>
        <v>0</v>
      </c>
      <c r="AX15" s="27">
        <f>[1]Instrumen!AS16</f>
        <v>0</v>
      </c>
      <c r="AY15" s="27">
        <f>[1]Instrumen!AT16</f>
        <v>0</v>
      </c>
      <c r="AZ15" s="27">
        <f>[1]Instrumen!AU16</f>
        <v>0</v>
      </c>
      <c r="BA15" s="27">
        <f>[1]Instrumen!AV16</f>
        <v>0</v>
      </c>
      <c r="BB15" s="27">
        <f>[1]Instrumen!AW16</f>
        <v>0</v>
      </c>
      <c r="BC15" s="27">
        <f>[1]Instrumen!AX16</f>
        <v>0</v>
      </c>
      <c r="BD15" s="27">
        <f>[1]Instrumen!AY16</f>
        <v>0</v>
      </c>
      <c r="BE15" s="27">
        <f>[1]Instrumen!AZ16</f>
        <v>0</v>
      </c>
      <c r="BF15" s="27">
        <f>[1]Instrumen!BA16</f>
        <v>0</v>
      </c>
      <c r="BG15" s="27">
        <f>[1]Instrumen!BB16</f>
        <v>0</v>
      </c>
      <c r="BH15" s="27">
        <f>[1]Instrumen!BC16</f>
        <v>0</v>
      </c>
      <c r="BI15" s="27">
        <f>[1]Instrumen!BD16</f>
        <v>0</v>
      </c>
      <c r="BJ15" s="27">
        <f>[1]Instrumen!BE16</f>
        <v>0</v>
      </c>
      <c r="BK15" s="27">
        <f>[1]Instrumen!BF16</f>
        <v>0</v>
      </c>
      <c r="BL15" s="27">
        <f>[1]Instrumen!BG16</f>
        <v>0</v>
      </c>
      <c r="BM15" s="27">
        <f>[1]Instrumen!BH16</f>
        <v>0</v>
      </c>
      <c r="BN15" s="27">
        <f>[1]Instrumen!BI16</f>
        <v>0</v>
      </c>
      <c r="BO15" s="27">
        <f>[1]Instrumen!BJ16</f>
        <v>0</v>
      </c>
      <c r="BP15" s="27">
        <f>[1]Instrumen!BK16</f>
        <v>0</v>
      </c>
      <c r="BQ15" s="27">
        <f>[1]Instrumen!BL16</f>
        <v>0</v>
      </c>
    </row>
    <row r="16" spans="1:69" ht="18" customHeight="1" x14ac:dyDescent="0.25">
      <c r="A16" s="33">
        <v>4</v>
      </c>
      <c r="B16" s="184">
        <f>Ins_PG!$H$37</f>
        <v>100</v>
      </c>
      <c r="C16" s="185"/>
      <c r="D16" s="34" t="s">
        <v>161</v>
      </c>
      <c r="E16" s="35" t="str">
        <f>Ins_PG!$H$35</f>
        <v>C2</v>
      </c>
      <c r="F16" s="35" t="str">
        <f t="shared" si="3"/>
        <v>Level 1</v>
      </c>
      <c r="G16" s="35" t="str">
        <f>Ins_PG!$H$39</f>
        <v>Digunakan</v>
      </c>
      <c r="H16" s="36" t="str">
        <f>IF(G16="Ditolak","Soal No. 4 wajib diganti",IF(G16="Digunakan","Soal No. 4 wajib diujikan",IF(G16="Diperbaiki",J16,"")))</f>
        <v>Soal No. 4 wajib diujikan</v>
      </c>
      <c r="J16" s="38" t="str">
        <f>IF(Telaah_PG!$JV$6="","",Telaah_PG!$JV$6)</f>
        <v>Soal No. 4 perlu perbaikan pada aspek hal-hal penting,    HOTS</v>
      </c>
      <c r="K16" s="27" t="str">
        <f t="shared" si="0"/>
        <v/>
      </c>
      <c r="L16" s="37" t="str">
        <f t="shared" si="1"/>
        <v/>
      </c>
      <c r="M16" s="27" t="str">
        <f t="shared" si="2"/>
        <v/>
      </c>
      <c r="N16" s="27" t="e">
        <f>IF(B16="Ditolak","Soal Ditolak",IF(AND(#REF!="",K16="",L16="",M16="",HLOOKUP(A16,DataRek1,50,0)=100),"Soal Dapat Digunakan",IF(AND(K16&lt;&gt;"",L16&lt;&gt;"",M16&lt;&gt;""),K16&amp;", "&amp;L16&amp;", "&amp;M16&amp;" Harus Diperbaiki",IF(OR(K16&lt;&gt;"",L16&lt;&gt;"",M16&lt;&gt;""),K16&amp;", "&amp;L16&amp;", "&amp;M16&amp;" Harus Diperbaiki",""))))</f>
        <v>#REF!</v>
      </c>
      <c r="S16" s="27">
        <v>5</v>
      </c>
      <c r="T16" s="27">
        <f>[1]Instrumen!O19</f>
        <v>0</v>
      </c>
      <c r="U16" s="27">
        <f>[1]Instrumen!P19</f>
        <v>0</v>
      </c>
      <c r="V16" s="27">
        <f>[1]Instrumen!Q19</f>
        <v>0</v>
      </c>
      <c r="W16" s="27">
        <f>[1]Instrumen!R19</f>
        <v>0</v>
      </c>
      <c r="X16" s="27">
        <f>[1]Instrumen!S19</f>
        <v>0</v>
      </c>
      <c r="Y16" s="27">
        <f>[1]Instrumen!T19</f>
        <v>0</v>
      </c>
      <c r="Z16" s="27">
        <f>[1]Instrumen!U19</f>
        <v>0</v>
      </c>
      <c r="AA16" s="27">
        <f>[1]Instrumen!V19</f>
        <v>0</v>
      </c>
      <c r="AB16" s="27">
        <f>[1]Instrumen!W19</f>
        <v>0</v>
      </c>
      <c r="AC16" s="27">
        <f>[1]Instrumen!X19</f>
        <v>0</v>
      </c>
      <c r="AD16" s="27">
        <f>[1]Instrumen!Y19</f>
        <v>0</v>
      </c>
      <c r="AE16" s="27">
        <f>[1]Instrumen!Z19</f>
        <v>0</v>
      </c>
      <c r="AF16" s="27">
        <f>[1]Instrumen!AA19</f>
        <v>0</v>
      </c>
      <c r="AG16" s="27">
        <f>[1]Instrumen!AB19</f>
        <v>0</v>
      </c>
      <c r="AH16" s="27">
        <f>[1]Instrumen!AC19</f>
        <v>0</v>
      </c>
      <c r="AI16" s="27">
        <f>[1]Instrumen!AD19</f>
        <v>0</v>
      </c>
      <c r="AJ16" s="27">
        <f>[1]Instrumen!AE19</f>
        <v>0</v>
      </c>
      <c r="AK16" s="27">
        <f>[1]Instrumen!AF19</f>
        <v>0</v>
      </c>
      <c r="AL16" s="27">
        <f>[1]Instrumen!AG19</f>
        <v>0</v>
      </c>
      <c r="AM16" s="27">
        <f>[1]Instrumen!AH19</f>
        <v>0</v>
      </c>
      <c r="AN16" s="27">
        <f>[1]Instrumen!AI19</f>
        <v>0</v>
      </c>
      <c r="AO16" s="27">
        <f>[1]Instrumen!AJ19</f>
        <v>0</v>
      </c>
      <c r="AP16" s="27">
        <f>[1]Instrumen!AK19</f>
        <v>0</v>
      </c>
      <c r="AQ16" s="27">
        <f>[1]Instrumen!AL19</f>
        <v>0</v>
      </c>
      <c r="AR16" s="27">
        <f>[1]Instrumen!AM19</f>
        <v>0</v>
      </c>
      <c r="AS16" s="27">
        <f>[1]Instrumen!AN19</f>
        <v>0</v>
      </c>
      <c r="AT16" s="27">
        <f>[1]Instrumen!AO19</f>
        <v>0</v>
      </c>
      <c r="AU16" s="27">
        <f>[1]Instrumen!AP19</f>
        <v>0</v>
      </c>
      <c r="AV16" s="27">
        <f>[1]Instrumen!AQ19</f>
        <v>0</v>
      </c>
      <c r="AW16" s="27">
        <f>[1]Instrumen!AR19</f>
        <v>0</v>
      </c>
      <c r="AX16" s="27">
        <f>[1]Instrumen!AS19</f>
        <v>0</v>
      </c>
      <c r="AY16" s="27">
        <f>[1]Instrumen!AT19</f>
        <v>0</v>
      </c>
      <c r="AZ16" s="27">
        <f>[1]Instrumen!AU19</f>
        <v>0</v>
      </c>
      <c r="BA16" s="27">
        <f>[1]Instrumen!AV19</f>
        <v>0</v>
      </c>
      <c r="BB16" s="27">
        <f>[1]Instrumen!AW19</f>
        <v>0</v>
      </c>
      <c r="BC16" s="27">
        <f>[1]Instrumen!AX19</f>
        <v>0</v>
      </c>
      <c r="BD16" s="27">
        <f>[1]Instrumen!AY19</f>
        <v>0</v>
      </c>
      <c r="BE16" s="27">
        <f>[1]Instrumen!AZ19</f>
        <v>0</v>
      </c>
      <c r="BF16" s="27">
        <f>[1]Instrumen!BA19</f>
        <v>0</v>
      </c>
      <c r="BG16" s="27">
        <f>[1]Instrumen!BB19</f>
        <v>0</v>
      </c>
      <c r="BH16" s="27">
        <f>[1]Instrumen!BC19</f>
        <v>0</v>
      </c>
      <c r="BI16" s="27">
        <f>[1]Instrumen!BD19</f>
        <v>0</v>
      </c>
      <c r="BJ16" s="27">
        <f>[1]Instrumen!BE19</f>
        <v>0</v>
      </c>
      <c r="BK16" s="27">
        <f>[1]Instrumen!BF19</f>
        <v>0</v>
      </c>
      <c r="BL16" s="27">
        <f>[1]Instrumen!BG19</f>
        <v>0</v>
      </c>
      <c r="BM16" s="27">
        <f>[1]Instrumen!BH19</f>
        <v>0</v>
      </c>
      <c r="BN16" s="27">
        <f>[1]Instrumen!BI19</f>
        <v>0</v>
      </c>
      <c r="BO16" s="27">
        <f>[1]Instrumen!BJ19</f>
        <v>0</v>
      </c>
      <c r="BP16" s="27">
        <f>[1]Instrumen!BK19</f>
        <v>0</v>
      </c>
      <c r="BQ16" s="27">
        <f>[1]Instrumen!BL19</f>
        <v>0</v>
      </c>
    </row>
    <row r="17" spans="1:69" ht="18" customHeight="1" x14ac:dyDescent="0.25">
      <c r="A17" s="33">
        <v>5</v>
      </c>
      <c r="B17" s="184">
        <f>Ins_PG!$I$37</f>
        <v>100</v>
      </c>
      <c r="C17" s="185"/>
      <c r="D17" s="34" t="s">
        <v>161</v>
      </c>
      <c r="E17" s="35" t="str">
        <f>Ins_PG!$I$35</f>
        <v>C2</v>
      </c>
      <c r="F17" s="35" t="str">
        <f t="shared" si="3"/>
        <v>Level 1</v>
      </c>
      <c r="G17" s="35" t="str">
        <f>Ins_PG!$I$39</f>
        <v>Digunakan</v>
      </c>
      <c r="H17" s="36" t="str">
        <f>IF(G17="Ditolak","Soal No. 5 wajib diganti",IF(G17="Digunakan","Soal No. 5 wajib diujikan",IF(G17="Diperbaiki",J17,"")))</f>
        <v>Soal No. 5 wajib diujikan</v>
      </c>
      <c r="J17" s="38" t="str">
        <f>IF(Telaah_PG!$JW$6="","",Telaah_PG!$JW$6)</f>
        <v>Soal No. 5 perlu perbaikan pada aspek hal-hal penting,    HOTS</v>
      </c>
      <c r="K17" s="27" t="str">
        <f t="shared" si="0"/>
        <v/>
      </c>
      <c r="L17" s="37" t="str">
        <f t="shared" si="1"/>
        <v/>
      </c>
      <c r="M17" s="27" t="str">
        <f t="shared" si="2"/>
        <v/>
      </c>
      <c r="N17" s="27" t="e">
        <f>IF(B17="Ditolak","Soal Ditolak",IF(AND(#REF!="",K17="",L17="",M17="",HLOOKUP(A17,DataRek1,50,0)=100),"Soal Dapat Digunakan",IF(AND(K17&lt;&gt;"",L17&lt;&gt;"",M17&lt;&gt;""),K17&amp;", "&amp;L17&amp;", "&amp;M17&amp;" Harus Diperbaiki",IF(OR(K17&lt;&gt;"",L17&lt;&gt;"",M17&lt;&gt;""),K17&amp;", "&amp;L17&amp;", "&amp;M17&amp;" Harus Diperbaiki",""))))</f>
        <v>#REF!</v>
      </c>
      <c r="S17" s="27">
        <v>6</v>
      </c>
      <c r="T17" s="27">
        <f>[1]Instrumen!O23</f>
        <v>0</v>
      </c>
      <c r="U17" s="27">
        <f>[1]Instrumen!P23</f>
        <v>0</v>
      </c>
      <c r="V17" s="27">
        <f>[1]Instrumen!Q23</f>
        <v>0</v>
      </c>
      <c r="W17" s="27">
        <f>[1]Instrumen!R23</f>
        <v>0</v>
      </c>
      <c r="X17" s="27">
        <f>[1]Instrumen!S23</f>
        <v>0</v>
      </c>
      <c r="Y17" s="27">
        <f>[1]Instrumen!T23</f>
        <v>0</v>
      </c>
      <c r="Z17" s="27">
        <f>[1]Instrumen!U23</f>
        <v>0</v>
      </c>
      <c r="AA17" s="27">
        <f>[1]Instrumen!V23</f>
        <v>0</v>
      </c>
      <c r="AB17" s="27">
        <f>[1]Instrumen!W23</f>
        <v>0</v>
      </c>
      <c r="AC17" s="27">
        <f>[1]Instrumen!X23</f>
        <v>0</v>
      </c>
      <c r="AD17" s="27">
        <f>[1]Instrumen!Y23</f>
        <v>0</v>
      </c>
      <c r="AE17" s="27">
        <f>[1]Instrumen!Z23</f>
        <v>0</v>
      </c>
      <c r="AF17" s="27">
        <f>[1]Instrumen!AA23</f>
        <v>0</v>
      </c>
      <c r="AG17" s="27">
        <f>[1]Instrumen!AB23</f>
        <v>0</v>
      </c>
      <c r="AH17" s="27">
        <f>[1]Instrumen!AC23</f>
        <v>0</v>
      </c>
      <c r="AI17" s="27">
        <f>[1]Instrumen!AD23</f>
        <v>0</v>
      </c>
      <c r="AJ17" s="27">
        <f>[1]Instrumen!AE23</f>
        <v>0</v>
      </c>
      <c r="AK17" s="27">
        <f>[1]Instrumen!AF23</f>
        <v>0</v>
      </c>
      <c r="AL17" s="27">
        <f>[1]Instrumen!AG23</f>
        <v>0</v>
      </c>
      <c r="AM17" s="27">
        <f>[1]Instrumen!AH23</f>
        <v>0</v>
      </c>
      <c r="AN17" s="27">
        <f>[1]Instrumen!AI23</f>
        <v>0</v>
      </c>
      <c r="AO17" s="27">
        <f>[1]Instrumen!AJ23</f>
        <v>0</v>
      </c>
      <c r="AP17" s="27">
        <f>[1]Instrumen!AK23</f>
        <v>0</v>
      </c>
      <c r="AQ17" s="27">
        <f>[1]Instrumen!AL23</f>
        <v>0</v>
      </c>
      <c r="AR17" s="27">
        <f>[1]Instrumen!AM23</f>
        <v>0</v>
      </c>
      <c r="AS17" s="27">
        <f>[1]Instrumen!AN23</f>
        <v>0</v>
      </c>
      <c r="AT17" s="27">
        <f>[1]Instrumen!AO23</f>
        <v>0</v>
      </c>
      <c r="AU17" s="27">
        <f>[1]Instrumen!AP23</f>
        <v>0</v>
      </c>
      <c r="AV17" s="27">
        <f>[1]Instrumen!AQ23</f>
        <v>0</v>
      </c>
      <c r="AW17" s="27">
        <f>[1]Instrumen!AR23</f>
        <v>0</v>
      </c>
      <c r="AX17" s="27">
        <f>[1]Instrumen!AS23</f>
        <v>0</v>
      </c>
      <c r="AY17" s="27">
        <f>[1]Instrumen!AT23</f>
        <v>0</v>
      </c>
      <c r="AZ17" s="27">
        <f>[1]Instrumen!AU23</f>
        <v>0</v>
      </c>
      <c r="BA17" s="27">
        <f>[1]Instrumen!AV23</f>
        <v>0</v>
      </c>
      <c r="BB17" s="27">
        <f>[1]Instrumen!AW23</f>
        <v>0</v>
      </c>
      <c r="BC17" s="27">
        <f>[1]Instrumen!AX23</f>
        <v>0</v>
      </c>
      <c r="BD17" s="27">
        <f>[1]Instrumen!AY23</f>
        <v>0</v>
      </c>
      <c r="BE17" s="27">
        <f>[1]Instrumen!AZ23</f>
        <v>0</v>
      </c>
      <c r="BF17" s="27">
        <f>[1]Instrumen!BA23</f>
        <v>0</v>
      </c>
      <c r="BG17" s="27">
        <f>[1]Instrumen!BB23</f>
        <v>0</v>
      </c>
      <c r="BH17" s="27">
        <f>[1]Instrumen!BC23</f>
        <v>0</v>
      </c>
      <c r="BI17" s="27">
        <f>[1]Instrumen!BD23</f>
        <v>0</v>
      </c>
      <c r="BJ17" s="27">
        <f>[1]Instrumen!BE23</f>
        <v>0</v>
      </c>
      <c r="BK17" s="27">
        <f>[1]Instrumen!BF23</f>
        <v>0</v>
      </c>
      <c r="BL17" s="27">
        <f>[1]Instrumen!BG23</f>
        <v>0</v>
      </c>
      <c r="BM17" s="27">
        <f>[1]Instrumen!BH23</f>
        <v>0</v>
      </c>
      <c r="BN17" s="27">
        <f>[1]Instrumen!BI23</f>
        <v>0</v>
      </c>
      <c r="BO17" s="27">
        <f>[1]Instrumen!BJ23</f>
        <v>0</v>
      </c>
      <c r="BP17" s="27">
        <f>[1]Instrumen!BK23</f>
        <v>0</v>
      </c>
      <c r="BQ17" s="27">
        <f>[1]Instrumen!BL23</f>
        <v>0</v>
      </c>
    </row>
    <row r="18" spans="1:69" ht="18" customHeight="1" x14ac:dyDescent="0.25">
      <c r="A18" s="33">
        <v>6</v>
      </c>
      <c r="B18" s="184">
        <f>Ins_PG!$J$37</f>
        <v>100</v>
      </c>
      <c r="C18" s="185"/>
      <c r="D18" s="34" t="s">
        <v>161</v>
      </c>
      <c r="E18" s="35" t="str">
        <f>Ins_PG!$J$35</f>
        <v>C4</v>
      </c>
      <c r="F18" s="35" t="str">
        <f t="shared" si="3"/>
        <v>Level 3</v>
      </c>
      <c r="G18" s="35" t="str">
        <f>Ins_PG!$J$39</f>
        <v>Digunakan</v>
      </c>
      <c r="H18" s="36" t="str">
        <f>IF(G18="Ditolak","Soal No. 6 wajib diganti",IF(G18="Digunakan","Soal No. 6 wajib diujikan",IF(G18="Diperbaiki",J18,"")))</f>
        <v>Soal No. 6 wajib diujikan</v>
      </c>
      <c r="J18" s="38" t="str">
        <f>IF(Telaah_PG!$JX$6="","",Telaah_PG!$JX$6)</f>
        <v>Soal No. 6 perlu perbaikan pada aspek hal-hal penting,    HOTS</v>
      </c>
      <c r="K18" s="27" t="str">
        <f t="shared" si="0"/>
        <v/>
      </c>
      <c r="L18" s="37" t="str">
        <f t="shared" si="1"/>
        <v/>
      </c>
      <c r="M18" s="27" t="str">
        <f t="shared" si="2"/>
        <v/>
      </c>
      <c r="N18" s="27" t="e">
        <f>IF(B18="Ditolak","Soal Ditolak",IF(AND(#REF!="",K18="",L18="",M18="",HLOOKUP(A18,DataRek1,50,0)=100),"Soal Dapat Digunakan",IF(AND(K18&lt;&gt;"",L18&lt;&gt;"",M18&lt;&gt;""),K18&amp;", "&amp;L18&amp;", "&amp;M18&amp;" Harus Diperbaiki",IF(OR(K18&lt;&gt;"",L18&lt;&gt;"",M18&lt;&gt;""),K18&amp;", "&amp;L18&amp;", "&amp;M18&amp;" Harus Diperbaiki",""))))</f>
        <v>#REF!</v>
      </c>
      <c r="S18" s="27">
        <v>7</v>
      </c>
      <c r="T18" s="27">
        <f>[1]Instrumen!O25</f>
        <v>0</v>
      </c>
      <c r="U18" s="27">
        <f>[1]Instrumen!P25</f>
        <v>0</v>
      </c>
      <c r="V18" s="27">
        <f>[1]Instrumen!Q25</f>
        <v>0</v>
      </c>
      <c r="W18" s="27">
        <f>[1]Instrumen!R25</f>
        <v>0</v>
      </c>
      <c r="X18" s="27">
        <f>[1]Instrumen!S25</f>
        <v>0</v>
      </c>
      <c r="Y18" s="27">
        <f>[1]Instrumen!T25</f>
        <v>0</v>
      </c>
      <c r="Z18" s="27">
        <f>[1]Instrumen!U25</f>
        <v>0</v>
      </c>
      <c r="AA18" s="27">
        <f>[1]Instrumen!V25</f>
        <v>0</v>
      </c>
      <c r="AB18" s="27">
        <f>[1]Instrumen!W25</f>
        <v>0</v>
      </c>
      <c r="AC18" s="27">
        <f>[1]Instrumen!X25</f>
        <v>0</v>
      </c>
      <c r="AD18" s="27">
        <f>[1]Instrumen!Y25</f>
        <v>0</v>
      </c>
      <c r="AE18" s="27">
        <f>[1]Instrumen!Z25</f>
        <v>0</v>
      </c>
      <c r="AF18" s="27">
        <f>[1]Instrumen!AA25</f>
        <v>0</v>
      </c>
      <c r="AG18" s="27">
        <f>[1]Instrumen!AB25</f>
        <v>0</v>
      </c>
      <c r="AH18" s="27">
        <f>[1]Instrumen!AC25</f>
        <v>0</v>
      </c>
      <c r="AI18" s="27">
        <f>[1]Instrumen!AD25</f>
        <v>0</v>
      </c>
      <c r="AJ18" s="27">
        <f>[1]Instrumen!AE25</f>
        <v>0</v>
      </c>
      <c r="AK18" s="27">
        <f>[1]Instrumen!AF25</f>
        <v>0</v>
      </c>
      <c r="AL18" s="27">
        <f>[1]Instrumen!AG25</f>
        <v>0</v>
      </c>
      <c r="AM18" s="27">
        <f>[1]Instrumen!AH25</f>
        <v>0</v>
      </c>
      <c r="AN18" s="27">
        <f>[1]Instrumen!AI25</f>
        <v>0</v>
      </c>
      <c r="AO18" s="27">
        <f>[1]Instrumen!AJ25</f>
        <v>0</v>
      </c>
      <c r="AP18" s="27">
        <f>[1]Instrumen!AK25</f>
        <v>0</v>
      </c>
      <c r="AQ18" s="27">
        <f>[1]Instrumen!AL25</f>
        <v>0</v>
      </c>
      <c r="AR18" s="27">
        <f>[1]Instrumen!AM25</f>
        <v>0</v>
      </c>
      <c r="AS18" s="27">
        <f>[1]Instrumen!AN25</f>
        <v>0</v>
      </c>
      <c r="AT18" s="27">
        <f>[1]Instrumen!AO25</f>
        <v>0</v>
      </c>
      <c r="AU18" s="27">
        <f>[1]Instrumen!AP25</f>
        <v>0</v>
      </c>
      <c r="AV18" s="27">
        <f>[1]Instrumen!AQ25</f>
        <v>0</v>
      </c>
      <c r="AW18" s="27">
        <f>[1]Instrumen!AR25</f>
        <v>0</v>
      </c>
      <c r="AX18" s="27">
        <f>[1]Instrumen!AS25</f>
        <v>0</v>
      </c>
      <c r="AY18" s="27">
        <f>[1]Instrumen!AT25</f>
        <v>0</v>
      </c>
      <c r="AZ18" s="27">
        <f>[1]Instrumen!AU25</f>
        <v>0</v>
      </c>
      <c r="BA18" s="27">
        <f>[1]Instrumen!AV25</f>
        <v>0</v>
      </c>
      <c r="BB18" s="27">
        <f>[1]Instrumen!AW25</f>
        <v>0</v>
      </c>
      <c r="BC18" s="27">
        <f>[1]Instrumen!AX25</f>
        <v>0</v>
      </c>
      <c r="BD18" s="27">
        <f>[1]Instrumen!AY25</f>
        <v>0</v>
      </c>
      <c r="BE18" s="27">
        <f>[1]Instrumen!AZ25</f>
        <v>0</v>
      </c>
      <c r="BF18" s="27">
        <f>[1]Instrumen!BA25</f>
        <v>0</v>
      </c>
      <c r="BG18" s="27">
        <f>[1]Instrumen!BB25</f>
        <v>0</v>
      </c>
      <c r="BH18" s="27">
        <f>[1]Instrumen!BC25</f>
        <v>0</v>
      </c>
      <c r="BI18" s="27">
        <f>[1]Instrumen!BD25</f>
        <v>0</v>
      </c>
      <c r="BJ18" s="27">
        <f>[1]Instrumen!BE25</f>
        <v>0</v>
      </c>
      <c r="BK18" s="27">
        <f>[1]Instrumen!BF25</f>
        <v>0</v>
      </c>
      <c r="BL18" s="27">
        <f>[1]Instrumen!BG25</f>
        <v>0</v>
      </c>
      <c r="BM18" s="27">
        <f>[1]Instrumen!BH25</f>
        <v>0</v>
      </c>
      <c r="BN18" s="27">
        <f>[1]Instrumen!BI25</f>
        <v>0</v>
      </c>
      <c r="BO18" s="27">
        <f>[1]Instrumen!BJ25</f>
        <v>0</v>
      </c>
      <c r="BP18" s="27">
        <f>[1]Instrumen!BK25</f>
        <v>0</v>
      </c>
      <c r="BQ18" s="27">
        <f>[1]Instrumen!BL25</f>
        <v>0</v>
      </c>
    </row>
    <row r="19" spans="1:69" ht="18" customHeight="1" x14ac:dyDescent="0.25">
      <c r="A19" s="33">
        <v>7</v>
      </c>
      <c r="B19" s="184">
        <f>Ins_PG!$K$37</f>
        <v>100</v>
      </c>
      <c r="C19" s="185"/>
      <c r="D19" s="34" t="s">
        <v>161</v>
      </c>
      <c r="E19" s="35" t="str">
        <f>Ins_PG!$K$35</f>
        <v>C4</v>
      </c>
      <c r="F19" s="35" t="str">
        <f t="shared" si="3"/>
        <v>Level 3</v>
      </c>
      <c r="G19" s="35" t="str">
        <f>Ins_PG!$K$39</f>
        <v>Digunakan</v>
      </c>
      <c r="H19" s="36" t="str">
        <f>IF(G19="Ditolak","Soal No. 7 wajib diganti",IF(G19="Digunakan","Soal No. 7 wajib diujikan",IF(G19="Diperbaiki",J19,"")))</f>
        <v>Soal No. 7 wajib diujikan</v>
      </c>
      <c r="J19" s="38" t="str">
        <f>IF(Telaah_PG!$JY$6="","",Telaah_PG!$JY$6)</f>
        <v>Soal No. 7 perlu perbaikan pada aspek hal-hal penting,    HOTS</v>
      </c>
      <c r="K19" s="27" t="str">
        <f t="shared" si="0"/>
        <v/>
      </c>
      <c r="L19" s="37" t="str">
        <f t="shared" si="1"/>
        <v/>
      </c>
      <c r="M19" s="27" t="str">
        <f t="shared" si="2"/>
        <v/>
      </c>
      <c r="N19" s="27" t="e">
        <f>IF(B19="Ditolak","Soal Ditolak",IF(AND(#REF!="",K19="",L19="",M19="",HLOOKUP(A19,DataRek1,50,0)=100),"Soal Dapat Digunakan",IF(AND(K19&lt;&gt;"",L19&lt;&gt;"",M19&lt;&gt;""),K19&amp;", "&amp;L19&amp;", "&amp;M19&amp;" Harus Diperbaiki",IF(OR(K19&lt;&gt;"",L19&lt;&gt;"",M19&lt;&gt;""),K19&amp;", "&amp;L19&amp;", "&amp;M19&amp;" Harus Diperbaiki",""))))</f>
        <v>#REF!</v>
      </c>
      <c r="S19" s="27">
        <v>8</v>
      </c>
      <c r="T19" s="27">
        <f>[1]Instrumen!O27</f>
        <v>0</v>
      </c>
      <c r="U19" s="27">
        <f>[1]Instrumen!P27</f>
        <v>0</v>
      </c>
      <c r="V19" s="27">
        <f>[1]Instrumen!Q27</f>
        <v>0</v>
      </c>
      <c r="W19" s="27">
        <f>[1]Instrumen!R27</f>
        <v>0</v>
      </c>
      <c r="X19" s="27">
        <f>[1]Instrumen!S27</f>
        <v>0</v>
      </c>
      <c r="Y19" s="27">
        <f>[1]Instrumen!T27</f>
        <v>0</v>
      </c>
      <c r="Z19" s="27">
        <f>[1]Instrumen!U27</f>
        <v>0</v>
      </c>
      <c r="AA19" s="27">
        <f>[1]Instrumen!V27</f>
        <v>0</v>
      </c>
      <c r="AB19" s="27">
        <f>[1]Instrumen!W27</f>
        <v>0</v>
      </c>
      <c r="AC19" s="27">
        <f>[1]Instrumen!X27</f>
        <v>0</v>
      </c>
      <c r="AD19" s="27">
        <f>[1]Instrumen!Y27</f>
        <v>0</v>
      </c>
      <c r="AE19" s="27">
        <f>[1]Instrumen!Z27</f>
        <v>0</v>
      </c>
      <c r="AF19" s="27">
        <f>[1]Instrumen!AA27</f>
        <v>0</v>
      </c>
      <c r="AG19" s="27">
        <f>[1]Instrumen!AB27</f>
        <v>0</v>
      </c>
      <c r="AH19" s="27">
        <f>[1]Instrumen!AC27</f>
        <v>0</v>
      </c>
      <c r="AI19" s="27">
        <f>[1]Instrumen!AD27</f>
        <v>0</v>
      </c>
      <c r="AJ19" s="27">
        <f>[1]Instrumen!AE27</f>
        <v>0</v>
      </c>
      <c r="AK19" s="27">
        <f>[1]Instrumen!AF27</f>
        <v>0</v>
      </c>
      <c r="AL19" s="27">
        <f>[1]Instrumen!AG27</f>
        <v>0</v>
      </c>
      <c r="AM19" s="27">
        <f>[1]Instrumen!AH27</f>
        <v>0</v>
      </c>
      <c r="AN19" s="27">
        <f>[1]Instrumen!AI27</f>
        <v>0</v>
      </c>
      <c r="AO19" s="27">
        <f>[1]Instrumen!AJ27</f>
        <v>0</v>
      </c>
      <c r="AP19" s="27">
        <f>[1]Instrumen!AK27</f>
        <v>0</v>
      </c>
      <c r="AQ19" s="27">
        <f>[1]Instrumen!AL27</f>
        <v>0</v>
      </c>
      <c r="AR19" s="27">
        <f>[1]Instrumen!AM27</f>
        <v>0</v>
      </c>
      <c r="AS19" s="27">
        <f>[1]Instrumen!AN27</f>
        <v>0</v>
      </c>
      <c r="AT19" s="27">
        <f>[1]Instrumen!AO27</f>
        <v>0</v>
      </c>
      <c r="AU19" s="27">
        <f>[1]Instrumen!AP27</f>
        <v>0</v>
      </c>
      <c r="AV19" s="27">
        <f>[1]Instrumen!AQ27</f>
        <v>0</v>
      </c>
      <c r="AW19" s="27">
        <f>[1]Instrumen!AR27</f>
        <v>0</v>
      </c>
      <c r="AX19" s="27">
        <f>[1]Instrumen!AS27</f>
        <v>0</v>
      </c>
      <c r="AY19" s="27">
        <f>[1]Instrumen!AT27</f>
        <v>0</v>
      </c>
      <c r="AZ19" s="27">
        <f>[1]Instrumen!AU27</f>
        <v>0</v>
      </c>
      <c r="BA19" s="27">
        <f>[1]Instrumen!AV27</f>
        <v>0</v>
      </c>
      <c r="BB19" s="27">
        <f>[1]Instrumen!AW27</f>
        <v>0</v>
      </c>
      <c r="BC19" s="27">
        <f>[1]Instrumen!AX27</f>
        <v>0</v>
      </c>
      <c r="BD19" s="27">
        <f>[1]Instrumen!AY27</f>
        <v>0</v>
      </c>
      <c r="BE19" s="27">
        <f>[1]Instrumen!AZ27</f>
        <v>0</v>
      </c>
      <c r="BF19" s="27">
        <f>[1]Instrumen!BA27</f>
        <v>0</v>
      </c>
      <c r="BG19" s="27">
        <f>[1]Instrumen!BB27</f>
        <v>0</v>
      </c>
      <c r="BH19" s="27">
        <f>[1]Instrumen!BC27</f>
        <v>0</v>
      </c>
      <c r="BI19" s="27">
        <f>[1]Instrumen!BD27</f>
        <v>0</v>
      </c>
      <c r="BJ19" s="27">
        <f>[1]Instrumen!BE27</f>
        <v>0</v>
      </c>
      <c r="BK19" s="27">
        <f>[1]Instrumen!BF27</f>
        <v>0</v>
      </c>
      <c r="BL19" s="27">
        <f>[1]Instrumen!BG27</f>
        <v>0</v>
      </c>
      <c r="BM19" s="27">
        <f>[1]Instrumen!BH27</f>
        <v>0</v>
      </c>
      <c r="BN19" s="27">
        <f>[1]Instrumen!BI27</f>
        <v>0</v>
      </c>
      <c r="BO19" s="27">
        <f>[1]Instrumen!BJ27</f>
        <v>0</v>
      </c>
      <c r="BP19" s="27">
        <f>[1]Instrumen!BK27</f>
        <v>0</v>
      </c>
      <c r="BQ19" s="27">
        <f>[1]Instrumen!BL27</f>
        <v>0</v>
      </c>
    </row>
    <row r="20" spans="1:69" ht="18" customHeight="1" x14ac:dyDescent="0.25">
      <c r="A20" s="33">
        <v>8</v>
      </c>
      <c r="B20" s="184">
        <f>Ins_PG!$L$37</f>
        <v>100</v>
      </c>
      <c r="C20" s="185"/>
      <c r="D20" s="34" t="s">
        <v>161</v>
      </c>
      <c r="E20" s="35" t="str">
        <f>Ins_PG!$L$35</f>
        <v>C3</v>
      </c>
      <c r="F20" s="35" t="str">
        <f t="shared" si="3"/>
        <v>Level 2</v>
      </c>
      <c r="G20" s="35" t="str">
        <f>Ins_PG!$L$39</f>
        <v>Digunakan</v>
      </c>
      <c r="H20" s="36" t="str">
        <f>IF(G20="Ditolak","Soal No. 8 wajib diganti",IF(G20="Digunakan","Soal No. 8 wajib diujikan",IF(G20="Diperbaiki",J20,"")))</f>
        <v>Soal No. 8 wajib diujikan</v>
      </c>
      <c r="J20" s="38" t="str">
        <f>IF(Telaah_PG!$JZ$6="","",Telaah_PG!$JZ$6)</f>
        <v>Soal No. 8 perlu perbaikan pada aspek hal-hal penting,    HOTS</v>
      </c>
      <c r="K20" s="27" t="str">
        <f t="shared" si="0"/>
        <v/>
      </c>
      <c r="L20" s="37" t="str">
        <f t="shared" si="1"/>
        <v/>
      </c>
      <c r="M20" s="27" t="str">
        <f t="shared" si="2"/>
        <v/>
      </c>
      <c r="N20" s="27" t="e">
        <f>IF(B20="Ditolak","Soal Ditolak",IF(AND(#REF!="",K20="",L20="",M20="",HLOOKUP(A20,DataRek1,50,0)=100),"Soal Dapat Digunakan",IF(AND(K20&lt;&gt;"",L20&lt;&gt;"",M20&lt;&gt;""),K20&amp;", "&amp;L20&amp;", "&amp;M20&amp;" Harus Diperbaiki",IF(OR(K20&lt;&gt;"",L20&lt;&gt;"",M20&lt;&gt;""),K20&amp;", "&amp;L20&amp;", "&amp;M20&amp;" Harus Diperbaiki",""))))</f>
        <v>#REF!</v>
      </c>
      <c r="S20" s="27">
        <v>9</v>
      </c>
      <c r="T20" s="27">
        <f>[1]Instrumen!O29</f>
        <v>0</v>
      </c>
      <c r="U20" s="27">
        <f>[1]Instrumen!P29</f>
        <v>0</v>
      </c>
      <c r="V20" s="27">
        <f>[1]Instrumen!Q29</f>
        <v>0</v>
      </c>
      <c r="W20" s="27">
        <f>[1]Instrumen!R29</f>
        <v>0</v>
      </c>
      <c r="X20" s="27">
        <f>[1]Instrumen!S29</f>
        <v>0</v>
      </c>
      <c r="Y20" s="27">
        <f>[1]Instrumen!T29</f>
        <v>0</v>
      </c>
      <c r="Z20" s="27">
        <f>[1]Instrumen!U29</f>
        <v>0</v>
      </c>
      <c r="AA20" s="27">
        <f>[1]Instrumen!V29</f>
        <v>0</v>
      </c>
      <c r="AB20" s="27">
        <f>[1]Instrumen!W29</f>
        <v>0</v>
      </c>
      <c r="AC20" s="27">
        <f>[1]Instrumen!X29</f>
        <v>0</v>
      </c>
      <c r="AD20" s="27">
        <f>[1]Instrumen!Y29</f>
        <v>0</v>
      </c>
      <c r="AE20" s="27">
        <f>[1]Instrumen!Z29</f>
        <v>0</v>
      </c>
      <c r="AF20" s="27">
        <f>[1]Instrumen!AA29</f>
        <v>0</v>
      </c>
      <c r="AG20" s="27">
        <f>[1]Instrumen!AB29</f>
        <v>0</v>
      </c>
      <c r="AH20" s="27">
        <f>[1]Instrumen!AC29</f>
        <v>0</v>
      </c>
      <c r="AI20" s="27">
        <f>[1]Instrumen!AD29</f>
        <v>0</v>
      </c>
      <c r="AJ20" s="27">
        <f>[1]Instrumen!AE29</f>
        <v>0</v>
      </c>
      <c r="AK20" s="27">
        <f>[1]Instrumen!AF29</f>
        <v>0</v>
      </c>
      <c r="AL20" s="27">
        <f>[1]Instrumen!AG29</f>
        <v>0</v>
      </c>
      <c r="AM20" s="27">
        <f>[1]Instrumen!AH29</f>
        <v>0</v>
      </c>
      <c r="AN20" s="27">
        <f>[1]Instrumen!AI29</f>
        <v>0</v>
      </c>
      <c r="AO20" s="27">
        <f>[1]Instrumen!AJ29</f>
        <v>0</v>
      </c>
      <c r="AP20" s="27">
        <f>[1]Instrumen!AK29</f>
        <v>0</v>
      </c>
      <c r="AQ20" s="27">
        <f>[1]Instrumen!AL29</f>
        <v>0</v>
      </c>
      <c r="AR20" s="27">
        <f>[1]Instrumen!AM29</f>
        <v>0</v>
      </c>
      <c r="AS20" s="27">
        <f>[1]Instrumen!AN29</f>
        <v>0</v>
      </c>
      <c r="AT20" s="27">
        <f>[1]Instrumen!AO29</f>
        <v>0</v>
      </c>
      <c r="AU20" s="27">
        <f>[1]Instrumen!AP29</f>
        <v>0</v>
      </c>
      <c r="AV20" s="27">
        <f>[1]Instrumen!AQ29</f>
        <v>0</v>
      </c>
      <c r="AW20" s="27">
        <f>[1]Instrumen!AR29</f>
        <v>0</v>
      </c>
      <c r="AX20" s="27">
        <f>[1]Instrumen!AS29</f>
        <v>0</v>
      </c>
      <c r="AY20" s="27">
        <f>[1]Instrumen!AT29</f>
        <v>0</v>
      </c>
      <c r="AZ20" s="27">
        <f>[1]Instrumen!AU29</f>
        <v>0</v>
      </c>
      <c r="BA20" s="27">
        <f>[1]Instrumen!AV29</f>
        <v>0</v>
      </c>
      <c r="BB20" s="27">
        <f>[1]Instrumen!AW29</f>
        <v>0</v>
      </c>
      <c r="BC20" s="27">
        <f>[1]Instrumen!AX29</f>
        <v>0</v>
      </c>
      <c r="BD20" s="27">
        <f>[1]Instrumen!AY29</f>
        <v>0</v>
      </c>
      <c r="BE20" s="27">
        <f>[1]Instrumen!AZ29</f>
        <v>0</v>
      </c>
      <c r="BF20" s="27">
        <f>[1]Instrumen!BA29</f>
        <v>0</v>
      </c>
      <c r="BG20" s="27">
        <f>[1]Instrumen!BB29</f>
        <v>0</v>
      </c>
      <c r="BH20" s="27">
        <f>[1]Instrumen!BC29</f>
        <v>0</v>
      </c>
      <c r="BI20" s="27">
        <f>[1]Instrumen!BD29</f>
        <v>0</v>
      </c>
      <c r="BJ20" s="27">
        <f>[1]Instrumen!BE29</f>
        <v>0</v>
      </c>
      <c r="BK20" s="27">
        <f>[1]Instrumen!BF29</f>
        <v>0</v>
      </c>
      <c r="BL20" s="27">
        <f>[1]Instrumen!BG29</f>
        <v>0</v>
      </c>
      <c r="BM20" s="27">
        <f>[1]Instrumen!BH29</f>
        <v>0</v>
      </c>
      <c r="BN20" s="27">
        <f>[1]Instrumen!BI29</f>
        <v>0</v>
      </c>
      <c r="BO20" s="27">
        <f>[1]Instrumen!BJ29</f>
        <v>0</v>
      </c>
      <c r="BP20" s="27">
        <f>[1]Instrumen!BK29</f>
        <v>0</v>
      </c>
      <c r="BQ20" s="27">
        <f>[1]Instrumen!BL29</f>
        <v>0</v>
      </c>
    </row>
    <row r="21" spans="1:69" ht="18" customHeight="1" x14ac:dyDescent="0.25">
      <c r="A21" s="33">
        <v>9</v>
      </c>
      <c r="B21" s="184">
        <f>Ins_PG!$M$37</f>
        <v>100</v>
      </c>
      <c r="C21" s="185"/>
      <c r="D21" s="34" t="s">
        <v>161</v>
      </c>
      <c r="E21" s="35" t="str">
        <f>Ins_PG!$M$35</f>
        <v>C3</v>
      </c>
      <c r="F21" s="35" t="str">
        <f t="shared" si="3"/>
        <v>Level 2</v>
      </c>
      <c r="G21" s="35" t="str">
        <f>Ins_PG!$M$39</f>
        <v>Digunakan</v>
      </c>
      <c r="H21" s="36" t="str">
        <f>IF(G21="Ditolak","Soal No. 9 wajib diganti",IF(G21="Digunakan","Soal No. 9 wajib diujikan",IF(G21="Diperbaiki",J21,"")))</f>
        <v>Soal No. 9 wajib diujikan</v>
      </c>
      <c r="J21" s="38" t="str">
        <f>IF(Telaah_PG!$KA$6="","",Telaah_PG!$KA$6)</f>
        <v>Soal No. 9 perlu perbaikan pada aspek hal-hal penting,    HOTS</v>
      </c>
      <c r="K21" s="27" t="str">
        <f t="shared" si="0"/>
        <v/>
      </c>
      <c r="L21" s="37" t="str">
        <f t="shared" si="1"/>
        <v/>
      </c>
      <c r="M21" s="27" t="str">
        <f t="shared" si="2"/>
        <v/>
      </c>
      <c r="N21" s="27" t="e">
        <f>IF(B21="Ditolak","Soal Ditolak",IF(AND(#REF!="",K21="",L21="",M21="",HLOOKUP(A21,DataRek1,50,0)=100),"Soal Dapat Digunakan",IF(AND(K21&lt;&gt;"",L21&lt;&gt;"",M21&lt;&gt;""),K21&amp;", "&amp;L21&amp;", "&amp;M21&amp;" Harus Diperbaiki",IF(OR(K21&lt;&gt;"",L21&lt;&gt;"",M21&lt;&gt;""),K21&amp;", "&amp;L21&amp;", "&amp;M21&amp;" Harus Diperbaiki",""))))</f>
        <v>#REF!</v>
      </c>
      <c r="S21" s="27">
        <v>10</v>
      </c>
      <c r="T21" s="27">
        <f>[1]Instrumen!O32</f>
        <v>0</v>
      </c>
      <c r="U21" s="27">
        <f>[1]Instrumen!P32</f>
        <v>0</v>
      </c>
      <c r="V21" s="27">
        <f>[1]Instrumen!Q32</f>
        <v>0</v>
      </c>
      <c r="W21" s="27">
        <f>[1]Instrumen!R32</f>
        <v>0</v>
      </c>
      <c r="X21" s="27">
        <f>[1]Instrumen!S32</f>
        <v>0</v>
      </c>
      <c r="Y21" s="27">
        <f>[1]Instrumen!T32</f>
        <v>0</v>
      </c>
      <c r="Z21" s="27">
        <f>[1]Instrumen!U32</f>
        <v>0</v>
      </c>
      <c r="AA21" s="27">
        <f>[1]Instrumen!V32</f>
        <v>0</v>
      </c>
      <c r="AB21" s="27">
        <f>[1]Instrumen!W32</f>
        <v>0</v>
      </c>
      <c r="AC21" s="27">
        <f>[1]Instrumen!X32</f>
        <v>0</v>
      </c>
      <c r="AD21" s="27">
        <f>[1]Instrumen!Y32</f>
        <v>0</v>
      </c>
      <c r="AE21" s="27">
        <f>[1]Instrumen!Z32</f>
        <v>0</v>
      </c>
      <c r="AF21" s="27">
        <f>[1]Instrumen!AA32</f>
        <v>0</v>
      </c>
      <c r="AG21" s="27">
        <f>[1]Instrumen!AB32</f>
        <v>0</v>
      </c>
      <c r="AH21" s="27">
        <f>[1]Instrumen!AC32</f>
        <v>0</v>
      </c>
      <c r="AI21" s="27">
        <f>[1]Instrumen!AD32</f>
        <v>0</v>
      </c>
      <c r="AJ21" s="27">
        <f>[1]Instrumen!AE32</f>
        <v>0</v>
      </c>
      <c r="AK21" s="27">
        <f>[1]Instrumen!AF32</f>
        <v>0</v>
      </c>
      <c r="AL21" s="27">
        <f>[1]Instrumen!AG32</f>
        <v>0</v>
      </c>
      <c r="AM21" s="27">
        <f>[1]Instrumen!AH32</f>
        <v>0</v>
      </c>
      <c r="AN21" s="27">
        <f>[1]Instrumen!AI32</f>
        <v>0</v>
      </c>
      <c r="AO21" s="27">
        <f>[1]Instrumen!AJ32</f>
        <v>0</v>
      </c>
      <c r="AP21" s="27">
        <f>[1]Instrumen!AK32</f>
        <v>0</v>
      </c>
      <c r="AQ21" s="27">
        <f>[1]Instrumen!AL32</f>
        <v>0</v>
      </c>
      <c r="AR21" s="27">
        <f>[1]Instrumen!AM32</f>
        <v>0</v>
      </c>
      <c r="AS21" s="27">
        <f>[1]Instrumen!AN32</f>
        <v>0</v>
      </c>
      <c r="AT21" s="27">
        <f>[1]Instrumen!AO32</f>
        <v>0</v>
      </c>
      <c r="AU21" s="27">
        <f>[1]Instrumen!AP32</f>
        <v>0</v>
      </c>
      <c r="AV21" s="27">
        <f>[1]Instrumen!AQ32</f>
        <v>0</v>
      </c>
      <c r="AW21" s="27">
        <f>[1]Instrumen!AR32</f>
        <v>0</v>
      </c>
      <c r="AX21" s="27">
        <f>[1]Instrumen!AS32</f>
        <v>0</v>
      </c>
      <c r="AY21" s="27">
        <f>[1]Instrumen!AT32</f>
        <v>0</v>
      </c>
      <c r="AZ21" s="27">
        <f>[1]Instrumen!AU32</f>
        <v>0</v>
      </c>
      <c r="BA21" s="27">
        <f>[1]Instrumen!AV32</f>
        <v>0</v>
      </c>
      <c r="BB21" s="27">
        <f>[1]Instrumen!AW32</f>
        <v>0</v>
      </c>
      <c r="BC21" s="27">
        <f>[1]Instrumen!AX32</f>
        <v>0</v>
      </c>
      <c r="BD21" s="27">
        <f>[1]Instrumen!AY32</f>
        <v>0</v>
      </c>
      <c r="BE21" s="27">
        <f>[1]Instrumen!AZ32</f>
        <v>0</v>
      </c>
      <c r="BF21" s="27">
        <f>[1]Instrumen!BA32</f>
        <v>0</v>
      </c>
      <c r="BG21" s="27">
        <f>[1]Instrumen!BB32</f>
        <v>0</v>
      </c>
      <c r="BH21" s="27">
        <f>[1]Instrumen!BC32</f>
        <v>0</v>
      </c>
      <c r="BI21" s="27">
        <f>[1]Instrumen!BD32</f>
        <v>0</v>
      </c>
      <c r="BJ21" s="27">
        <f>[1]Instrumen!BE32</f>
        <v>0</v>
      </c>
      <c r="BK21" s="27">
        <f>[1]Instrumen!BF32</f>
        <v>0</v>
      </c>
      <c r="BL21" s="27">
        <f>[1]Instrumen!BG32</f>
        <v>0</v>
      </c>
      <c r="BM21" s="27">
        <f>[1]Instrumen!BH32</f>
        <v>0</v>
      </c>
      <c r="BN21" s="27">
        <f>[1]Instrumen!BI32</f>
        <v>0</v>
      </c>
      <c r="BO21" s="27">
        <f>[1]Instrumen!BJ32</f>
        <v>0</v>
      </c>
      <c r="BP21" s="27">
        <f>[1]Instrumen!BK32</f>
        <v>0</v>
      </c>
      <c r="BQ21" s="27">
        <f>[1]Instrumen!BL32</f>
        <v>0</v>
      </c>
    </row>
    <row r="22" spans="1:69" ht="18" customHeight="1" x14ac:dyDescent="0.25">
      <c r="A22" s="33">
        <v>10</v>
      </c>
      <c r="B22" s="184">
        <f>Ins_PG!$N$37</f>
        <v>100</v>
      </c>
      <c r="C22" s="185"/>
      <c r="D22" s="34" t="s">
        <v>161</v>
      </c>
      <c r="E22" s="35" t="str">
        <f>Ins_PG!$N$35</f>
        <v>C3</v>
      </c>
      <c r="F22" s="35" t="str">
        <f t="shared" si="3"/>
        <v>Level 2</v>
      </c>
      <c r="G22" s="35" t="str">
        <f>Ins_PG!$N$39</f>
        <v>Digunakan</v>
      </c>
      <c r="H22" s="36" t="str">
        <f>IF(G22="Ditolak","Soal No. 10 wajib diganti",IF(G22="Digunakan","Soal No. 10 wajib diujikan",IF(G22="Diperbaiki",J22,"")))</f>
        <v>Soal No. 10 wajib diujikan</v>
      </c>
      <c r="J22" s="38" t="str">
        <f>IF(Telaah_PG!$KB$6="","",Telaah_PG!$KB$6)</f>
        <v>Soal No. 10 perlu perbaikan pada aspek hal-hal penting,    HOTS</v>
      </c>
      <c r="K22" s="27" t="str">
        <f t="shared" si="0"/>
        <v/>
      </c>
      <c r="L22" s="37" t="str">
        <f t="shared" si="1"/>
        <v/>
      </c>
      <c r="M22" s="27" t="str">
        <f t="shared" si="2"/>
        <v/>
      </c>
      <c r="N22" s="27" t="e">
        <f>IF(B22="Ditolak","Soal Ditolak",IF(AND(#REF!="",K22="",L22="",M22="",HLOOKUP(A22,DataRek1,50,0)=100),"Soal Dapat Digunakan",IF(AND(K22&lt;&gt;"",L22&lt;&gt;"",M22&lt;&gt;""),K22&amp;", "&amp;L22&amp;", "&amp;M22&amp;" Harus Diperbaiki",IF(OR(K22&lt;&gt;"",L22&lt;&gt;"",M22&lt;&gt;""),K22&amp;", "&amp;L22&amp;", "&amp;M22&amp;" Harus Diperbaiki",""))))</f>
        <v>#REF!</v>
      </c>
      <c r="S22" s="27">
        <v>11</v>
      </c>
      <c r="T22" s="27">
        <f>[1]Instrumen!O34</f>
        <v>0</v>
      </c>
      <c r="U22" s="27">
        <f>[1]Instrumen!P34</f>
        <v>0</v>
      </c>
      <c r="V22" s="27">
        <f>[1]Instrumen!Q34</f>
        <v>0</v>
      </c>
      <c r="W22" s="27">
        <f>[1]Instrumen!R34</f>
        <v>0</v>
      </c>
      <c r="X22" s="27">
        <f>[1]Instrumen!S34</f>
        <v>0</v>
      </c>
      <c r="Y22" s="27">
        <f>[1]Instrumen!T34</f>
        <v>0</v>
      </c>
      <c r="Z22" s="27">
        <f>[1]Instrumen!U34</f>
        <v>0</v>
      </c>
      <c r="AA22" s="27">
        <f>[1]Instrumen!V34</f>
        <v>0</v>
      </c>
      <c r="AB22" s="27">
        <f>[1]Instrumen!W34</f>
        <v>0</v>
      </c>
      <c r="AC22" s="27">
        <f>[1]Instrumen!X34</f>
        <v>0</v>
      </c>
      <c r="AD22" s="27">
        <f>[1]Instrumen!Y34</f>
        <v>0</v>
      </c>
      <c r="AE22" s="27">
        <f>[1]Instrumen!Z34</f>
        <v>0</v>
      </c>
      <c r="AF22" s="27">
        <f>[1]Instrumen!AA34</f>
        <v>0</v>
      </c>
      <c r="AG22" s="27">
        <f>[1]Instrumen!AB34</f>
        <v>0</v>
      </c>
      <c r="AH22" s="27">
        <f>[1]Instrumen!AC34</f>
        <v>0</v>
      </c>
      <c r="AI22" s="27">
        <f>[1]Instrumen!AD34</f>
        <v>0</v>
      </c>
      <c r="AJ22" s="27">
        <f>[1]Instrumen!AE34</f>
        <v>0</v>
      </c>
      <c r="AK22" s="27">
        <f>[1]Instrumen!AF34</f>
        <v>0</v>
      </c>
      <c r="AL22" s="27">
        <f>[1]Instrumen!AG34</f>
        <v>0</v>
      </c>
      <c r="AM22" s="27">
        <f>[1]Instrumen!AH34</f>
        <v>0</v>
      </c>
      <c r="AN22" s="27">
        <f>[1]Instrumen!AI34</f>
        <v>0</v>
      </c>
      <c r="AO22" s="27">
        <f>[1]Instrumen!AJ34</f>
        <v>0</v>
      </c>
      <c r="AP22" s="27">
        <f>[1]Instrumen!AK34</f>
        <v>0</v>
      </c>
      <c r="AQ22" s="27">
        <f>[1]Instrumen!AL34</f>
        <v>0</v>
      </c>
      <c r="AR22" s="27">
        <f>[1]Instrumen!AM34</f>
        <v>0</v>
      </c>
      <c r="AS22" s="27">
        <f>[1]Instrumen!AN34</f>
        <v>0</v>
      </c>
      <c r="AT22" s="27">
        <f>[1]Instrumen!AO34</f>
        <v>0</v>
      </c>
      <c r="AU22" s="27">
        <f>[1]Instrumen!AP34</f>
        <v>0</v>
      </c>
      <c r="AV22" s="27">
        <f>[1]Instrumen!AQ34</f>
        <v>0</v>
      </c>
      <c r="AW22" s="27">
        <f>[1]Instrumen!AR34</f>
        <v>0</v>
      </c>
      <c r="AX22" s="27">
        <f>[1]Instrumen!AS34</f>
        <v>0</v>
      </c>
      <c r="AY22" s="27">
        <f>[1]Instrumen!AT34</f>
        <v>0</v>
      </c>
      <c r="AZ22" s="27">
        <f>[1]Instrumen!AU34</f>
        <v>0</v>
      </c>
      <c r="BA22" s="27">
        <f>[1]Instrumen!AV34</f>
        <v>0</v>
      </c>
      <c r="BB22" s="27">
        <f>[1]Instrumen!AW34</f>
        <v>0</v>
      </c>
      <c r="BC22" s="27">
        <f>[1]Instrumen!AX34</f>
        <v>0</v>
      </c>
      <c r="BD22" s="27">
        <f>[1]Instrumen!AY34</f>
        <v>0</v>
      </c>
      <c r="BE22" s="27">
        <f>[1]Instrumen!AZ34</f>
        <v>0</v>
      </c>
      <c r="BF22" s="27">
        <f>[1]Instrumen!BA34</f>
        <v>0</v>
      </c>
      <c r="BG22" s="27">
        <f>[1]Instrumen!BB34</f>
        <v>0</v>
      </c>
      <c r="BH22" s="27">
        <f>[1]Instrumen!BC34</f>
        <v>0</v>
      </c>
      <c r="BI22" s="27">
        <f>[1]Instrumen!BD34</f>
        <v>0</v>
      </c>
      <c r="BJ22" s="27">
        <f>[1]Instrumen!BE34</f>
        <v>0</v>
      </c>
      <c r="BK22" s="27">
        <f>[1]Instrumen!BF34</f>
        <v>0</v>
      </c>
      <c r="BL22" s="27">
        <f>[1]Instrumen!BG34</f>
        <v>0</v>
      </c>
      <c r="BM22" s="27">
        <f>[1]Instrumen!BH34</f>
        <v>0</v>
      </c>
      <c r="BN22" s="27">
        <f>[1]Instrumen!BI34</f>
        <v>0</v>
      </c>
      <c r="BO22" s="27">
        <f>[1]Instrumen!BJ34</f>
        <v>0</v>
      </c>
      <c r="BP22" s="27">
        <f>[1]Instrumen!BK34</f>
        <v>0</v>
      </c>
      <c r="BQ22" s="27">
        <f>[1]Instrumen!BL34</f>
        <v>0</v>
      </c>
    </row>
    <row r="23" spans="1:69" ht="18" customHeight="1" x14ac:dyDescent="0.25">
      <c r="A23" s="33">
        <v>11</v>
      </c>
      <c r="B23" s="184">
        <f>Ins_PG!$O$37</f>
        <v>100</v>
      </c>
      <c r="C23" s="185"/>
      <c r="D23" s="34" t="s">
        <v>161</v>
      </c>
      <c r="E23" s="35" t="str">
        <f>Ins_PG!$O$35</f>
        <v>C3</v>
      </c>
      <c r="F23" s="35" t="str">
        <f t="shared" si="3"/>
        <v>Level 2</v>
      </c>
      <c r="G23" s="35" t="str">
        <f>Ins_PG!$O$39</f>
        <v>Digunakan</v>
      </c>
      <c r="H23" s="36" t="str">
        <f>IF(G23="Ditolak","Soal No. 11 wajib diganti",IF(G23="Digunakan","Soal No. 11 wajib diujikan",IF(G23="Diperbaiki",J23,"")))</f>
        <v>Soal No. 11 wajib diujikan</v>
      </c>
      <c r="J23" s="38" t="str">
        <f>IF(Telaah_PG!$KC$6="","",Telaah_PG!$KC$6)</f>
        <v>Soal No. 11 perlu perbaikan pada aspek hal-hal penting,    HOTS</v>
      </c>
      <c r="K23" s="27" t="str">
        <f t="shared" si="0"/>
        <v/>
      </c>
      <c r="L23" s="37" t="str">
        <f t="shared" si="1"/>
        <v/>
      </c>
      <c r="M23" s="27" t="str">
        <f t="shared" si="2"/>
        <v/>
      </c>
      <c r="N23" s="27" t="e">
        <f>IF(B23="Ditolak","Soal Ditolak",IF(AND(#REF!="",K23="",L23="",M23="",HLOOKUP(A23,DataRek1,50,0)=100),"Soal Dapat Digunakan",IF(AND(K23&lt;&gt;"",L23&lt;&gt;"",M23&lt;&gt;""),K23&amp;", "&amp;L23&amp;", "&amp;M23&amp;" Harus Diperbaiki",IF(OR(K23&lt;&gt;"",L23&lt;&gt;"",M23&lt;&gt;""),K23&amp;", "&amp;L23&amp;", "&amp;M23&amp;" Harus Diperbaiki",""))))</f>
        <v>#REF!</v>
      </c>
      <c r="S23" s="27">
        <v>12</v>
      </c>
      <c r="T23" s="27">
        <f>[1]Instrumen!O36</f>
        <v>0</v>
      </c>
      <c r="U23" s="27">
        <f>[1]Instrumen!P36</f>
        <v>0</v>
      </c>
      <c r="V23" s="27">
        <f>[1]Instrumen!Q36</f>
        <v>0</v>
      </c>
      <c r="W23" s="27">
        <f>[1]Instrumen!R36</f>
        <v>0</v>
      </c>
      <c r="X23" s="27">
        <f>[1]Instrumen!S36</f>
        <v>0</v>
      </c>
      <c r="Y23" s="27">
        <f>[1]Instrumen!T36</f>
        <v>0</v>
      </c>
      <c r="Z23" s="27">
        <f>[1]Instrumen!U36</f>
        <v>0</v>
      </c>
      <c r="AA23" s="27">
        <f>[1]Instrumen!V36</f>
        <v>0</v>
      </c>
      <c r="AB23" s="27">
        <f>[1]Instrumen!W36</f>
        <v>0</v>
      </c>
      <c r="AC23" s="27">
        <f>[1]Instrumen!X36</f>
        <v>0</v>
      </c>
      <c r="AD23" s="27">
        <f>[1]Instrumen!Y36</f>
        <v>0</v>
      </c>
      <c r="AE23" s="27">
        <f>[1]Instrumen!Z36</f>
        <v>0</v>
      </c>
      <c r="AF23" s="27">
        <f>[1]Instrumen!AA36</f>
        <v>0</v>
      </c>
      <c r="AG23" s="27">
        <f>[1]Instrumen!AB36</f>
        <v>0</v>
      </c>
      <c r="AH23" s="27">
        <f>[1]Instrumen!AC36</f>
        <v>0</v>
      </c>
      <c r="AI23" s="27">
        <f>[1]Instrumen!AD36</f>
        <v>0</v>
      </c>
      <c r="AJ23" s="27">
        <f>[1]Instrumen!AE36</f>
        <v>0</v>
      </c>
      <c r="AK23" s="27">
        <f>[1]Instrumen!AF36</f>
        <v>0</v>
      </c>
      <c r="AL23" s="27">
        <f>[1]Instrumen!AG36</f>
        <v>0</v>
      </c>
      <c r="AM23" s="27">
        <f>[1]Instrumen!AH36</f>
        <v>0</v>
      </c>
      <c r="AN23" s="27">
        <f>[1]Instrumen!AI36</f>
        <v>0</v>
      </c>
      <c r="AO23" s="27">
        <f>[1]Instrumen!AJ36</f>
        <v>0</v>
      </c>
      <c r="AP23" s="27">
        <f>[1]Instrumen!AK36</f>
        <v>0</v>
      </c>
      <c r="AQ23" s="27">
        <f>[1]Instrumen!AL36</f>
        <v>0</v>
      </c>
      <c r="AR23" s="27">
        <f>[1]Instrumen!AM36</f>
        <v>0</v>
      </c>
      <c r="AS23" s="27">
        <f>[1]Instrumen!AN36</f>
        <v>0</v>
      </c>
      <c r="AT23" s="27">
        <f>[1]Instrumen!AO36</f>
        <v>0</v>
      </c>
      <c r="AU23" s="27">
        <f>[1]Instrumen!AP36</f>
        <v>0</v>
      </c>
      <c r="AV23" s="27">
        <f>[1]Instrumen!AQ36</f>
        <v>0</v>
      </c>
      <c r="AW23" s="27">
        <f>[1]Instrumen!AR36</f>
        <v>0</v>
      </c>
      <c r="AX23" s="27">
        <f>[1]Instrumen!AS36</f>
        <v>0</v>
      </c>
      <c r="AY23" s="27">
        <f>[1]Instrumen!AT36</f>
        <v>0</v>
      </c>
      <c r="AZ23" s="27">
        <f>[1]Instrumen!AU36</f>
        <v>0</v>
      </c>
      <c r="BA23" s="27">
        <f>[1]Instrumen!AV36</f>
        <v>0</v>
      </c>
      <c r="BB23" s="27">
        <f>[1]Instrumen!AW36</f>
        <v>0</v>
      </c>
      <c r="BC23" s="27">
        <f>[1]Instrumen!AX36</f>
        <v>0</v>
      </c>
      <c r="BD23" s="27">
        <f>[1]Instrumen!AY36</f>
        <v>0</v>
      </c>
      <c r="BE23" s="27">
        <f>[1]Instrumen!AZ36</f>
        <v>0</v>
      </c>
      <c r="BF23" s="27">
        <f>[1]Instrumen!BA36</f>
        <v>0</v>
      </c>
      <c r="BG23" s="27">
        <f>[1]Instrumen!BB36</f>
        <v>0</v>
      </c>
      <c r="BH23" s="27">
        <f>[1]Instrumen!BC36</f>
        <v>0</v>
      </c>
      <c r="BI23" s="27">
        <f>[1]Instrumen!BD36</f>
        <v>0</v>
      </c>
      <c r="BJ23" s="27">
        <f>[1]Instrumen!BE36</f>
        <v>0</v>
      </c>
      <c r="BK23" s="27">
        <f>[1]Instrumen!BF36</f>
        <v>0</v>
      </c>
      <c r="BL23" s="27">
        <f>[1]Instrumen!BG36</f>
        <v>0</v>
      </c>
      <c r="BM23" s="27">
        <f>[1]Instrumen!BH36</f>
        <v>0</v>
      </c>
      <c r="BN23" s="27">
        <f>[1]Instrumen!BI36</f>
        <v>0</v>
      </c>
      <c r="BO23" s="27">
        <f>[1]Instrumen!BJ36</f>
        <v>0</v>
      </c>
      <c r="BP23" s="27">
        <f>[1]Instrumen!BK36</f>
        <v>0</v>
      </c>
      <c r="BQ23" s="27">
        <f>[1]Instrumen!BL36</f>
        <v>0</v>
      </c>
    </row>
    <row r="24" spans="1:69" ht="18" customHeight="1" x14ac:dyDescent="0.25">
      <c r="A24" s="33">
        <v>12</v>
      </c>
      <c r="B24" s="184">
        <f>Ins_PG!$P$37</f>
        <v>100</v>
      </c>
      <c r="C24" s="185"/>
      <c r="D24" s="34" t="s">
        <v>161</v>
      </c>
      <c r="E24" s="35" t="str">
        <f>Ins_PG!$P$35</f>
        <v>C3</v>
      </c>
      <c r="F24" s="35" t="str">
        <f t="shared" si="3"/>
        <v>Level 2</v>
      </c>
      <c r="G24" s="35" t="str">
        <f>Ins_PG!$P$39</f>
        <v>Digunakan</v>
      </c>
      <c r="H24" s="36" t="str">
        <f>IF(G24="Ditolak","Soal No. 12 wajib diganti",IF(G24="Digunakan","Soal No. 12 wajib diujikan",IF(G24="Diperbaiki",J24,"")))</f>
        <v>Soal No. 12 wajib diujikan</v>
      </c>
      <c r="J24" s="38" t="str">
        <f>IF(Telaah_PG!$KD$6="","",Telaah_PG!$KD$6)</f>
        <v>Soal No. 12 perlu perbaikan pada aspek hal-hal penting,    HOTS</v>
      </c>
      <c r="K24" s="27" t="str">
        <f t="shared" si="0"/>
        <v/>
      </c>
      <c r="L24" s="37" t="str">
        <f t="shared" si="1"/>
        <v/>
      </c>
      <c r="M24" s="27" t="str">
        <f t="shared" si="2"/>
        <v/>
      </c>
      <c r="N24" s="27" t="e">
        <f>IF(B24="Ditolak","Soal Ditolak",IF(AND(#REF!="",K24="",L24="",M24="",HLOOKUP(A24,DataRek1,50,0)=100),"Soal Dapat Digunakan",IF(AND(K24&lt;&gt;"",L24&lt;&gt;"",M24&lt;&gt;""),K24&amp;", "&amp;L24&amp;", "&amp;M24&amp;" Harus Diperbaiki",IF(OR(K24&lt;&gt;"",L24&lt;&gt;"",M24&lt;&gt;""),K24&amp;", "&amp;L24&amp;", "&amp;M24&amp;" Harus Diperbaiki",""))))</f>
        <v>#REF!</v>
      </c>
      <c r="S24" s="27">
        <v>13</v>
      </c>
      <c r="T24" s="27">
        <f>[1]Instrumen!O39</f>
        <v>0</v>
      </c>
      <c r="U24" s="27">
        <f>[1]Instrumen!P39</f>
        <v>0</v>
      </c>
      <c r="V24" s="27">
        <f>[1]Instrumen!Q39</f>
        <v>0</v>
      </c>
      <c r="W24" s="27">
        <f>[1]Instrumen!R39</f>
        <v>0</v>
      </c>
      <c r="X24" s="27">
        <f>[1]Instrumen!S39</f>
        <v>0</v>
      </c>
      <c r="Y24" s="27">
        <f>[1]Instrumen!T39</f>
        <v>0</v>
      </c>
      <c r="Z24" s="27">
        <f>[1]Instrumen!U39</f>
        <v>0</v>
      </c>
      <c r="AA24" s="27">
        <f>[1]Instrumen!V39</f>
        <v>0</v>
      </c>
      <c r="AB24" s="27">
        <f>[1]Instrumen!W39</f>
        <v>0</v>
      </c>
      <c r="AC24" s="27">
        <f>[1]Instrumen!X39</f>
        <v>0</v>
      </c>
      <c r="AD24" s="27">
        <f>[1]Instrumen!Y39</f>
        <v>0</v>
      </c>
      <c r="AE24" s="27">
        <f>[1]Instrumen!Z39</f>
        <v>0</v>
      </c>
      <c r="AF24" s="27">
        <f>[1]Instrumen!AA39</f>
        <v>0</v>
      </c>
      <c r="AG24" s="27">
        <f>[1]Instrumen!AB39</f>
        <v>0</v>
      </c>
      <c r="AH24" s="27">
        <f>[1]Instrumen!AC39</f>
        <v>0</v>
      </c>
      <c r="AI24" s="27">
        <f>[1]Instrumen!AD39</f>
        <v>0</v>
      </c>
      <c r="AJ24" s="27">
        <f>[1]Instrumen!AE39</f>
        <v>0</v>
      </c>
      <c r="AK24" s="27">
        <f>[1]Instrumen!AF39</f>
        <v>0</v>
      </c>
      <c r="AL24" s="27">
        <f>[1]Instrumen!AG39</f>
        <v>0</v>
      </c>
      <c r="AM24" s="27">
        <f>[1]Instrumen!AH39</f>
        <v>0</v>
      </c>
      <c r="AN24" s="27">
        <f>[1]Instrumen!AI39</f>
        <v>0</v>
      </c>
      <c r="AO24" s="27">
        <f>[1]Instrumen!AJ39</f>
        <v>0</v>
      </c>
      <c r="AP24" s="27">
        <f>[1]Instrumen!AK39</f>
        <v>0</v>
      </c>
      <c r="AQ24" s="27">
        <f>[1]Instrumen!AL39</f>
        <v>0</v>
      </c>
      <c r="AR24" s="27">
        <f>[1]Instrumen!AM39</f>
        <v>0</v>
      </c>
      <c r="AS24" s="27">
        <f>[1]Instrumen!AN39</f>
        <v>0</v>
      </c>
      <c r="AT24" s="27">
        <f>[1]Instrumen!AO39</f>
        <v>0</v>
      </c>
      <c r="AU24" s="27">
        <f>[1]Instrumen!AP39</f>
        <v>0</v>
      </c>
      <c r="AV24" s="27">
        <f>[1]Instrumen!AQ39</f>
        <v>0</v>
      </c>
      <c r="AW24" s="27">
        <f>[1]Instrumen!AR39</f>
        <v>0</v>
      </c>
      <c r="AX24" s="27">
        <f>[1]Instrumen!AS39</f>
        <v>0</v>
      </c>
      <c r="AY24" s="27">
        <f>[1]Instrumen!AT39</f>
        <v>0</v>
      </c>
      <c r="AZ24" s="27">
        <f>[1]Instrumen!AU39</f>
        <v>0</v>
      </c>
      <c r="BA24" s="27">
        <f>[1]Instrumen!AV39</f>
        <v>0</v>
      </c>
      <c r="BB24" s="27">
        <f>[1]Instrumen!AW39</f>
        <v>0</v>
      </c>
      <c r="BC24" s="27">
        <f>[1]Instrumen!AX39</f>
        <v>0</v>
      </c>
      <c r="BD24" s="27">
        <f>[1]Instrumen!AY39</f>
        <v>0</v>
      </c>
      <c r="BE24" s="27">
        <f>[1]Instrumen!AZ39</f>
        <v>0</v>
      </c>
      <c r="BF24" s="27">
        <f>[1]Instrumen!BA39</f>
        <v>0</v>
      </c>
      <c r="BG24" s="27">
        <f>[1]Instrumen!BB39</f>
        <v>0</v>
      </c>
      <c r="BH24" s="27">
        <f>[1]Instrumen!BC39</f>
        <v>0</v>
      </c>
      <c r="BI24" s="27">
        <f>[1]Instrumen!BD39</f>
        <v>0</v>
      </c>
      <c r="BJ24" s="27">
        <f>[1]Instrumen!BE39</f>
        <v>0</v>
      </c>
      <c r="BK24" s="27">
        <f>[1]Instrumen!BF39</f>
        <v>0</v>
      </c>
      <c r="BL24" s="27">
        <f>[1]Instrumen!BG39</f>
        <v>0</v>
      </c>
      <c r="BM24" s="27">
        <f>[1]Instrumen!BH39</f>
        <v>0</v>
      </c>
      <c r="BN24" s="27">
        <f>[1]Instrumen!BI39</f>
        <v>0</v>
      </c>
      <c r="BO24" s="27">
        <f>[1]Instrumen!BJ39</f>
        <v>0</v>
      </c>
      <c r="BP24" s="27">
        <f>[1]Instrumen!BK39</f>
        <v>0</v>
      </c>
      <c r="BQ24" s="27">
        <f>[1]Instrumen!BL39</f>
        <v>0</v>
      </c>
    </row>
    <row r="25" spans="1:69" ht="18" customHeight="1" x14ac:dyDescent="0.25">
      <c r="A25" s="33">
        <v>13</v>
      </c>
      <c r="B25" s="184">
        <f>Ins_PG!$Q$37</f>
        <v>100</v>
      </c>
      <c r="C25" s="185"/>
      <c r="D25" s="34" t="s">
        <v>161</v>
      </c>
      <c r="E25" s="35" t="str">
        <f>Ins_PG!$Q$35</f>
        <v>C3</v>
      </c>
      <c r="F25" s="35" t="str">
        <f t="shared" si="3"/>
        <v>Level 2</v>
      </c>
      <c r="G25" s="35" t="str">
        <f>Ins_PG!$Q$39</f>
        <v>Digunakan</v>
      </c>
      <c r="H25" s="36" t="str">
        <f>IF(G25="Ditolak","Soal No. 13 wajib diganti",IF(G25="Digunakan","Soal No. 13 wajib diujikan",IF(G25="Diperbaiki",J25,"")))</f>
        <v>Soal No. 13 wajib diujikan</v>
      </c>
      <c r="J25" s="38" t="str">
        <f>IF(Telaah_PG!$KE$6="","",Telaah_PG!$KE$6)</f>
        <v>Soal No. 13 perlu perbaikan pada aspek hal-hal penting,    HOTS</v>
      </c>
      <c r="K25" s="27" t="str">
        <f t="shared" si="0"/>
        <v/>
      </c>
      <c r="L25" s="37" t="str">
        <f t="shared" si="1"/>
        <v/>
      </c>
      <c r="M25" s="27" t="str">
        <f t="shared" si="2"/>
        <v/>
      </c>
      <c r="N25" s="27" t="e">
        <f>IF(B25="Ditolak","Soal Ditolak",IF(AND(#REF!="",K25="",L25="",M25="",HLOOKUP(A25,DataRek1,50,0)=100),"Soal Dapat Digunakan",IF(AND(K25&lt;&gt;"",L25&lt;&gt;"",M25&lt;&gt;""),K25&amp;", "&amp;L25&amp;", "&amp;M25&amp;" Harus Diperbaiki",IF(OR(K25&lt;&gt;"",L25&lt;&gt;"",M25&lt;&gt;""),K25&amp;", "&amp;L25&amp;", "&amp;M25&amp;" Harus Diperbaiki",""))))</f>
        <v>#REF!</v>
      </c>
      <c r="S25" s="27">
        <v>14</v>
      </c>
      <c r="T25" s="27">
        <f>[1]Instrumen!O42</f>
        <v>0</v>
      </c>
      <c r="U25" s="27">
        <f>[1]Instrumen!P42</f>
        <v>0</v>
      </c>
      <c r="V25" s="27">
        <f>[1]Instrumen!Q42</f>
        <v>0</v>
      </c>
      <c r="W25" s="27">
        <f>[1]Instrumen!R42</f>
        <v>0</v>
      </c>
      <c r="X25" s="27">
        <f>[1]Instrumen!S42</f>
        <v>0</v>
      </c>
      <c r="Y25" s="27">
        <f>[1]Instrumen!T42</f>
        <v>0</v>
      </c>
      <c r="Z25" s="27">
        <f>[1]Instrumen!U42</f>
        <v>0</v>
      </c>
      <c r="AA25" s="27">
        <f>[1]Instrumen!V42</f>
        <v>0</v>
      </c>
      <c r="AB25" s="27">
        <f>[1]Instrumen!W42</f>
        <v>0</v>
      </c>
      <c r="AC25" s="27">
        <f>[1]Instrumen!X42</f>
        <v>0</v>
      </c>
      <c r="AD25" s="27">
        <f>[1]Instrumen!Y42</f>
        <v>0</v>
      </c>
      <c r="AE25" s="27">
        <f>[1]Instrumen!Z42</f>
        <v>0</v>
      </c>
      <c r="AF25" s="27">
        <f>[1]Instrumen!AA42</f>
        <v>0</v>
      </c>
      <c r="AG25" s="27">
        <f>[1]Instrumen!AB42</f>
        <v>0</v>
      </c>
      <c r="AH25" s="27">
        <f>[1]Instrumen!AC42</f>
        <v>0</v>
      </c>
      <c r="AI25" s="27">
        <f>[1]Instrumen!AD42</f>
        <v>0</v>
      </c>
      <c r="AJ25" s="27">
        <f>[1]Instrumen!AE42</f>
        <v>0</v>
      </c>
      <c r="AK25" s="27">
        <f>[1]Instrumen!AF42</f>
        <v>0</v>
      </c>
      <c r="AL25" s="27">
        <f>[1]Instrumen!AG42</f>
        <v>0</v>
      </c>
      <c r="AM25" s="27">
        <f>[1]Instrumen!AH42</f>
        <v>0</v>
      </c>
      <c r="AN25" s="27">
        <f>[1]Instrumen!AI42</f>
        <v>0</v>
      </c>
      <c r="AO25" s="27">
        <f>[1]Instrumen!AJ42</f>
        <v>0</v>
      </c>
      <c r="AP25" s="27">
        <f>[1]Instrumen!AK42</f>
        <v>0</v>
      </c>
      <c r="AQ25" s="27">
        <f>[1]Instrumen!AL42</f>
        <v>0</v>
      </c>
      <c r="AR25" s="27">
        <f>[1]Instrumen!AM42</f>
        <v>0</v>
      </c>
      <c r="AS25" s="27">
        <f>[1]Instrumen!AN42</f>
        <v>0</v>
      </c>
      <c r="AT25" s="27">
        <f>[1]Instrumen!AO42</f>
        <v>0</v>
      </c>
      <c r="AU25" s="27">
        <f>[1]Instrumen!AP42</f>
        <v>0</v>
      </c>
      <c r="AV25" s="27">
        <f>[1]Instrumen!AQ42</f>
        <v>0</v>
      </c>
      <c r="AW25" s="27">
        <f>[1]Instrumen!AR42</f>
        <v>0</v>
      </c>
      <c r="AX25" s="27">
        <f>[1]Instrumen!AS42</f>
        <v>0</v>
      </c>
      <c r="AY25" s="27">
        <f>[1]Instrumen!AT42</f>
        <v>0</v>
      </c>
      <c r="AZ25" s="27">
        <f>[1]Instrumen!AU42</f>
        <v>0</v>
      </c>
      <c r="BA25" s="27">
        <f>[1]Instrumen!AV42</f>
        <v>0</v>
      </c>
      <c r="BB25" s="27">
        <f>[1]Instrumen!AW42</f>
        <v>0</v>
      </c>
      <c r="BC25" s="27">
        <f>[1]Instrumen!AX42</f>
        <v>0</v>
      </c>
      <c r="BD25" s="27">
        <f>[1]Instrumen!AY42</f>
        <v>0</v>
      </c>
      <c r="BE25" s="27">
        <f>[1]Instrumen!AZ42</f>
        <v>0</v>
      </c>
      <c r="BF25" s="27">
        <f>[1]Instrumen!BA42</f>
        <v>0</v>
      </c>
      <c r="BG25" s="27">
        <f>[1]Instrumen!BB42</f>
        <v>0</v>
      </c>
      <c r="BH25" s="27">
        <f>[1]Instrumen!BC42</f>
        <v>0</v>
      </c>
      <c r="BI25" s="27">
        <f>[1]Instrumen!BD42</f>
        <v>0</v>
      </c>
      <c r="BJ25" s="27">
        <f>[1]Instrumen!BE42</f>
        <v>0</v>
      </c>
      <c r="BK25" s="27">
        <f>[1]Instrumen!BF42</f>
        <v>0</v>
      </c>
      <c r="BL25" s="27">
        <f>[1]Instrumen!BG42</f>
        <v>0</v>
      </c>
      <c r="BM25" s="27">
        <f>[1]Instrumen!BH42</f>
        <v>0</v>
      </c>
      <c r="BN25" s="27">
        <f>[1]Instrumen!BI42</f>
        <v>0</v>
      </c>
      <c r="BO25" s="27">
        <f>[1]Instrumen!BJ42</f>
        <v>0</v>
      </c>
      <c r="BP25" s="27">
        <f>[1]Instrumen!BK42</f>
        <v>0</v>
      </c>
      <c r="BQ25" s="27">
        <f>[1]Instrumen!BL42</f>
        <v>0</v>
      </c>
    </row>
    <row r="26" spans="1:69" ht="18" customHeight="1" x14ac:dyDescent="0.25">
      <c r="A26" s="33">
        <v>14</v>
      </c>
      <c r="B26" s="184">
        <f>Ins_PG!$R$37</f>
        <v>100</v>
      </c>
      <c r="C26" s="185"/>
      <c r="D26" s="34" t="s">
        <v>161</v>
      </c>
      <c r="E26" s="35" t="str">
        <f>Ins_PG!$R$35</f>
        <v>C3</v>
      </c>
      <c r="F26" s="35" t="str">
        <f t="shared" si="3"/>
        <v>Level 2</v>
      </c>
      <c r="G26" s="35" t="str">
        <f>Ins_PG!$R$39</f>
        <v>Digunakan</v>
      </c>
      <c r="H26" s="36" t="str">
        <f>IF(G26="Ditolak","Soal No. 14 wajib diganti",IF(G26="Digunakan","Soal No. 14 wajib diujikan",IF(G26="Diperbaiki",J26,"")))</f>
        <v>Soal No. 14 wajib diujikan</v>
      </c>
      <c r="J26" s="38" t="str">
        <f>IF(Telaah_PG!$KF$6="","",Telaah_PG!$KF$6)</f>
        <v>Soal No. 14 perlu perbaikan pada aspek hal-hal penting,    HOTS</v>
      </c>
      <c r="K26" s="27" t="str">
        <f t="shared" si="0"/>
        <v/>
      </c>
      <c r="L26" s="37" t="str">
        <f t="shared" si="1"/>
        <v/>
      </c>
      <c r="M26" s="27" t="str">
        <f t="shared" si="2"/>
        <v/>
      </c>
      <c r="N26" s="27" t="e">
        <f>IF(B26="Ditolak","Soal Ditolak",IF(AND(#REF!="",K26="",L26="",M26="",HLOOKUP(A26,DataRek1,50,0)=100),"Soal Dapat Digunakan",IF(AND(K26&lt;&gt;"",L26&lt;&gt;"",M26&lt;&gt;""),K26&amp;", "&amp;L26&amp;", "&amp;M26&amp;" Harus Diperbaiki",IF(OR(K26&lt;&gt;"",L26&lt;&gt;"",M26&lt;&gt;""),K26&amp;", "&amp;L26&amp;", "&amp;M26&amp;" Harus Diperbaiki",""))))</f>
        <v>#REF!</v>
      </c>
      <c r="S26" s="27">
        <v>15</v>
      </c>
      <c r="T26" s="27">
        <f>[1]Instrumen!O45</f>
        <v>0</v>
      </c>
      <c r="U26" s="27">
        <f>[1]Instrumen!P45</f>
        <v>0</v>
      </c>
      <c r="V26" s="27">
        <f>[1]Instrumen!Q45</f>
        <v>0</v>
      </c>
      <c r="W26" s="27">
        <f>[1]Instrumen!R45</f>
        <v>0</v>
      </c>
      <c r="X26" s="27">
        <f>[1]Instrumen!S45</f>
        <v>0</v>
      </c>
      <c r="Y26" s="27">
        <f>[1]Instrumen!T45</f>
        <v>0</v>
      </c>
      <c r="Z26" s="27">
        <f>[1]Instrumen!U45</f>
        <v>0</v>
      </c>
      <c r="AA26" s="27">
        <f>[1]Instrumen!V45</f>
        <v>0</v>
      </c>
      <c r="AB26" s="27">
        <f>[1]Instrumen!W45</f>
        <v>0</v>
      </c>
      <c r="AC26" s="27">
        <f>[1]Instrumen!X45</f>
        <v>0</v>
      </c>
      <c r="AD26" s="27">
        <f>[1]Instrumen!Y45</f>
        <v>0</v>
      </c>
      <c r="AE26" s="27">
        <f>[1]Instrumen!Z45</f>
        <v>0</v>
      </c>
      <c r="AF26" s="27">
        <f>[1]Instrumen!AA45</f>
        <v>0</v>
      </c>
      <c r="AG26" s="27">
        <f>[1]Instrumen!AB45</f>
        <v>0</v>
      </c>
      <c r="AH26" s="27">
        <f>[1]Instrumen!AC45</f>
        <v>0</v>
      </c>
      <c r="AI26" s="27">
        <f>[1]Instrumen!AD45</f>
        <v>0</v>
      </c>
      <c r="AJ26" s="27">
        <f>[1]Instrumen!AE45</f>
        <v>0</v>
      </c>
      <c r="AK26" s="27">
        <f>[1]Instrumen!AF45</f>
        <v>0</v>
      </c>
      <c r="AL26" s="27">
        <f>[1]Instrumen!AG45</f>
        <v>0</v>
      </c>
      <c r="AM26" s="27">
        <f>[1]Instrumen!AH45</f>
        <v>0</v>
      </c>
      <c r="AN26" s="27">
        <f>[1]Instrumen!AI45</f>
        <v>0</v>
      </c>
      <c r="AO26" s="27">
        <f>[1]Instrumen!AJ45</f>
        <v>0</v>
      </c>
      <c r="AP26" s="27">
        <f>[1]Instrumen!AK45</f>
        <v>0</v>
      </c>
      <c r="AQ26" s="27">
        <f>[1]Instrumen!AL45</f>
        <v>0</v>
      </c>
      <c r="AR26" s="27">
        <f>[1]Instrumen!AM45</f>
        <v>0</v>
      </c>
      <c r="AS26" s="27">
        <f>[1]Instrumen!AN45</f>
        <v>0</v>
      </c>
      <c r="AT26" s="27">
        <f>[1]Instrumen!AO45</f>
        <v>0</v>
      </c>
      <c r="AU26" s="27">
        <f>[1]Instrumen!AP45</f>
        <v>0</v>
      </c>
      <c r="AV26" s="27">
        <f>[1]Instrumen!AQ45</f>
        <v>0</v>
      </c>
      <c r="AW26" s="27">
        <f>[1]Instrumen!AR45</f>
        <v>0</v>
      </c>
      <c r="AX26" s="27">
        <f>[1]Instrumen!AS45</f>
        <v>0</v>
      </c>
      <c r="AY26" s="27">
        <f>[1]Instrumen!AT45</f>
        <v>0</v>
      </c>
      <c r="AZ26" s="27">
        <f>[1]Instrumen!AU45</f>
        <v>0</v>
      </c>
      <c r="BA26" s="27">
        <f>[1]Instrumen!AV45</f>
        <v>0</v>
      </c>
      <c r="BB26" s="27">
        <f>[1]Instrumen!AW45</f>
        <v>0</v>
      </c>
      <c r="BC26" s="27">
        <f>[1]Instrumen!AX45</f>
        <v>0</v>
      </c>
      <c r="BD26" s="27">
        <f>[1]Instrumen!AY45</f>
        <v>0</v>
      </c>
      <c r="BE26" s="27">
        <f>[1]Instrumen!AZ45</f>
        <v>0</v>
      </c>
      <c r="BF26" s="27">
        <f>[1]Instrumen!BA45</f>
        <v>0</v>
      </c>
      <c r="BG26" s="27">
        <f>[1]Instrumen!BB45</f>
        <v>0</v>
      </c>
      <c r="BH26" s="27">
        <f>[1]Instrumen!BC45</f>
        <v>0</v>
      </c>
      <c r="BI26" s="27">
        <f>[1]Instrumen!BD45</f>
        <v>0</v>
      </c>
      <c r="BJ26" s="27">
        <f>[1]Instrumen!BE45</f>
        <v>0</v>
      </c>
      <c r="BK26" s="27">
        <f>[1]Instrumen!BF45</f>
        <v>0</v>
      </c>
      <c r="BL26" s="27">
        <f>[1]Instrumen!BG45</f>
        <v>0</v>
      </c>
      <c r="BM26" s="27">
        <f>[1]Instrumen!BH45</f>
        <v>0</v>
      </c>
      <c r="BN26" s="27">
        <f>[1]Instrumen!BI45</f>
        <v>0</v>
      </c>
      <c r="BO26" s="27">
        <f>[1]Instrumen!BJ45</f>
        <v>0</v>
      </c>
      <c r="BP26" s="27">
        <f>[1]Instrumen!BK45</f>
        <v>0</v>
      </c>
      <c r="BQ26" s="27">
        <f>[1]Instrumen!BL45</f>
        <v>0</v>
      </c>
    </row>
    <row r="27" spans="1:69" ht="18" customHeight="1" x14ac:dyDescent="0.25">
      <c r="A27" s="33">
        <v>15</v>
      </c>
      <c r="B27" s="184">
        <f>Ins_PG!$S$37</f>
        <v>100</v>
      </c>
      <c r="C27" s="185"/>
      <c r="D27" s="34" t="s">
        <v>161</v>
      </c>
      <c r="E27" s="35" t="str">
        <f>Ins_PG!$S$35</f>
        <v>C3</v>
      </c>
      <c r="F27" s="35" t="str">
        <f t="shared" si="3"/>
        <v>Level 2</v>
      </c>
      <c r="G27" s="35" t="str">
        <f>Ins_PG!$S$39</f>
        <v>Digunakan</v>
      </c>
      <c r="H27" s="36" t="str">
        <f>IF(G27="Ditolak","Soal No. 15 wajib diganti",IF(G27="Digunakan","Soal No. 15 wajib diujikan",IF(G27="Diperbaiki",J27,"")))</f>
        <v>Soal No. 15 wajib diujikan</v>
      </c>
      <c r="J27" s="38" t="str">
        <f>IF(Telaah_PG!$KG$6="","",Telaah_PG!$KG$6)</f>
        <v>Soal No. 15 perlu perbaikan pada aspek hal-hal penting,    HOTS</v>
      </c>
      <c r="K27" s="27" t="str">
        <f t="shared" si="0"/>
        <v/>
      </c>
      <c r="L27" s="37" t="str">
        <f t="shared" si="1"/>
        <v/>
      </c>
      <c r="M27" s="27" t="str">
        <f t="shared" si="2"/>
        <v/>
      </c>
      <c r="N27" s="27" t="e">
        <f>IF(B27="Ditolak","Soal Ditolak",IF(AND(#REF!="",K27="",L27="",M27="",HLOOKUP(A27,DataRek1,50,0)=100),"Soal Dapat Digunakan",IF(AND(K27&lt;&gt;"",L27&lt;&gt;"",M27&lt;&gt;""),K27&amp;", "&amp;L27&amp;", "&amp;M27&amp;" Harus Diperbaiki",IF(OR(K27&lt;&gt;"",L27&lt;&gt;"",M27&lt;&gt;""),K27&amp;", "&amp;L27&amp;", "&amp;M27&amp;" Harus Diperbaiki",""))))</f>
        <v>#REF!</v>
      </c>
      <c r="S27" s="27">
        <v>16</v>
      </c>
      <c r="T27" s="27">
        <f>[1]Instrumen!O48</f>
        <v>0</v>
      </c>
      <c r="U27" s="27">
        <f>[1]Instrumen!P48</f>
        <v>0</v>
      </c>
      <c r="V27" s="27">
        <f>[1]Instrumen!Q48</f>
        <v>0</v>
      </c>
      <c r="W27" s="27">
        <f>[1]Instrumen!R48</f>
        <v>0</v>
      </c>
      <c r="X27" s="27">
        <f>[1]Instrumen!S48</f>
        <v>0</v>
      </c>
      <c r="Y27" s="27">
        <f>[1]Instrumen!T48</f>
        <v>0</v>
      </c>
      <c r="Z27" s="27">
        <f>[1]Instrumen!U48</f>
        <v>0</v>
      </c>
      <c r="AA27" s="27">
        <f>[1]Instrumen!V48</f>
        <v>0</v>
      </c>
      <c r="AB27" s="27">
        <f>[1]Instrumen!W48</f>
        <v>0</v>
      </c>
      <c r="AC27" s="27">
        <f>[1]Instrumen!X48</f>
        <v>0</v>
      </c>
      <c r="AD27" s="27">
        <f>[1]Instrumen!Y48</f>
        <v>0</v>
      </c>
      <c r="AE27" s="27">
        <f>[1]Instrumen!Z48</f>
        <v>0</v>
      </c>
      <c r="AF27" s="27">
        <f>[1]Instrumen!AA48</f>
        <v>0</v>
      </c>
      <c r="AG27" s="27">
        <f>[1]Instrumen!AB48</f>
        <v>0</v>
      </c>
      <c r="AH27" s="27">
        <f>[1]Instrumen!AC48</f>
        <v>0</v>
      </c>
      <c r="AI27" s="27">
        <f>[1]Instrumen!AD48</f>
        <v>0</v>
      </c>
      <c r="AJ27" s="27">
        <f>[1]Instrumen!AE48</f>
        <v>0</v>
      </c>
      <c r="AK27" s="27">
        <f>[1]Instrumen!AF48</f>
        <v>0</v>
      </c>
      <c r="AL27" s="27">
        <f>[1]Instrumen!AG48</f>
        <v>0</v>
      </c>
      <c r="AM27" s="27">
        <f>[1]Instrumen!AH48</f>
        <v>0</v>
      </c>
      <c r="AN27" s="27">
        <f>[1]Instrumen!AI48</f>
        <v>0</v>
      </c>
      <c r="AO27" s="27">
        <f>[1]Instrumen!AJ48</f>
        <v>0</v>
      </c>
      <c r="AP27" s="27">
        <f>[1]Instrumen!AK48</f>
        <v>0</v>
      </c>
      <c r="AQ27" s="27">
        <f>[1]Instrumen!AL48</f>
        <v>0</v>
      </c>
      <c r="AR27" s="27">
        <f>[1]Instrumen!AM48</f>
        <v>0</v>
      </c>
      <c r="AS27" s="27">
        <f>[1]Instrumen!AN48</f>
        <v>0</v>
      </c>
      <c r="AT27" s="27">
        <f>[1]Instrumen!AO48</f>
        <v>0</v>
      </c>
      <c r="AU27" s="27">
        <f>[1]Instrumen!AP48</f>
        <v>0</v>
      </c>
      <c r="AV27" s="27">
        <f>[1]Instrumen!AQ48</f>
        <v>0</v>
      </c>
      <c r="AW27" s="27">
        <f>[1]Instrumen!AR48</f>
        <v>0</v>
      </c>
      <c r="AX27" s="27">
        <f>[1]Instrumen!AS48</f>
        <v>0</v>
      </c>
      <c r="AY27" s="27">
        <f>[1]Instrumen!AT48</f>
        <v>0</v>
      </c>
      <c r="AZ27" s="27">
        <f>[1]Instrumen!AU48</f>
        <v>0</v>
      </c>
      <c r="BA27" s="27">
        <f>[1]Instrumen!AV48</f>
        <v>0</v>
      </c>
      <c r="BB27" s="27">
        <f>[1]Instrumen!AW48</f>
        <v>0</v>
      </c>
      <c r="BC27" s="27">
        <f>[1]Instrumen!AX48</f>
        <v>0</v>
      </c>
      <c r="BD27" s="27">
        <f>[1]Instrumen!AY48</f>
        <v>0</v>
      </c>
      <c r="BE27" s="27">
        <f>[1]Instrumen!AZ48</f>
        <v>0</v>
      </c>
      <c r="BF27" s="27">
        <f>[1]Instrumen!BA48</f>
        <v>0</v>
      </c>
      <c r="BG27" s="27">
        <f>[1]Instrumen!BB48</f>
        <v>0</v>
      </c>
      <c r="BH27" s="27">
        <f>[1]Instrumen!BC48</f>
        <v>0</v>
      </c>
      <c r="BI27" s="27">
        <f>[1]Instrumen!BD48</f>
        <v>0</v>
      </c>
      <c r="BJ27" s="27">
        <f>[1]Instrumen!BE48</f>
        <v>0</v>
      </c>
      <c r="BK27" s="27">
        <f>[1]Instrumen!BF48</f>
        <v>0</v>
      </c>
      <c r="BL27" s="27">
        <f>[1]Instrumen!BG48</f>
        <v>0</v>
      </c>
      <c r="BM27" s="27">
        <f>[1]Instrumen!BH48</f>
        <v>0</v>
      </c>
      <c r="BN27" s="27">
        <f>[1]Instrumen!BI48</f>
        <v>0</v>
      </c>
      <c r="BO27" s="27">
        <f>[1]Instrumen!BJ48</f>
        <v>0</v>
      </c>
      <c r="BP27" s="27">
        <f>[1]Instrumen!BK48</f>
        <v>0</v>
      </c>
      <c r="BQ27" s="27">
        <f>[1]Instrumen!BL48</f>
        <v>0</v>
      </c>
    </row>
    <row r="28" spans="1:69" ht="18" customHeight="1" x14ac:dyDescent="0.25">
      <c r="A28" s="33">
        <v>16</v>
      </c>
      <c r="B28" s="184">
        <f>Ins_PG!$T$37</f>
        <v>100</v>
      </c>
      <c r="C28" s="185"/>
      <c r="D28" s="34" t="s">
        <v>161</v>
      </c>
      <c r="E28" s="35" t="str">
        <f>Ins_PG!$T$35</f>
        <v>C3</v>
      </c>
      <c r="F28" s="35" t="str">
        <f t="shared" si="3"/>
        <v>Level 2</v>
      </c>
      <c r="G28" s="35" t="str">
        <f>Ins_PG!$T$39</f>
        <v>Digunakan</v>
      </c>
      <c r="H28" s="36" t="str">
        <f>IF(G28="Ditolak","Soal No. 16 wajib diganti",IF(G28="Digunakan","Soal No. 16 wajib diujikan",IF(G28="Diperbaiki",J28,"")))</f>
        <v>Soal No. 16 wajib diujikan</v>
      </c>
      <c r="J28" s="38" t="str">
        <f>IF(Telaah_PG!$KH$6="","",Telaah_PG!$KH$6)</f>
        <v>Soal No. 16 perlu perbaikan pada aspek hal-hal penting,    HOTS</v>
      </c>
      <c r="K28" s="27" t="str">
        <f t="shared" si="0"/>
        <v/>
      </c>
      <c r="L28" s="37" t="str">
        <f t="shared" si="1"/>
        <v/>
      </c>
      <c r="M28" s="27" t="str">
        <f t="shared" si="2"/>
        <v/>
      </c>
      <c r="N28" s="27" t="e">
        <f>IF(B28="Ditolak","Soal Ditolak",IF(AND(#REF!="",K28="",L28="",M28="",HLOOKUP(A28,DataRek1,50,0)=100),"Soal Dapat Digunakan",IF(AND(K28&lt;&gt;"",L28&lt;&gt;"",M28&lt;&gt;""),K28&amp;", "&amp;L28&amp;", "&amp;M28&amp;" Harus Diperbaiki",IF(OR(K28&lt;&gt;"",L28&lt;&gt;"",M28&lt;&gt;""),K28&amp;", "&amp;L28&amp;", "&amp;M28&amp;" Harus Diperbaiki",""))))</f>
        <v>#REF!</v>
      </c>
      <c r="S28" s="27">
        <v>17</v>
      </c>
      <c r="T28" s="27">
        <f>[1]Instrumen!O50</f>
        <v>0</v>
      </c>
      <c r="U28" s="27">
        <f>[1]Instrumen!P50</f>
        <v>0</v>
      </c>
      <c r="V28" s="27">
        <f>[1]Instrumen!Q50</f>
        <v>0</v>
      </c>
      <c r="W28" s="27">
        <f>[1]Instrumen!R50</f>
        <v>0</v>
      </c>
      <c r="X28" s="27">
        <f>[1]Instrumen!S50</f>
        <v>0</v>
      </c>
      <c r="Y28" s="27">
        <f>[1]Instrumen!T50</f>
        <v>0</v>
      </c>
      <c r="Z28" s="27">
        <f>[1]Instrumen!U50</f>
        <v>0</v>
      </c>
      <c r="AA28" s="27">
        <f>[1]Instrumen!V50</f>
        <v>0</v>
      </c>
      <c r="AB28" s="27">
        <f>[1]Instrumen!W50</f>
        <v>0</v>
      </c>
      <c r="AC28" s="27">
        <f>[1]Instrumen!X50</f>
        <v>0</v>
      </c>
      <c r="AD28" s="27">
        <f>[1]Instrumen!Y50</f>
        <v>0</v>
      </c>
      <c r="AE28" s="27">
        <f>[1]Instrumen!Z50</f>
        <v>0</v>
      </c>
      <c r="AF28" s="27">
        <f>[1]Instrumen!AA50</f>
        <v>0</v>
      </c>
      <c r="AG28" s="27">
        <f>[1]Instrumen!AB50</f>
        <v>0</v>
      </c>
      <c r="AH28" s="27">
        <f>[1]Instrumen!AC50</f>
        <v>0</v>
      </c>
      <c r="AI28" s="27">
        <f>[1]Instrumen!AD50</f>
        <v>0</v>
      </c>
      <c r="AJ28" s="27">
        <f>[1]Instrumen!AE50</f>
        <v>0</v>
      </c>
      <c r="AK28" s="27">
        <f>[1]Instrumen!AF50</f>
        <v>0</v>
      </c>
      <c r="AL28" s="27">
        <f>[1]Instrumen!AG50</f>
        <v>0</v>
      </c>
      <c r="AM28" s="27">
        <f>[1]Instrumen!AH50</f>
        <v>0</v>
      </c>
      <c r="AN28" s="27">
        <f>[1]Instrumen!AI50</f>
        <v>0</v>
      </c>
      <c r="AO28" s="27">
        <f>[1]Instrumen!AJ50</f>
        <v>0</v>
      </c>
      <c r="AP28" s="27">
        <f>[1]Instrumen!AK50</f>
        <v>0</v>
      </c>
      <c r="AQ28" s="27">
        <f>[1]Instrumen!AL50</f>
        <v>0</v>
      </c>
      <c r="AR28" s="27">
        <f>[1]Instrumen!AM50</f>
        <v>0</v>
      </c>
      <c r="AS28" s="27">
        <f>[1]Instrumen!AN50</f>
        <v>0</v>
      </c>
      <c r="AT28" s="27">
        <f>[1]Instrumen!AO50</f>
        <v>0</v>
      </c>
      <c r="AU28" s="27">
        <f>[1]Instrumen!AP50</f>
        <v>0</v>
      </c>
      <c r="AV28" s="27">
        <f>[1]Instrumen!AQ50</f>
        <v>0</v>
      </c>
      <c r="AW28" s="27">
        <f>[1]Instrumen!AR50</f>
        <v>0</v>
      </c>
      <c r="AX28" s="27">
        <f>[1]Instrumen!AS50</f>
        <v>0</v>
      </c>
      <c r="AY28" s="27">
        <f>[1]Instrumen!AT50</f>
        <v>0</v>
      </c>
      <c r="AZ28" s="27">
        <f>[1]Instrumen!AU50</f>
        <v>0</v>
      </c>
      <c r="BA28" s="27">
        <f>[1]Instrumen!AV50</f>
        <v>0</v>
      </c>
      <c r="BB28" s="27">
        <f>[1]Instrumen!AW50</f>
        <v>0</v>
      </c>
      <c r="BC28" s="27">
        <f>[1]Instrumen!AX50</f>
        <v>0</v>
      </c>
      <c r="BD28" s="27">
        <f>[1]Instrumen!AY50</f>
        <v>0</v>
      </c>
      <c r="BE28" s="27">
        <f>[1]Instrumen!AZ50</f>
        <v>0</v>
      </c>
      <c r="BF28" s="27">
        <f>[1]Instrumen!BA50</f>
        <v>0</v>
      </c>
      <c r="BG28" s="27">
        <f>[1]Instrumen!BB50</f>
        <v>0</v>
      </c>
      <c r="BH28" s="27">
        <f>[1]Instrumen!BC50</f>
        <v>0</v>
      </c>
      <c r="BI28" s="27">
        <f>[1]Instrumen!BD50</f>
        <v>0</v>
      </c>
      <c r="BJ28" s="27">
        <f>[1]Instrumen!BE50</f>
        <v>0</v>
      </c>
      <c r="BK28" s="27">
        <f>[1]Instrumen!BF50</f>
        <v>0</v>
      </c>
      <c r="BL28" s="27">
        <f>[1]Instrumen!BG50</f>
        <v>0</v>
      </c>
      <c r="BM28" s="27">
        <f>[1]Instrumen!BH50</f>
        <v>0</v>
      </c>
      <c r="BN28" s="27">
        <f>[1]Instrumen!BI50</f>
        <v>0</v>
      </c>
      <c r="BO28" s="27">
        <f>[1]Instrumen!BJ50</f>
        <v>0</v>
      </c>
      <c r="BP28" s="27">
        <f>[1]Instrumen!BK50</f>
        <v>0</v>
      </c>
      <c r="BQ28" s="27">
        <f>[1]Instrumen!BL50</f>
        <v>0</v>
      </c>
    </row>
    <row r="29" spans="1:69" ht="18" customHeight="1" x14ac:dyDescent="0.25">
      <c r="A29" s="33">
        <v>17</v>
      </c>
      <c r="B29" s="184">
        <f>Ins_PG!$U$37</f>
        <v>100</v>
      </c>
      <c r="C29" s="185"/>
      <c r="D29" s="34" t="s">
        <v>161</v>
      </c>
      <c r="E29" s="35" t="str">
        <f>Ins_PG!$U$35</f>
        <v>C3</v>
      </c>
      <c r="F29" s="35" t="str">
        <f t="shared" si="3"/>
        <v>Level 2</v>
      </c>
      <c r="G29" s="35" t="str">
        <f>Ins_PG!$U$39</f>
        <v>Digunakan</v>
      </c>
      <c r="H29" s="36" t="str">
        <f>IF(G29="Ditolak","Soal No. 17 wajib diganti",IF(G29="Digunakan","Soal No. 17 wajib diujikan",IF(G29="Diperbaiki",J29,"")))</f>
        <v>Soal No. 17 wajib diujikan</v>
      </c>
      <c r="J29" s="38" t="str">
        <f>IF(Telaah_PG!$KI$6="","",Telaah_PG!$KI$6)</f>
        <v>Soal No. 17 perlu perbaikan pada aspek hal-hal penting,    HOTS</v>
      </c>
      <c r="K29" s="27" t="str">
        <f t="shared" si="0"/>
        <v/>
      </c>
      <c r="L29" s="37" t="str">
        <f t="shared" si="1"/>
        <v/>
      </c>
      <c r="M29" s="27" t="str">
        <f t="shared" si="2"/>
        <v/>
      </c>
      <c r="N29" s="27" t="e">
        <f>IF(B29="Ditolak","Soal Ditolak",IF(AND(#REF!="",K29="",L29="",M29="",HLOOKUP(A29,DataRek1,50,0)=100),"Soal Dapat Digunakan",IF(AND(K29&lt;&gt;"",L29&lt;&gt;"",M29&lt;&gt;""),K29&amp;", "&amp;L29&amp;", "&amp;M29&amp;" Harus Diperbaiki",IF(OR(K29&lt;&gt;"",L29&lt;&gt;"",M29&lt;&gt;""),K29&amp;", "&amp;L29&amp;", "&amp;M29&amp;" Harus Diperbaiki",""))))</f>
        <v>#REF!</v>
      </c>
      <c r="S29" s="27">
        <v>18</v>
      </c>
      <c r="T29" s="27">
        <f>[1]Instrumen!O53</f>
        <v>0</v>
      </c>
      <c r="U29" s="27">
        <f>[1]Instrumen!P53</f>
        <v>0</v>
      </c>
      <c r="V29" s="27">
        <f>[1]Instrumen!Q53</f>
        <v>0</v>
      </c>
      <c r="W29" s="27">
        <f>[1]Instrumen!R53</f>
        <v>0</v>
      </c>
      <c r="X29" s="27">
        <f>[1]Instrumen!S53</f>
        <v>0</v>
      </c>
      <c r="Y29" s="27">
        <f>[1]Instrumen!T53</f>
        <v>0</v>
      </c>
      <c r="Z29" s="27">
        <f>[1]Instrumen!U53</f>
        <v>0</v>
      </c>
      <c r="AA29" s="27">
        <f>[1]Instrumen!V53</f>
        <v>0</v>
      </c>
      <c r="AB29" s="27">
        <f>[1]Instrumen!W53</f>
        <v>0</v>
      </c>
      <c r="AC29" s="27">
        <f>[1]Instrumen!X53</f>
        <v>0</v>
      </c>
      <c r="AD29" s="27">
        <f>[1]Instrumen!Y53</f>
        <v>0</v>
      </c>
      <c r="AE29" s="27">
        <f>[1]Instrumen!Z53</f>
        <v>0</v>
      </c>
      <c r="AF29" s="27">
        <f>[1]Instrumen!AA53</f>
        <v>0</v>
      </c>
      <c r="AG29" s="27">
        <f>[1]Instrumen!AB53</f>
        <v>0</v>
      </c>
      <c r="AH29" s="27">
        <f>[1]Instrumen!AC53</f>
        <v>0</v>
      </c>
      <c r="AI29" s="27">
        <f>[1]Instrumen!AD53</f>
        <v>0</v>
      </c>
      <c r="AJ29" s="27">
        <f>[1]Instrumen!AE53</f>
        <v>0</v>
      </c>
      <c r="AK29" s="27">
        <f>[1]Instrumen!AF53</f>
        <v>0</v>
      </c>
      <c r="AL29" s="27">
        <f>[1]Instrumen!AG53</f>
        <v>0</v>
      </c>
      <c r="AM29" s="27">
        <f>[1]Instrumen!AH53</f>
        <v>0</v>
      </c>
      <c r="AN29" s="27">
        <f>[1]Instrumen!AI53</f>
        <v>0</v>
      </c>
      <c r="AO29" s="27">
        <f>[1]Instrumen!AJ53</f>
        <v>0</v>
      </c>
      <c r="AP29" s="27">
        <f>[1]Instrumen!AK53</f>
        <v>0</v>
      </c>
      <c r="AQ29" s="27">
        <f>[1]Instrumen!AL53</f>
        <v>0</v>
      </c>
      <c r="AR29" s="27">
        <f>[1]Instrumen!AM53</f>
        <v>0</v>
      </c>
      <c r="AS29" s="27">
        <f>[1]Instrumen!AN53</f>
        <v>0</v>
      </c>
      <c r="AT29" s="27">
        <f>[1]Instrumen!AO53</f>
        <v>0</v>
      </c>
      <c r="AU29" s="27">
        <f>[1]Instrumen!AP53</f>
        <v>0</v>
      </c>
      <c r="AV29" s="27">
        <f>[1]Instrumen!AQ53</f>
        <v>0</v>
      </c>
      <c r="AW29" s="27">
        <f>[1]Instrumen!AR53</f>
        <v>0</v>
      </c>
      <c r="AX29" s="27">
        <f>[1]Instrumen!AS53</f>
        <v>0</v>
      </c>
      <c r="AY29" s="27">
        <f>[1]Instrumen!AT53</f>
        <v>0</v>
      </c>
      <c r="AZ29" s="27">
        <f>[1]Instrumen!AU53</f>
        <v>0</v>
      </c>
      <c r="BA29" s="27">
        <f>[1]Instrumen!AV53</f>
        <v>0</v>
      </c>
      <c r="BB29" s="27">
        <f>[1]Instrumen!AW53</f>
        <v>0</v>
      </c>
      <c r="BC29" s="27">
        <f>[1]Instrumen!AX53</f>
        <v>0</v>
      </c>
      <c r="BD29" s="27">
        <f>[1]Instrumen!AY53</f>
        <v>0</v>
      </c>
      <c r="BE29" s="27">
        <f>[1]Instrumen!AZ53</f>
        <v>0</v>
      </c>
      <c r="BF29" s="27">
        <f>[1]Instrumen!BA53</f>
        <v>0</v>
      </c>
      <c r="BG29" s="27">
        <f>[1]Instrumen!BB53</f>
        <v>0</v>
      </c>
      <c r="BH29" s="27">
        <f>[1]Instrumen!BC53</f>
        <v>0</v>
      </c>
      <c r="BI29" s="27">
        <f>[1]Instrumen!BD53</f>
        <v>0</v>
      </c>
      <c r="BJ29" s="27">
        <f>[1]Instrumen!BE53</f>
        <v>0</v>
      </c>
      <c r="BK29" s="27">
        <f>[1]Instrumen!BF53</f>
        <v>0</v>
      </c>
      <c r="BL29" s="27">
        <f>[1]Instrumen!BG53</f>
        <v>0</v>
      </c>
      <c r="BM29" s="27">
        <f>[1]Instrumen!BH53</f>
        <v>0</v>
      </c>
      <c r="BN29" s="27">
        <f>[1]Instrumen!BI53</f>
        <v>0</v>
      </c>
      <c r="BO29" s="27">
        <f>[1]Instrumen!BJ53</f>
        <v>0</v>
      </c>
      <c r="BP29" s="27">
        <f>[1]Instrumen!BK53</f>
        <v>0</v>
      </c>
      <c r="BQ29" s="27">
        <f>[1]Instrumen!BL53</f>
        <v>0</v>
      </c>
    </row>
    <row r="30" spans="1:69" ht="18" customHeight="1" x14ac:dyDescent="0.25">
      <c r="A30" s="33">
        <v>18</v>
      </c>
      <c r="B30" s="184">
        <f>Ins_PG!$V$37</f>
        <v>100</v>
      </c>
      <c r="C30" s="185"/>
      <c r="D30" s="34" t="s">
        <v>161</v>
      </c>
      <c r="E30" s="35" t="str">
        <f>Ins_PG!$V$35</f>
        <v>C3</v>
      </c>
      <c r="F30" s="35" t="str">
        <f t="shared" si="3"/>
        <v>Level 2</v>
      </c>
      <c r="G30" s="35" t="str">
        <f>Ins_PG!$V$39</f>
        <v>Digunakan</v>
      </c>
      <c r="H30" s="36" t="str">
        <f>IF(G30="Ditolak","Soal No. 18 wajib diganti",IF(G30="Digunakan","Soal No. 18 wajib diujikan",IF(G30="Diperbaiki",J30,"")))</f>
        <v>Soal No. 18 wajib diujikan</v>
      </c>
      <c r="J30" s="38" t="str">
        <f>IF(Telaah_PG!$KJ$6="","",Telaah_PG!$KJ$6)</f>
        <v>Soal No. 18 perlu perbaikan pada aspek hal-hal penting,    HOTS</v>
      </c>
      <c r="K30" s="27" t="str">
        <f t="shared" si="0"/>
        <v/>
      </c>
      <c r="L30" s="37" t="str">
        <f t="shared" si="1"/>
        <v/>
      </c>
      <c r="M30" s="27" t="str">
        <f t="shared" si="2"/>
        <v/>
      </c>
      <c r="N30" s="27" t="e">
        <f>IF(B30="Ditolak","Soal Ditolak",IF(AND(#REF!="",K30="",L30="",M30="",HLOOKUP(A30,DataRek1,50,0)=100),"Soal Dapat Digunakan",IF(AND(K30&lt;&gt;"",L30&lt;&gt;"",M30&lt;&gt;""),K30&amp;", "&amp;L30&amp;", "&amp;M30&amp;" Harus Diperbaiki",IF(OR(K30&lt;&gt;"",L30&lt;&gt;"",M30&lt;&gt;""),K30&amp;", "&amp;L30&amp;", "&amp;M30&amp;" Harus Diperbaiki",""))))</f>
        <v>#REF!</v>
      </c>
      <c r="S30" s="27">
        <v>19</v>
      </c>
      <c r="T30" s="27">
        <f>[1]Instrumen!O55</f>
        <v>0</v>
      </c>
      <c r="U30" s="27">
        <f>[1]Instrumen!P55</f>
        <v>0</v>
      </c>
      <c r="V30" s="27">
        <f>[1]Instrumen!Q55</f>
        <v>0</v>
      </c>
      <c r="W30" s="27">
        <f>[1]Instrumen!R55</f>
        <v>0</v>
      </c>
      <c r="X30" s="27">
        <f>[1]Instrumen!S55</f>
        <v>0</v>
      </c>
      <c r="Y30" s="27">
        <f>[1]Instrumen!T55</f>
        <v>0</v>
      </c>
      <c r="Z30" s="27">
        <f>[1]Instrumen!U55</f>
        <v>0</v>
      </c>
      <c r="AA30" s="27">
        <f>[1]Instrumen!V55</f>
        <v>0</v>
      </c>
      <c r="AB30" s="27">
        <f>[1]Instrumen!W55</f>
        <v>0</v>
      </c>
      <c r="AC30" s="27">
        <f>[1]Instrumen!X55</f>
        <v>0</v>
      </c>
      <c r="AD30" s="27">
        <f>[1]Instrumen!Y55</f>
        <v>0</v>
      </c>
      <c r="AE30" s="27">
        <f>[1]Instrumen!Z55</f>
        <v>0</v>
      </c>
      <c r="AF30" s="27">
        <f>[1]Instrumen!AA55</f>
        <v>0</v>
      </c>
      <c r="AG30" s="27">
        <f>[1]Instrumen!AB55</f>
        <v>0</v>
      </c>
      <c r="AH30" s="27">
        <f>[1]Instrumen!AC55</f>
        <v>0</v>
      </c>
      <c r="AI30" s="27">
        <f>[1]Instrumen!AD55</f>
        <v>0</v>
      </c>
      <c r="AJ30" s="27">
        <f>[1]Instrumen!AE55</f>
        <v>0</v>
      </c>
      <c r="AK30" s="27">
        <f>[1]Instrumen!AF55</f>
        <v>0</v>
      </c>
      <c r="AL30" s="27">
        <f>[1]Instrumen!AG55</f>
        <v>0</v>
      </c>
      <c r="AM30" s="27">
        <f>[1]Instrumen!AH55</f>
        <v>0</v>
      </c>
      <c r="AN30" s="27">
        <f>[1]Instrumen!AI55</f>
        <v>0</v>
      </c>
      <c r="AO30" s="27">
        <f>[1]Instrumen!AJ55</f>
        <v>0</v>
      </c>
      <c r="AP30" s="27">
        <f>[1]Instrumen!AK55</f>
        <v>0</v>
      </c>
      <c r="AQ30" s="27">
        <f>[1]Instrumen!AL55</f>
        <v>0</v>
      </c>
      <c r="AR30" s="27">
        <f>[1]Instrumen!AM55</f>
        <v>0</v>
      </c>
      <c r="AS30" s="27">
        <f>[1]Instrumen!AN55</f>
        <v>0</v>
      </c>
      <c r="AT30" s="27">
        <f>[1]Instrumen!AO55</f>
        <v>0</v>
      </c>
      <c r="AU30" s="27">
        <f>[1]Instrumen!AP55</f>
        <v>0</v>
      </c>
      <c r="AV30" s="27">
        <f>[1]Instrumen!AQ55</f>
        <v>0</v>
      </c>
      <c r="AW30" s="27">
        <f>[1]Instrumen!AR55</f>
        <v>0</v>
      </c>
      <c r="AX30" s="27">
        <f>[1]Instrumen!AS55</f>
        <v>0</v>
      </c>
      <c r="AY30" s="27">
        <f>[1]Instrumen!AT55</f>
        <v>0</v>
      </c>
      <c r="AZ30" s="27">
        <f>[1]Instrumen!AU55</f>
        <v>0</v>
      </c>
      <c r="BA30" s="27">
        <f>[1]Instrumen!AV55</f>
        <v>0</v>
      </c>
      <c r="BB30" s="27">
        <f>[1]Instrumen!AW55</f>
        <v>0</v>
      </c>
      <c r="BC30" s="27">
        <f>[1]Instrumen!AX55</f>
        <v>0</v>
      </c>
      <c r="BD30" s="27">
        <f>[1]Instrumen!AY55</f>
        <v>0</v>
      </c>
      <c r="BE30" s="27">
        <f>[1]Instrumen!AZ55</f>
        <v>0</v>
      </c>
      <c r="BF30" s="27">
        <f>[1]Instrumen!BA55</f>
        <v>0</v>
      </c>
      <c r="BG30" s="27">
        <f>[1]Instrumen!BB55</f>
        <v>0</v>
      </c>
      <c r="BH30" s="27">
        <f>[1]Instrumen!BC55</f>
        <v>0</v>
      </c>
      <c r="BI30" s="27">
        <f>[1]Instrumen!BD55</f>
        <v>0</v>
      </c>
      <c r="BJ30" s="27">
        <f>[1]Instrumen!BE55</f>
        <v>0</v>
      </c>
      <c r="BK30" s="27">
        <f>[1]Instrumen!BF55</f>
        <v>0</v>
      </c>
      <c r="BL30" s="27">
        <f>[1]Instrumen!BG55</f>
        <v>0</v>
      </c>
      <c r="BM30" s="27">
        <f>[1]Instrumen!BH55</f>
        <v>0</v>
      </c>
      <c r="BN30" s="27">
        <f>[1]Instrumen!BI55</f>
        <v>0</v>
      </c>
      <c r="BO30" s="27">
        <f>[1]Instrumen!BJ55</f>
        <v>0</v>
      </c>
      <c r="BP30" s="27">
        <f>[1]Instrumen!BK55</f>
        <v>0</v>
      </c>
      <c r="BQ30" s="27">
        <f>[1]Instrumen!BL55</f>
        <v>0</v>
      </c>
    </row>
    <row r="31" spans="1:69" ht="18" customHeight="1" x14ac:dyDescent="0.25">
      <c r="A31" s="33">
        <v>19</v>
      </c>
      <c r="B31" s="184">
        <f>Ins_PG!$W$37</f>
        <v>100</v>
      </c>
      <c r="C31" s="185"/>
      <c r="D31" s="34" t="s">
        <v>161</v>
      </c>
      <c r="E31" s="35" t="str">
        <f>Ins_PG!$W$35</f>
        <v>C3</v>
      </c>
      <c r="F31" s="35" t="str">
        <f t="shared" si="3"/>
        <v>Level 2</v>
      </c>
      <c r="G31" s="35" t="str">
        <f>Ins_PG!$W$39</f>
        <v>Digunakan</v>
      </c>
      <c r="H31" s="36" t="str">
        <f>IF(G31="Ditolak","Soal No. 19 wajib diganti",IF(G31="Digunakan","Soal No. 19 wajib diujikan",IF(G31="Diperbaiki",J31,"")))</f>
        <v>Soal No. 19 wajib diujikan</v>
      </c>
      <c r="J31" s="38" t="str">
        <f>IF(Telaah_PG!$KK$6="","",Telaah_PG!$KK$6)</f>
        <v>Soal No. 19 perlu perbaikan pada aspek hal-hal penting,    HOTS</v>
      </c>
      <c r="K31" s="27" t="str">
        <f t="shared" si="0"/>
        <v/>
      </c>
      <c r="L31" s="37" t="str">
        <f t="shared" si="1"/>
        <v/>
      </c>
      <c r="M31" s="27" t="str">
        <f t="shared" si="2"/>
        <v/>
      </c>
      <c r="N31" s="27" t="e">
        <f>IF(B31="Ditolak","Soal Ditolak",IF(AND(#REF!="",K31="",L31="",M31="",HLOOKUP(A31,DataRek1,50,0)=100),"Soal Dapat Digunakan",IF(AND(K31&lt;&gt;"",L31&lt;&gt;"",M31&lt;&gt;""),K31&amp;", "&amp;L31&amp;", "&amp;M31&amp;" Harus Diperbaiki",IF(OR(K31&lt;&gt;"",L31&lt;&gt;"",M31&lt;&gt;""),K31&amp;", "&amp;L31&amp;", "&amp;M31&amp;" Harus Diperbaiki",""))))</f>
        <v>#REF!</v>
      </c>
    </row>
    <row r="32" spans="1:69" ht="18" customHeight="1" x14ac:dyDescent="0.25">
      <c r="A32" s="33">
        <v>20</v>
      </c>
      <c r="B32" s="184">
        <f>Ins_PG!$X$37</f>
        <v>100</v>
      </c>
      <c r="C32" s="185"/>
      <c r="D32" s="34" t="s">
        <v>161</v>
      </c>
      <c r="E32" s="35" t="str">
        <f>Ins_PG!$X$35</f>
        <v>C3</v>
      </c>
      <c r="F32" s="35" t="str">
        <f t="shared" si="3"/>
        <v>Level 2</v>
      </c>
      <c r="G32" s="35" t="str">
        <f>Ins_PG!$X$39</f>
        <v>Digunakan</v>
      </c>
      <c r="H32" s="36" t="str">
        <f>IF(G32="Ditolak","Soal No. 20 wajib diganti",IF(G32="Digunakan","Soal No. 20 wajib diujikan",IF(G32="Diperbaiki",J32,"")))</f>
        <v>Soal No. 20 wajib diujikan</v>
      </c>
      <c r="J32" s="38" t="str">
        <f>IF(Telaah_PG!$KL$6="","",Telaah_PG!$KL$6)</f>
        <v>Soal No. 20 perlu perbaikan pada aspek hal-hal penting,    HOTS</v>
      </c>
      <c r="K32" s="27" t="str">
        <f t="shared" si="0"/>
        <v/>
      </c>
      <c r="L32" s="37" t="str">
        <f t="shared" si="1"/>
        <v/>
      </c>
      <c r="M32" s="27" t="str">
        <f t="shared" si="2"/>
        <v/>
      </c>
      <c r="N32" s="27" t="e">
        <f>IF(B32="Ditolak","Soal Ditolak",IF(AND(#REF!="",K32="",L32="",M32="",HLOOKUP(A32,DataRek1,50,0)=100),"Soal Dapat Digunakan",IF(AND(K32&lt;&gt;"",L32&lt;&gt;"",M32&lt;&gt;""),K32&amp;", "&amp;L32&amp;", "&amp;M32&amp;" Harus Diperbaiki",IF(OR(K32&lt;&gt;"",L32&lt;&gt;"",M32&lt;&gt;""),K32&amp;", "&amp;L32&amp;", "&amp;M32&amp;" Harus Diperbaiki",""))))</f>
        <v>#REF!</v>
      </c>
    </row>
    <row r="33" spans="1:14" ht="18" customHeight="1" x14ac:dyDescent="0.25">
      <c r="A33" s="33">
        <v>21</v>
      </c>
      <c r="B33" s="184">
        <f>Ins_PG!$Y$37</f>
        <v>100</v>
      </c>
      <c r="C33" s="185"/>
      <c r="D33" s="34" t="s">
        <v>161</v>
      </c>
      <c r="E33" s="35" t="str">
        <f>Ins_PG!$Y$35</f>
        <v>C3</v>
      </c>
      <c r="F33" s="35" t="str">
        <f t="shared" si="3"/>
        <v>Level 2</v>
      </c>
      <c r="G33" s="35" t="str">
        <f>Ins_PG!$Y$39</f>
        <v>Digunakan</v>
      </c>
      <c r="H33" s="36" t="str">
        <f>IF(G33="Ditolak","Soal No. 21 wajib diganti",IF(G33="Digunakan","Soal No. 21 wajib diujikan",IF(G33="Diperbaiki",J33,"")))</f>
        <v>Soal No. 21 wajib diujikan</v>
      </c>
      <c r="J33" s="38" t="str">
        <f>IF(Telaah_PG!$KM$6="","",Telaah_PG!$KM$6)</f>
        <v>Soal No. 21 perlu perbaikan pada aspek hal-hal penting,    HOTS</v>
      </c>
      <c r="K33" s="27" t="str">
        <f t="shared" si="0"/>
        <v/>
      </c>
      <c r="L33" s="37" t="str">
        <f t="shared" si="1"/>
        <v/>
      </c>
      <c r="M33" s="27" t="str">
        <f t="shared" si="2"/>
        <v/>
      </c>
      <c r="N33" s="27" t="e">
        <f>IF(B33="Ditolak","Soal Ditolak",IF(AND(#REF!="",K33="",L33="",M33="",HLOOKUP(A33,DataRek1,50,0)=100),"Soal Dapat Digunakan",IF(AND(K33&lt;&gt;"",L33&lt;&gt;"",M33&lt;&gt;""),K33&amp;", "&amp;L33&amp;", "&amp;M33&amp;" Harus Diperbaiki",IF(OR(K33&lt;&gt;"",L33&lt;&gt;"",M33&lt;&gt;""),K33&amp;", "&amp;L33&amp;", "&amp;M33&amp;" Harus Diperbaiki",""))))</f>
        <v>#REF!</v>
      </c>
    </row>
    <row r="34" spans="1:14" ht="18" customHeight="1" x14ac:dyDescent="0.25">
      <c r="A34" s="33">
        <v>22</v>
      </c>
      <c r="B34" s="184">
        <f>Ins_PG!$Z$37</f>
        <v>100</v>
      </c>
      <c r="C34" s="185"/>
      <c r="D34" s="34" t="s">
        <v>161</v>
      </c>
      <c r="E34" s="35" t="str">
        <f>Ins_PG!$Z$35</f>
        <v>C3</v>
      </c>
      <c r="F34" s="35" t="str">
        <f t="shared" si="3"/>
        <v>Level 2</v>
      </c>
      <c r="G34" s="35" t="str">
        <f>Ins_PG!$Z$39</f>
        <v>Digunakan</v>
      </c>
      <c r="H34" s="36" t="str">
        <f>IF(G34="Ditolak","Soal No. 22 wajib diganti",IF(G34="Digunakan","Soal No. 22 wajib diujikan",IF(G34="Diperbaiki",J34,"")))</f>
        <v>Soal No. 22 wajib diujikan</v>
      </c>
      <c r="J34" s="38" t="str">
        <f>IF(Telaah_PG!$KN$6="","",Telaah_PG!$KN$6)</f>
        <v>Soal No. 22 perlu perbaikan pada aspek hal-hal penting,    HOTS</v>
      </c>
      <c r="K34" s="27" t="str">
        <f t="shared" si="0"/>
        <v/>
      </c>
      <c r="L34" s="37" t="str">
        <f t="shared" si="1"/>
        <v/>
      </c>
      <c r="M34" s="27" t="str">
        <f t="shared" si="2"/>
        <v/>
      </c>
      <c r="N34" s="27" t="e">
        <f>IF(B34="Ditolak","Soal Ditolak",IF(AND(#REF!="",K34="",L34="",M34="",HLOOKUP(A34,DataRek1,50,0)=100),"Soal Dapat Digunakan",IF(AND(K34&lt;&gt;"",L34&lt;&gt;"",M34&lt;&gt;""),K34&amp;", "&amp;L34&amp;", "&amp;M34&amp;" Harus Diperbaiki",IF(OR(K34&lt;&gt;"",L34&lt;&gt;"",M34&lt;&gt;""),K34&amp;", "&amp;L34&amp;", "&amp;M34&amp;" Harus Diperbaiki",""))))</f>
        <v>#REF!</v>
      </c>
    </row>
    <row r="35" spans="1:14" ht="18" customHeight="1" x14ac:dyDescent="0.25">
      <c r="A35" s="33">
        <v>23</v>
      </c>
      <c r="B35" s="184">
        <f>Ins_PG!$AA$37</f>
        <v>100</v>
      </c>
      <c r="C35" s="185"/>
      <c r="D35" s="34" t="s">
        <v>161</v>
      </c>
      <c r="E35" s="35" t="str">
        <f>Ins_PG!$AA$35</f>
        <v>C3</v>
      </c>
      <c r="F35" s="35" t="str">
        <f t="shared" si="3"/>
        <v>Level 2</v>
      </c>
      <c r="G35" s="35" t="str">
        <f>Ins_PG!$AA$39</f>
        <v>Digunakan</v>
      </c>
      <c r="H35" s="36" t="str">
        <f>IF(G35="Ditolak","Soal No. 23 wajib diganti",IF(G35="Digunakan","Soal No. 23 wajib diujikan",IF(G35="Diperbaiki",J35,"")))</f>
        <v>Soal No. 23 wajib diujikan</v>
      </c>
      <c r="J35" s="38" t="str">
        <f>IF(Telaah_PG!$KO$6="","",Telaah_PG!$KO$6)</f>
        <v>Soal No. 23 perlu perbaikan pada aspek hal-hal penting,    HOTS</v>
      </c>
      <c r="K35" s="27" t="str">
        <f t="shared" si="0"/>
        <v/>
      </c>
      <c r="L35" s="37" t="str">
        <f t="shared" si="1"/>
        <v/>
      </c>
      <c r="M35" s="27" t="str">
        <f t="shared" si="2"/>
        <v/>
      </c>
      <c r="N35" s="27" t="e">
        <f>IF(B35="Ditolak","Soal Ditolak",IF(AND(#REF!="",K35="",L35="",M35="",HLOOKUP(A35,DataRek1,50,0)=100),"Soal Dapat Digunakan",IF(AND(K35&lt;&gt;"",L35&lt;&gt;"",M35&lt;&gt;""),K35&amp;", "&amp;L35&amp;", "&amp;M35&amp;" Harus Diperbaiki",IF(OR(K35&lt;&gt;"",L35&lt;&gt;"",M35&lt;&gt;""),K35&amp;", "&amp;L35&amp;", "&amp;M35&amp;" Harus Diperbaiki",""))))</f>
        <v>#REF!</v>
      </c>
    </row>
    <row r="36" spans="1:14" ht="18" customHeight="1" x14ac:dyDescent="0.25">
      <c r="A36" s="33">
        <v>24</v>
      </c>
      <c r="B36" s="184">
        <f>Ins_PG!$AB$37</f>
        <v>100</v>
      </c>
      <c r="C36" s="185"/>
      <c r="D36" s="34" t="s">
        <v>161</v>
      </c>
      <c r="E36" s="35" t="str">
        <f>Ins_PG!$AB$35</f>
        <v>C3</v>
      </c>
      <c r="F36" s="35" t="str">
        <f t="shared" si="3"/>
        <v>Level 2</v>
      </c>
      <c r="G36" s="35" t="str">
        <f>Ins_PG!$AB$39</f>
        <v>Digunakan</v>
      </c>
      <c r="H36" s="36" t="str">
        <f>IF(G36="Ditolak","Soal No. 24 wajib diganti",IF(G36="Digunakan","Soal No. 24 wajib diujikan",IF(G36="Diperbaiki",J36,"")))</f>
        <v>Soal No. 24 wajib diujikan</v>
      </c>
      <c r="J36" s="38" t="str">
        <f>IF(Telaah_PG!$KP$6="","",Telaah_PG!$KP$6)</f>
        <v>Soal No. 24 perlu perbaikan pada aspek hal-hal penting,    HOTS</v>
      </c>
      <c r="K36" s="27" t="str">
        <f t="shared" si="0"/>
        <v/>
      </c>
      <c r="L36" s="37" t="str">
        <f t="shared" si="1"/>
        <v/>
      </c>
      <c r="M36" s="27" t="str">
        <f t="shared" si="2"/>
        <v/>
      </c>
      <c r="N36" s="27" t="e">
        <f>IF(B36="Ditolak","Soal Ditolak",IF(AND(#REF!="",K36="",L36="",M36="",HLOOKUP(A36,DataRek1,50,0)=100),"Soal Dapat Digunakan",IF(AND(K36&lt;&gt;"",L36&lt;&gt;"",M36&lt;&gt;""),K36&amp;", "&amp;L36&amp;", "&amp;M36&amp;" Harus Diperbaiki",IF(OR(K36&lt;&gt;"",L36&lt;&gt;"",M36&lt;&gt;""),K36&amp;", "&amp;L36&amp;", "&amp;M36&amp;" Harus Diperbaiki",""))))</f>
        <v>#REF!</v>
      </c>
    </row>
    <row r="37" spans="1:14" ht="18" customHeight="1" x14ac:dyDescent="0.25">
      <c r="A37" s="33">
        <v>25</v>
      </c>
      <c r="B37" s="184">
        <f>Ins_PG!$AC$37</f>
        <v>100</v>
      </c>
      <c r="C37" s="185"/>
      <c r="D37" s="34" t="s">
        <v>161</v>
      </c>
      <c r="E37" s="35" t="str">
        <f>Ins_PG!$AC$35</f>
        <v>C4</v>
      </c>
      <c r="F37" s="35" t="str">
        <f t="shared" si="3"/>
        <v>Level 3</v>
      </c>
      <c r="G37" s="35" t="str">
        <f>Ins_PG!$AC$39</f>
        <v>Digunakan</v>
      </c>
      <c r="H37" s="36" t="str">
        <f>IF(G37="Ditolak","Soal No. 25 wajib diganti",IF(G37="Digunakan","Soal No. 25 wajib diujikan",IF(G37="Diperbaiki",J37,"")))</f>
        <v>Soal No. 25 wajib diujikan</v>
      </c>
      <c r="J37" s="38" t="str">
        <f>IF(Telaah_PG!$KQ$6="","",Telaah_PG!$KQ$6)</f>
        <v>Soal No. 25 perlu perbaikan pada aspek hal-hal penting,    HOTS</v>
      </c>
      <c r="K37" s="27" t="str">
        <f t="shared" si="0"/>
        <v/>
      </c>
      <c r="L37" s="37" t="str">
        <f t="shared" si="1"/>
        <v/>
      </c>
      <c r="M37" s="27" t="str">
        <f t="shared" si="2"/>
        <v/>
      </c>
      <c r="N37" s="27" t="e">
        <f>IF(B37="Ditolak","Soal Ditolak",IF(AND(#REF!="",K37="",L37="",M37="",HLOOKUP(A37,DataRek1,50,0)=100),"Soal Dapat Digunakan",IF(AND(K37&lt;&gt;"",L37&lt;&gt;"",M37&lt;&gt;""),K37&amp;", "&amp;L37&amp;", "&amp;M37&amp;" Harus Diperbaiki",IF(OR(K37&lt;&gt;"",L37&lt;&gt;"",M37&lt;&gt;""),K37&amp;", "&amp;L37&amp;", "&amp;M37&amp;" Harus Diperbaiki",""))))</f>
        <v>#REF!</v>
      </c>
    </row>
    <row r="38" spans="1:14" ht="18" customHeight="1" x14ac:dyDescent="0.25">
      <c r="A38" s="33">
        <v>26</v>
      </c>
      <c r="B38" s="184">
        <f>Ins_PG!$AD$37</f>
        <v>100</v>
      </c>
      <c r="C38" s="185"/>
      <c r="D38" s="34" t="s">
        <v>161</v>
      </c>
      <c r="E38" s="35" t="str">
        <f>Ins_PG!$AD$35</f>
        <v>C3</v>
      </c>
      <c r="F38" s="35" t="str">
        <f t="shared" si="3"/>
        <v>Level 2</v>
      </c>
      <c r="G38" s="35" t="str">
        <f>Ins_PG!$AD$39</f>
        <v>Digunakan</v>
      </c>
      <c r="H38" s="36" t="str">
        <f>IF(G38="Ditolak","Soal No. 26 wajib diganti",IF(G38="Digunakan","Soal No. 26 wajib diujikan",IF(G38="Diperbaiki",J38,"")))</f>
        <v>Soal No. 26 wajib diujikan</v>
      </c>
      <c r="J38" s="38" t="str">
        <f>IF(Telaah_PG!$KR$6="","",Telaah_PG!$KR$6)</f>
        <v>Soal No. 26 perlu perbaikan pada aspek hal-hal penting,    HOTS</v>
      </c>
      <c r="K38" s="27" t="str">
        <f t="shared" si="0"/>
        <v/>
      </c>
      <c r="L38" s="37" t="str">
        <f t="shared" si="1"/>
        <v/>
      </c>
      <c r="M38" s="27" t="str">
        <f t="shared" si="2"/>
        <v/>
      </c>
      <c r="N38" s="27" t="e">
        <f>IF(B38="Ditolak","Soal Ditolak",IF(AND(#REF!="",K38="",L38="",M38="",HLOOKUP(A38,DataRek1,50,0)=100),"Soal Dapat Digunakan",IF(AND(K38&lt;&gt;"",L38&lt;&gt;"",M38&lt;&gt;""),K38&amp;", "&amp;L38&amp;", "&amp;M38&amp;" Harus Diperbaiki",IF(OR(K38&lt;&gt;"",L38&lt;&gt;"",M38&lt;&gt;""),K38&amp;", "&amp;L38&amp;", "&amp;M38&amp;" Harus Diperbaiki",""))))</f>
        <v>#REF!</v>
      </c>
    </row>
    <row r="39" spans="1:14" ht="18" customHeight="1" x14ac:dyDescent="0.25">
      <c r="A39" s="33">
        <v>27</v>
      </c>
      <c r="B39" s="184">
        <f>Ins_PG!$AE$37</f>
        <v>100</v>
      </c>
      <c r="C39" s="185"/>
      <c r="D39" s="34" t="s">
        <v>161</v>
      </c>
      <c r="E39" s="35" t="str">
        <f>Ins_PG!$AE$35</f>
        <v>C2</v>
      </c>
      <c r="F39" s="35" t="str">
        <f t="shared" si="3"/>
        <v>Level 1</v>
      </c>
      <c r="G39" s="35" t="str">
        <f>Ins_PG!$AE$39</f>
        <v>Digunakan</v>
      </c>
      <c r="H39" s="36" t="str">
        <f>IF(G39="Ditolak","Soal No. 27 wajib diganti",IF(G39="Digunakan","Soal No. 27 wajib diujikan",IF(G39="Diperbaiki",J39,"")))</f>
        <v>Soal No. 27 wajib diujikan</v>
      </c>
      <c r="J39" s="38" t="str">
        <f>IF(Telaah_PG!$KS$6="","",Telaah_PG!$KS$6)</f>
        <v>Soal No. 27 perlu perbaikan pada aspek hal-hal penting,    HOTS</v>
      </c>
      <c r="K39" s="27" t="str">
        <f t="shared" si="0"/>
        <v/>
      </c>
      <c r="L39" s="37" t="str">
        <f t="shared" si="1"/>
        <v/>
      </c>
      <c r="M39" s="27" t="str">
        <f t="shared" si="2"/>
        <v/>
      </c>
      <c r="N39" s="27" t="e">
        <f>IF(B39="Ditolak","Soal Ditolak",IF(AND(#REF!="",K39="",L39="",M39="",HLOOKUP(A39,DataRek1,50,0)=100),"Soal Dapat Digunakan",IF(AND(K39&lt;&gt;"",L39&lt;&gt;"",M39&lt;&gt;""),K39&amp;", "&amp;L39&amp;", "&amp;M39&amp;" Harus Diperbaiki",IF(OR(K39&lt;&gt;"",L39&lt;&gt;"",M39&lt;&gt;""),K39&amp;", "&amp;L39&amp;", "&amp;M39&amp;" Harus Diperbaiki",""))))</f>
        <v>#REF!</v>
      </c>
    </row>
    <row r="40" spans="1:14" ht="18" customHeight="1" x14ac:dyDescent="0.25">
      <c r="A40" s="33">
        <v>28</v>
      </c>
      <c r="B40" s="184">
        <f>Ins_PG!$AF$37</f>
        <v>100</v>
      </c>
      <c r="C40" s="185"/>
      <c r="D40" s="34" t="s">
        <v>161</v>
      </c>
      <c r="E40" s="35" t="str">
        <f>Ins_PG!$AF$35</f>
        <v>C3</v>
      </c>
      <c r="F40" s="35" t="str">
        <f t="shared" si="3"/>
        <v>Level 2</v>
      </c>
      <c r="G40" s="35" t="str">
        <f>Ins_PG!$AF$39</f>
        <v>Digunakan</v>
      </c>
      <c r="H40" s="36" t="str">
        <f>IF(G40="Ditolak","Soal No. 28 wajib diganti",IF(G40="Digunakan","Soal No. 28 wajib diujikan",IF(G40="Diperbaiki",J40,"")))</f>
        <v>Soal No. 28 wajib diujikan</v>
      </c>
      <c r="J40" s="38" t="str">
        <f>IF(Telaah_PG!$KT$6="","",Telaah_PG!$KT$6)</f>
        <v>Soal No. 28 perlu perbaikan pada aspek hal-hal penting,    HOTS</v>
      </c>
      <c r="K40" s="27" t="str">
        <f t="shared" si="0"/>
        <v/>
      </c>
      <c r="L40" s="37" t="str">
        <f t="shared" si="1"/>
        <v/>
      </c>
      <c r="M40" s="27" t="str">
        <f t="shared" si="2"/>
        <v/>
      </c>
      <c r="N40" s="27" t="e">
        <f>IF(B40="Ditolak","Soal Ditolak",IF(AND(#REF!="",K40="",L40="",M40="",HLOOKUP(A40,DataRek1,50,0)=100),"Soal Dapat Digunakan",IF(AND(K40&lt;&gt;"",L40&lt;&gt;"",M40&lt;&gt;""),K40&amp;", "&amp;L40&amp;", "&amp;M40&amp;" Harus Diperbaiki",IF(OR(K40&lt;&gt;"",L40&lt;&gt;"",M40&lt;&gt;""),K40&amp;", "&amp;L40&amp;", "&amp;M40&amp;" Harus Diperbaiki",""))))</f>
        <v>#REF!</v>
      </c>
    </row>
    <row r="41" spans="1:14" ht="18" customHeight="1" x14ac:dyDescent="0.25">
      <c r="A41" s="33">
        <v>29</v>
      </c>
      <c r="B41" s="184">
        <f>Ins_PG!$AG$37</f>
        <v>100</v>
      </c>
      <c r="C41" s="185"/>
      <c r="D41" s="34" t="s">
        <v>161</v>
      </c>
      <c r="E41" s="35" t="str">
        <f>Ins_PG!$AG$35</f>
        <v>C3</v>
      </c>
      <c r="F41" s="35" t="str">
        <f t="shared" si="3"/>
        <v>Level 2</v>
      </c>
      <c r="G41" s="35" t="str">
        <f>Ins_PG!$AG$39</f>
        <v>Digunakan</v>
      </c>
      <c r="H41" s="36" t="str">
        <f>IF(G41="Ditolak","Soal No. 29 wajib diganti",IF(G41="Digunakan","Soal No. 29 wajib diujikan",IF(G41="Diperbaiki",J41,"")))</f>
        <v>Soal No. 29 wajib diujikan</v>
      </c>
      <c r="J41" s="38" t="str">
        <f>IF(Telaah_PG!$KU$6="","",Telaah_PG!$KU$6)</f>
        <v>Soal No. 29 perlu perbaikan pada aspek hal-hal penting,    HOTS</v>
      </c>
      <c r="K41" s="27" t="str">
        <f t="shared" si="0"/>
        <v/>
      </c>
      <c r="L41" s="37" t="str">
        <f t="shared" si="1"/>
        <v/>
      </c>
      <c r="M41" s="27" t="str">
        <f t="shared" si="2"/>
        <v/>
      </c>
      <c r="N41" s="27" t="e">
        <f>IF(B41="Ditolak","Soal Ditolak",IF(AND(#REF!="",K41="",L41="",M41="",HLOOKUP(A41,DataRek1,50,0)=100),"Soal Dapat Digunakan",IF(AND(K41&lt;&gt;"",L41&lt;&gt;"",M41&lt;&gt;""),K41&amp;", "&amp;L41&amp;", "&amp;M41&amp;" Harus Diperbaiki",IF(OR(K41&lt;&gt;"",L41&lt;&gt;"",M41&lt;&gt;""),K41&amp;", "&amp;L41&amp;", "&amp;M41&amp;" Harus Diperbaiki",""))))</f>
        <v>#REF!</v>
      </c>
    </row>
    <row r="42" spans="1:14" ht="18" customHeight="1" x14ac:dyDescent="0.25">
      <c r="A42" s="33">
        <v>30</v>
      </c>
      <c r="B42" s="184">
        <f>Ins_PG!$AH$37</f>
        <v>100</v>
      </c>
      <c r="C42" s="185"/>
      <c r="D42" s="34" t="s">
        <v>161</v>
      </c>
      <c r="E42" s="35" t="str">
        <f>Ins_PG!$AH$35</f>
        <v>C3</v>
      </c>
      <c r="F42" s="35" t="str">
        <f t="shared" si="3"/>
        <v>Level 2</v>
      </c>
      <c r="G42" s="35" t="str">
        <f>Ins_PG!$AH$39</f>
        <v>Digunakan</v>
      </c>
      <c r="H42" s="36" t="str">
        <f>IF(G42="Ditolak","Soal No. 30 wajib diganti",IF(G42="Digunakan","Soal No. 30 wajib diujikan",IF(G42="Diperbaiki",J42,"")))</f>
        <v>Soal No. 30 wajib diujikan</v>
      </c>
      <c r="J42" s="38" t="str">
        <f>IF(Telaah_PG!$KV$6="","",Telaah_PG!$KV$6)</f>
        <v>Soal No. 30 perlu perbaikan pada aspek hal-hal penting,    HOTS</v>
      </c>
      <c r="K42" s="27" t="str">
        <f t="shared" si="0"/>
        <v/>
      </c>
      <c r="L42" s="37" t="str">
        <f t="shared" si="1"/>
        <v/>
      </c>
      <c r="M42" s="27" t="str">
        <f t="shared" si="2"/>
        <v/>
      </c>
      <c r="N42" s="27" t="e">
        <f>IF(B42="Ditolak","Soal Ditolak",IF(AND(#REF!="",K42="",L42="",M42="",HLOOKUP(A42,DataRek1,50,0)=100),"Soal Dapat Digunakan",IF(AND(K42&lt;&gt;"",L42&lt;&gt;"",M42&lt;&gt;""),K42&amp;", "&amp;L42&amp;", "&amp;M42&amp;" Harus Diperbaiki",IF(OR(K42&lt;&gt;"",L42&lt;&gt;"",M42&lt;&gt;""),K42&amp;", "&amp;L42&amp;", "&amp;M42&amp;" Harus Diperbaiki",""))))</f>
        <v>#REF!</v>
      </c>
    </row>
    <row r="43" spans="1:14" ht="18" customHeight="1" x14ac:dyDescent="0.25">
      <c r="A43" s="33">
        <v>31</v>
      </c>
      <c r="B43" s="184">
        <f>Ins_PG!$AI$37</f>
        <v>100</v>
      </c>
      <c r="C43" s="185"/>
      <c r="D43" s="34" t="s">
        <v>161</v>
      </c>
      <c r="E43" s="35" t="str">
        <f>Ins_PG!$AI$35</f>
        <v>C4</v>
      </c>
      <c r="F43" s="35" t="str">
        <f t="shared" si="3"/>
        <v>Level 3</v>
      </c>
      <c r="G43" s="35" t="str">
        <f>Ins_PG!$AI$39</f>
        <v>Digunakan</v>
      </c>
      <c r="H43" s="36" t="str">
        <f>IF(G43="Ditolak","Soal No. 31 wajib diganti",IF(G43="Digunakan","Soal No. 31 wajib diujikan",IF(G43="Diperbaiki",J43,"")))</f>
        <v>Soal No. 31 wajib diujikan</v>
      </c>
      <c r="J43" s="38" t="str">
        <f>IF(Telaah_PG!$KW$6="","",Telaah_PG!$KW$6)</f>
        <v>Soal No. 31 perlu perbaikan pada aspek hal-hal penting,    HOTS</v>
      </c>
      <c r="K43" s="27" t="str">
        <f t="shared" si="0"/>
        <v/>
      </c>
      <c r="L43" s="37" t="str">
        <f t="shared" si="1"/>
        <v/>
      </c>
      <c r="M43" s="27" t="str">
        <f t="shared" si="2"/>
        <v/>
      </c>
      <c r="N43" s="27" t="e">
        <f>IF(B43="Ditolak","Soal Ditolak",IF(AND(#REF!="",K43="",L43="",M43="",HLOOKUP(A43,DataRek1,50,0)=100),"Soal Dapat Digunakan",IF(AND(K43&lt;&gt;"",L43&lt;&gt;"",M43&lt;&gt;""),K43&amp;", "&amp;L43&amp;", "&amp;M43&amp;" Harus Diperbaiki",IF(OR(K43&lt;&gt;"",L43&lt;&gt;"",M43&lt;&gt;""),K43&amp;", "&amp;L43&amp;", "&amp;M43&amp;" Harus Diperbaiki",""))))</f>
        <v>#REF!</v>
      </c>
    </row>
    <row r="44" spans="1:14" ht="18" customHeight="1" x14ac:dyDescent="0.25">
      <c r="A44" s="33">
        <v>32</v>
      </c>
      <c r="B44" s="184">
        <f>Ins_PG!$AJ$37</f>
        <v>100</v>
      </c>
      <c r="C44" s="185"/>
      <c r="D44" s="34" t="s">
        <v>161</v>
      </c>
      <c r="E44" s="35" t="str">
        <f>Ins_PG!$AJ$35</f>
        <v>C4</v>
      </c>
      <c r="F44" s="35" t="str">
        <f t="shared" si="3"/>
        <v>Level 3</v>
      </c>
      <c r="G44" s="35" t="str">
        <f>Ins_PG!$AJ$39</f>
        <v>Digunakan</v>
      </c>
      <c r="H44" s="36" t="str">
        <f>IF(G44="Ditolak","Soal No. 32 wajib diganti",IF(G44="Digunakan","Soal No. 32 wajib diujikan",IF(G44="Diperbaiki",J44,"")))</f>
        <v>Soal No. 32 wajib diujikan</v>
      </c>
      <c r="J44" s="38" t="str">
        <f>IF(Telaah_PG!$KX$6="","",Telaah_PG!$KX$6)</f>
        <v>Soal No. 32 perlu perbaikan pada aspek hal-hal penting,    HOTS</v>
      </c>
      <c r="K44" s="27" t="str">
        <f t="shared" si="0"/>
        <v/>
      </c>
      <c r="L44" s="37" t="str">
        <f t="shared" si="1"/>
        <v/>
      </c>
      <c r="M44" s="27" t="str">
        <f t="shared" si="2"/>
        <v/>
      </c>
      <c r="N44" s="27" t="e">
        <f>IF(B44="Ditolak","Soal Ditolak",IF(AND(#REF!="",K44="",L44="",M44="",HLOOKUP(A44,DataRek1,50,0)=100),"Soal Dapat Digunakan",IF(AND(K44&lt;&gt;"",L44&lt;&gt;"",M44&lt;&gt;""),K44&amp;", "&amp;L44&amp;", "&amp;M44&amp;" Harus Diperbaiki",IF(OR(K44&lt;&gt;"",L44&lt;&gt;"",M44&lt;&gt;""),K44&amp;", "&amp;L44&amp;", "&amp;M44&amp;" Harus Diperbaiki",""))))</f>
        <v>#REF!</v>
      </c>
    </row>
    <row r="45" spans="1:14" ht="18" customHeight="1" x14ac:dyDescent="0.25">
      <c r="A45" s="33">
        <v>33</v>
      </c>
      <c r="B45" s="184">
        <f>Ins_PG!$AK$37</f>
        <v>100</v>
      </c>
      <c r="C45" s="185"/>
      <c r="D45" s="34" t="s">
        <v>161</v>
      </c>
      <c r="E45" s="35" t="str">
        <f>Ins_PG!$AK$35</f>
        <v>C4</v>
      </c>
      <c r="F45" s="35" t="str">
        <f t="shared" si="3"/>
        <v>Level 3</v>
      </c>
      <c r="G45" s="35" t="str">
        <f>Ins_PG!$AK$39</f>
        <v>Digunakan</v>
      </c>
      <c r="H45" s="36" t="str">
        <f>IF(G45="Ditolak","Soal No. 33 wajib diganti",IF(G45="Digunakan","Soal No. 33 wajib diujikan",IF(G45="Diperbaiki",J45,"")))</f>
        <v>Soal No. 33 wajib diujikan</v>
      </c>
      <c r="J45" s="38" t="str">
        <f>IF(Telaah_PG!$KY$6="","",Telaah_PG!$KY$6)</f>
        <v>Soal No. 33 perlu perbaikan pada aspek hal-hal penting,    HOTS</v>
      </c>
      <c r="K45" s="27" t="str">
        <f t="shared" ref="K45:K52" si="4">IF(AND(B45="Diperbaiki",HLOOKUP(A45,DataRek1,67)=""),HLOOKUP(A45,DataRek1,78)&amp;", "&amp;HLOOKUP(A45,DataRek1,83)&amp;" Harus diperbaiki !",IF(B45="Diperbaiki",HLOOKUP(A45,DataRek1,67)&amp;", "&amp;HLOOKUP(A45,DataRek1,78)&amp;", "&amp;HLOOKUP(A45,DataRek1,83)&amp;" Harus diperbaiki !",""))</f>
        <v/>
      </c>
      <c r="L45" s="37" t="str">
        <f t="shared" ref="L45:L52" si="5">IF(AND(B45="Diperbaiki",OR(HLOOKUP(A45,DataKet3,6,0)&lt;2,HLOOKUP(A45,DataKet3,7,0)&lt;1,HLOOKUP(A45,DataKet3,8,0)&lt;1,HLOOKUP(A45,DataKet3,9,0)&lt;1,HLOOKUP(A45,DataKet3,10,0)&lt;1,HLOOKUP(A45,DataKet3,11,0)&lt;1,HLOOKUP(A45,DataKet3,12,0)&lt;1,HLOOKUP(A45,DataKet3,13,0)&lt;1,HLOOKUP(A45,DataKet3,14,0)&lt;2,HLOOKUP(A45,DataKet3,15,0)&lt;1)),"Konstruksi Soal (aspek 5,6,7,8,9,10,11,12,13 dan/atau 14) ","")</f>
        <v/>
      </c>
      <c r="M45" s="27" t="str">
        <f t="shared" ref="M45:M52" si="6">IF(AND(B45="Diperbaiki",OR(HLOOKUP(A45,DataKet3,16,0)&lt;&gt;1,HLOOKUP(A45,DataKet3,17,0)&lt;&gt;1,HLOOKUP(A45,DataKet3,18,0)&lt;&gt;1)),"Aspek Bahasa Soal (aspek 15,16,17 dan/atau 18) ","")</f>
        <v/>
      </c>
      <c r="N45" s="27" t="e">
        <f>IF(B45="Ditolak","Soal Ditolak",IF(AND(#REF!="",K45="",L45="",M45="",HLOOKUP(A45,DataRek1,50,0)=100),"Soal Dapat Digunakan",IF(AND(K45&lt;&gt;"",L45&lt;&gt;"",M45&lt;&gt;""),K45&amp;", "&amp;L45&amp;", "&amp;M45&amp;" Harus Diperbaiki",IF(OR(K45&lt;&gt;"",L45&lt;&gt;"",M45&lt;&gt;""),K45&amp;", "&amp;L45&amp;", "&amp;M45&amp;" Harus Diperbaiki",""))))</f>
        <v>#REF!</v>
      </c>
    </row>
    <row r="46" spans="1:14" ht="18" customHeight="1" x14ac:dyDescent="0.25">
      <c r="A46" s="33">
        <v>34</v>
      </c>
      <c r="B46" s="184">
        <f>Ins_PG!$AL$37</f>
        <v>100</v>
      </c>
      <c r="C46" s="185"/>
      <c r="D46" s="34" t="s">
        <v>161</v>
      </c>
      <c r="E46" s="35" t="str">
        <f>Ins_PG!$AL$35</f>
        <v>C4</v>
      </c>
      <c r="F46" s="35" t="str">
        <f t="shared" si="3"/>
        <v>Level 3</v>
      </c>
      <c r="G46" s="35" t="str">
        <f>Ins_PG!$AL$39</f>
        <v>Digunakan</v>
      </c>
      <c r="H46" s="36" t="str">
        <f>IF(G46="Ditolak","Soal No. 34 wajib diganti",IF(G46="Digunakan","Soal No. 34 wajib diujikan",IF(G46="Diperbaiki",J46,"")))</f>
        <v>Soal No. 34 wajib diujikan</v>
      </c>
      <c r="J46" s="38" t="str">
        <f>IF(Telaah_PG!$KZ$6="","",Telaah_PG!$KZ$6)</f>
        <v>Soal No. 34 perlu perbaikan pada aspek hal-hal penting,    HOTS</v>
      </c>
      <c r="K46" s="27" t="str">
        <f t="shared" si="4"/>
        <v/>
      </c>
      <c r="L46" s="37" t="str">
        <f t="shared" si="5"/>
        <v/>
      </c>
      <c r="M46" s="27" t="str">
        <f t="shared" si="6"/>
        <v/>
      </c>
      <c r="N46" s="27" t="e">
        <f>IF(B46="Ditolak","Soal Ditolak",IF(AND(#REF!="",K46="",L46="",M46="",HLOOKUP(A46,DataRek1,50,0)=100),"Soal Dapat Digunakan",IF(AND(K46&lt;&gt;"",L46&lt;&gt;"",M46&lt;&gt;""),K46&amp;", "&amp;L46&amp;", "&amp;M46&amp;" Harus Diperbaiki",IF(OR(K46&lt;&gt;"",L46&lt;&gt;"",M46&lt;&gt;""),K46&amp;", "&amp;L46&amp;", "&amp;M46&amp;" Harus Diperbaiki",""))))</f>
        <v>#REF!</v>
      </c>
    </row>
    <row r="47" spans="1:14" ht="18" customHeight="1" x14ac:dyDescent="0.25">
      <c r="A47" s="33">
        <v>35</v>
      </c>
      <c r="B47" s="184">
        <f>Ins_PG!$AM$37</f>
        <v>100</v>
      </c>
      <c r="C47" s="185"/>
      <c r="D47" s="34" t="s">
        <v>161</v>
      </c>
      <c r="E47" s="35" t="str">
        <f>Ins_PG!$AM$35</f>
        <v>C4</v>
      </c>
      <c r="F47" s="35" t="str">
        <f t="shared" si="3"/>
        <v>Level 3</v>
      </c>
      <c r="G47" s="35" t="str">
        <f>Ins_PG!$AM$39</f>
        <v>Digunakan</v>
      </c>
      <c r="H47" s="36" t="str">
        <f>IF(G47="Ditolak","Soal No. 35 wajib diganti",IF(G47="Digunakan","Soal No. 35 wajib diujikan",IF(G47="Diperbaiki",J47,"")))</f>
        <v>Soal No. 35 wajib diujikan</v>
      </c>
      <c r="J47" s="38" t="str">
        <f>IF(Telaah_PG!$LA$6="","",Telaah_PG!$LA$6)</f>
        <v>Soal No. 35 perlu perbaikan pada aspek hal-hal penting,    HOTS</v>
      </c>
      <c r="K47" s="27" t="str">
        <f t="shared" si="4"/>
        <v/>
      </c>
      <c r="L47" s="37" t="str">
        <f t="shared" si="5"/>
        <v/>
      </c>
      <c r="M47" s="27" t="str">
        <f t="shared" si="6"/>
        <v/>
      </c>
      <c r="N47" s="27" t="e">
        <f>IF(B47="Ditolak","Soal Ditolak",IF(AND(#REF!="",K47="",L47="",M47="",HLOOKUP(A47,DataRek1,50,0)=100),"Soal Dapat Digunakan",IF(AND(K47&lt;&gt;"",L47&lt;&gt;"",M47&lt;&gt;""),K47&amp;", "&amp;L47&amp;", "&amp;M47&amp;" Harus Diperbaiki",IF(OR(K47&lt;&gt;"",L47&lt;&gt;"",M47&lt;&gt;""),K47&amp;", "&amp;L47&amp;", "&amp;M47&amp;" Harus Diperbaiki",""))))</f>
        <v>#REF!</v>
      </c>
    </row>
    <row r="48" spans="1:14" ht="18" customHeight="1" x14ac:dyDescent="0.25">
      <c r="A48" s="33">
        <v>36</v>
      </c>
      <c r="B48" s="184">
        <f>Ins_PG!$AN$37</f>
        <v>100</v>
      </c>
      <c r="C48" s="185"/>
      <c r="D48" s="34" t="s">
        <v>161</v>
      </c>
      <c r="E48" s="35" t="str">
        <f>Ins_PG!$AN$35</f>
        <v>C2</v>
      </c>
      <c r="F48" s="35" t="str">
        <f t="shared" si="3"/>
        <v>Level 1</v>
      </c>
      <c r="G48" s="35" t="str">
        <f>Ins_PG!$AN$39</f>
        <v>Digunakan</v>
      </c>
      <c r="H48" s="36" t="str">
        <f>IF(G48="Ditolak","Soal No. 36 wajib diganti",IF(G48="Digunakan","Soal No. 36 wajib diujikan",IF(G48="Diperbaiki",J48,"")))</f>
        <v>Soal No. 36 wajib diujikan</v>
      </c>
      <c r="J48" s="38" t="str">
        <f>IF(Telaah_PG!$LB$6="","",Telaah_PG!$LB$6)</f>
        <v>Soal No. 36 perlu perbaikan pada aspek hal-hal penting,    HOTS</v>
      </c>
      <c r="K48" s="27" t="str">
        <f t="shared" si="4"/>
        <v/>
      </c>
      <c r="L48" s="37" t="str">
        <f t="shared" si="5"/>
        <v/>
      </c>
      <c r="M48" s="27" t="str">
        <f t="shared" si="6"/>
        <v/>
      </c>
      <c r="N48" s="27" t="e">
        <f>IF(B48="Ditolak","Soal Ditolak",IF(AND(#REF!="",K48="",L48="",M48="",HLOOKUP(A48,DataRek1,50,0)=100),"Soal Dapat Digunakan",IF(AND(K48&lt;&gt;"",L48&lt;&gt;"",M48&lt;&gt;""),K48&amp;", "&amp;L48&amp;", "&amp;M48&amp;" Harus Diperbaiki",IF(OR(K48&lt;&gt;"",L48&lt;&gt;"",M48&lt;&gt;""),K48&amp;", "&amp;L48&amp;", "&amp;M48&amp;" Harus Diperbaiki",""))))</f>
        <v>#REF!</v>
      </c>
    </row>
    <row r="49" spans="1:14" ht="18" customHeight="1" x14ac:dyDescent="0.25">
      <c r="A49" s="33">
        <v>37</v>
      </c>
      <c r="B49" s="184">
        <f>Ins_PG!$AO$37</f>
        <v>100</v>
      </c>
      <c r="C49" s="185"/>
      <c r="D49" s="34" t="s">
        <v>161</v>
      </c>
      <c r="E49" s="35" t="str">
        <f>Ins_PG!$AO$35</f>
        <v>C1</v>
      </c>
      <c r="F49" s="35" t="str">
        <f t="shared" si="3"/>
        <v>Level 1</v>
      </c>
      <c r="G49" s="35" t="str">
        <f>Ins_PG!$AO$39</f>
        <v>Digunakan</v>
      </c>
      <c r="H49" s="36" t="str">
        <f>IF(G49="Ditolak","Soal No. 37 wajib diganti",IF(G49="Digunakan","Soal No. 37 wajib diujikan",IF(G49="Diperbaiki",J49,"")))</f>
        <v>Soal No. 37 wajib diujikan</v>
      </c>
      <c r="J49" s="38" t="str">
        <f>IF(Telaah_PG!$LC$6="","",Telaah_PG!$LC$6)</f>
        <v>Soal No. 37 perlu perbaikan pada aspek hal-hal penting,    HOTS</v>
      </c>
      <c r="K49" s="27" t="str">
        <f t="shared" si="4"/>
        <v/>
      </c>
      <c r="L49" s="37" t="str">
        <f t="shared" si="5"/>
        <v/>
      </c>
      <c r="M49" s="27" t="str">
        <f t="shared" si="6"/>
        <v/>
      </c>
      <c r="N49" s="27" t="e">
        <f>IF(B49="Ditolak","Soal Ditolak",IF(AND(#REF!="",K49="",L49="",M49="",HLOOKUP(A49,DataRek1,50,0)=100),"Soal Dapat Digunakan",IF(AND(K49&lt;&gt;"",L49&lt;&gt;"",M49&lt;&gt;""),K49&amp;", "&amp;L49&amp;", "&amp;M49&amp;" Harus Diperbaiki",IF(OR(K49&lt;&gt;"",L49&lt;&gt;"",M49&lt;&gt;""),K49&amp;", "&amp;L49&amp;", "&amp;M49&amp;" Harus Diperbaiki",""))))</f>
        <v>#REF!</v>
      </c>
    </row>
    <row r="50" spans="1:14" ht="18" customHeight="1" x14ac:dyDescent="0.25">
      <c r="A50" s="33">
        <v>38</v>
      </c>
      <c r="B50" s="184">
        <f>Ins_PG!$AP$37</f>
        <v>100</v>
      </c>
      <c r="C50" s="185"/>
      <c r="D50" s="34" t="s">
        <v>161</v>
      </c>
      <c r="E50" s="35" t="str">
        <f>Ins_PG!$AP$35</f>
        <v>C1</v>
      </c>
      <c r="F50" s="35" t="str">
        <f t="shared" si="3"/>
        <v>Level 1</v>
      </c>
      <c r="G50" s="35" t="str">
        <f>Ins_PG!$AP$39</f>
        <v>Digunakan</v>
      </c>
      <c r="H50" s="36" t="str">
        <f>IF(G50="Ditolak","Soal No. 38 wajib diganti",IF(G50="Digunakan","Soal No. 38 wajib diujikan",IF(G50="Diperbaiki",J50,"")))</f>
        <v>Soal No. 38 wajib diujikan</v>
      </c>
      <c r="J50" s="64" t="str">
        <f>IF(Telaah_PG!$LD$6="","",Telaah_PG!$LD$6)</f>
        <v>Soal No. 38 perlu perbaikan pada aspek hal-hal penting,    HOTS</v>
      </c>
      <c r="K50" s="27" t="str">
        <f t="shared" si="4"/>
        <v/>
      </c>
      <c r="L50" s="37" t="str">
        <f t="shared" si="5"/>
        <v/>
      </c>
      <c r="M50" s="27" t="str">
        <f t="shared" si="6"/>
        <v/>
      </c>
      <c r="N50" s="27" t="e">
        <f>IF(B50="Ditolak","Soal Ditolak",IF(AND(#REF!="",K50="",L50="",M50="",HLOOKUP(A50,DataRek1,50,0)=100),"Soal Dapat Digunakan",IF(AND(K50&lt;&gt;"",L50&lt;&gt;"",M50&lt;&gt;""),K50&amp;", "&amp;L50&amp;", "&amp;M50&amp;" Harus Diperbaiki",IF(OR(K50&lt;&gt;"",L50&lt;&gt;"",M50&lt;&gt;""),K50&amp;", "&amp;L50&amp;", "&amp;M50&amp;" Harus Diperbaiki",""))))</f>
        <v>#REF!</v>
      </c>
    </row>
    <row r="51" spans="1:14" ht="18" customHeight="1" x14ac:dyDescent="0.25">
      <c r="A51" s="33">
        <v>39</v>
      </c>
      <c r="B51" s="184">
        <f>Ins_PG!$AQ$37</f>
        <v>100</v>
      </c>
      <c r="C51" s="185"/>
      <c r="D51" s="34" t="s">
        <v>161</v>
      </c>
      <c r="E51" s="35" t="str">
        <f>Ins_PG!$AQ$35</f>
        <v>C3</v>
      </c>
      <c r="F51" s="35" t="str">
        <f t="shared" si="3"/>
        <v>Level 2</v>
      </c>
      <c r="G51" s="35" t="str">
        <f>Ins_PG!$AQ$39</f>
        <v>Digunakan</v>
      </c>
      <c r="H51" s="36" t="str">
        <f>IF(G51="Ditolak","Soal No. 39 wajib diganti",IF(G51="Digunakan","Soal No. 39 wajib diujikan",IF(G51="Diperbaiki",J51,"")))</f>
        <v>Soal No. 39 wajib diujikan</v>
      </c>
      <c r="J51" s="38" t="str">
        <f>IF(Telaah_PG!$LE$6="","",Telaah_PG!$LE$6)</f>
        <v>Soal No. 39 perlu perbaikan pada aspek hal-hal penting,    HOTS</v>
      </c>
      <c r="K51" s="27" t="str">
        <f t="shared" si="4"/>
        <v/>
      </c>
      <c r="L51" s="37" t="str">
        <f t="shared" si="5"/>
        <v/>
      </c>
      <c r="M51" s="27" t="str">
        <f t="shared" si="6"/>
        <v/>
      </c>
      <c r="N51" s="27" t="e">
        <f>IF(B51="Ditolak","Soal Ditolak",IF(AND(#REF!="",K51="",L51="",M51="",HLOOKUP(A51,DataRek1,50,0)=100),"Soal Dapat Digunakan",IF(AND(K51&lt;&gt;"",L51&lt;&gt;"",M51&lt;&gt;""),K51&amp;", "&amp;L51&amp;", "&amp;M51&amp;" Harus Diperbaiki",IF(OR(K51&lt;&gt;"",L51&lt;&gt;"",M51&lt;&gt;""),K51&amp;", "&amp;L51&amp;", "&amp;M51&amp;" Harus Diperbaiki",""))))</f>
        <v>#REF!</v>
      </c>
    </row>
    <row r="52" spans="1:14" ht="18" customHeight="1" x14ac:dyDescent="0.25">
      <c r="A52" s="33">
        <v>40</v>
      </c>
      <c r="B52" s="184">
        <f>Ins_PG!$AR$37</f>
        <v>100</v>
      </c>
      <c r="C52" s="185"/>
      <c r="D52" s="34" t="s">
        <v>161</v>
      </c>
      <c r="E52" s="35" t="str">
        <f>Ins_PG!$AR$35</f>
        <v>C3</v>
      </c>
      <c r="F52" s="35" t="str">
        <f t="shared" si="3"/>
        <v>Level 2</v>
      </c>
      <c r="G52" s="35" t="str">
        <f>Ins_PG!$AR$39</f>
        <v>Digunakan</v>
      </c>
      <c r="H52" s="36" t="str">
        <f>IF(G52="Ditolak","Soal No. 40 wajib diganti",IF(G52="Digunakan","Soal No. 40 wajib diujikan",IF(G52="Diperbaiki",J52,"")))</f>
        <v>Soal No. 40 wajib diujikan</v>
      </c>
      <c r="J52" s="38" t="str">
        <f>IF(Telaah_PG!$LF$6="","",Telaah_PG!$LF$6)</f>
        <v>Soal No. 40 perlu perbaikan pada aspek hal-hal penting,    HOTS</v>
      </c>
      <c r="K52" s="27" t="str">
        <f t="shared" si="4"/>
        <v/>
      </c>
      <c r="L52" s="37" t="str">
        <f t="shared" si="5"/>
        <v/>
      </c>
      <c r="M52" s="27" t="str">
        <f t="shared" si="6"/>
        <v/>
      </c>
      <c r="N52" s="27" t="e">
        <f>IF(B52="Ditolak","Soal Ditolak",IF(AND(#REF!="",K52="",L52="",M52="",HLOOKUP(A52,DataRek1,50,0)=100),"Soal Dapat Digunakan",IF(AND(K52&lt;&gt;"",L52&lt;&gt;"",M52&lt;&gt;""),K52&amp;", "&amp;L52&amp;", "&amp;M52&amp;" Harus Diperbaiki",IF(OR(K52&lt;&gt;"",L52&lt;&gt;"",M52&lt;&gt;""),K52&amp;", "&amp;L52&amp;", "&amp;M52&amp;" Harus Diperbaiki",""))))</f>
        <v>#REF!</v>
      </c>
    </row>
    <row r="53" spans="1:14" ht="18" customHeight="1" x14ac:dyDescent="0.25">
      <c r="A53" s="98">
        <v>41</v>
      </c>
      <c r="B53" s="182">
        <f>Ins_PG!$AR$37</f>
        <v>100</v>
      </c>
      <c r="C53" s="183"/>
      <c r="D53" s="34" t="s">
        <v>161</v>
      </c>
      <c r="E53" s="35" t="str">
        <f>Ins_PG!$AS$35</f>
        <v/>
      </c>
      <c r="F53" s="35" t="str">
        <f t="shared" ref="F53:F56" si="7">IF(E53="","",IF(OR(E53="C1",E53="C2"),"Level 1",IF(E53="C3","Level 2",IF(OR(E53="C4",E53="C5",E53="C6"),"Level 3",""))))</f>
        <v/>
      </c>
      <c r="G53" s="35" t="str">
        <f>Ins_PG!$AS$39</f>
        <v/>
      </c>
      <c r="H53" s="63" t="str">
        <f>IF(G53="Ditolak","Soal No. 41 wajib diganti",IF(G53="Digunakan","Soal No. 41 wajib diujikan",IF(G53="Diperbaiki",J53,"")))</f>
        <v/>
      </c>
      <c r="J53" s="38" t="str">
        <f>IF(Telaah_PG!$LG$6="","",Telaah_PG!$LG$6)</f>
        <v xml:space="preserve">Soal No. 41 perlu perbaikan pada aspek     </v>
      </c>
    </row>
    <row r="54" spans="1:14" ht="18" customHeight="1" x14ac:dyDescent="0.25">
      <c r="A54" s="98">
        <v>42</v>
      </c>
      <c r="B54" s="182">
        <f>Ins_PG!$AR$37</f>
        <v>100</v>
      </c>
      <c r="C54" s="183"/>
      <c r="D54" s="34" t="s">
        <v>161</v>
      </c>
      <c r="E54" s="35" t="str">
        <f>Ins_PG!$AT$35</f>
        <v/>
      </c>
      <c r="F54" s="35" t="str">
        <f t="shared" si="7"/>
        <v/>
      </c>
      <c r="G54" s="35" t="str">
        <f>Ins_PG!$AT$39</f>
        <v/>
      </c>
      <c r="H54" s="63" t="str">
        <f>IF(G54="Ditolak","Soal No. 42 wajib diganti",IF(G54="Digunakan","Soal No. 42 wajib diujikan",IF(G54="Diperbaiki",J54,"")))</f>
        <v/>
      </c>
      <c r="J54" s="38" t="str">
        <f>IF(Telaah_PG!$LH$6="","",Telaah_PG!$LH$6)</f>
        <v xml:space="preserve">Soal No. 42 perlu perbaikan pada aspek     </v>
      </c>
    </row>
    <row r="55" spans="1:14" ht="18" customHeight="1" x14ac:dyDescent="0.25">
      <c r="A55" s="98">
        <v>43</v>
      </c>
      <c r="B55" s="182">
        <f>Ins_PG!$AR$37</f>
        <v>100</v>
      </c>
      <c r="C55" s="183"/>
      <c r="D55" s="34" t="s">
        <v>161</v>
      </c>
      <c r="E55" s="35" t="str">
        <f>Ins_PG!$AU$35</f>
        <v/>
      </c>
      <c r="F55" s="35" t="str">
        <f t="shared" si="7"/>
        <v/>
      </c>
      <c r="G55" s="35" t="str">
        <f>Ins_PG!$AU$39</f>
        <v/>
      </c>
      <c r="H55" s="63" t="str">
        <f>IF(G55="Ditolak","Soal No. 43 wajib diganti",IF(G55="Digunakan","Soal No. 43 wajib diujikan",IF(G55="Diperbaiki",J55,"")))</f>
        <v/>
      </c>
      <c r="J55" s="38" t="str">
        <f>IF(Telaah_PG!$LI$6="","",Telaah_PG!$LI$6)</f>
        <v xml:space="preserve">Soal No. 43 perlu perbaikan pada aspek     </v>
      </c>
    </row>
    <row r="56" spans="1:14" ht="18" customHeight="1" x14ac:dyDescent="0.25">
      <c r="A56" s="98">
        <v>44</v>
      </c>
      <c r="B56" s="182">
        <f>Ins_PG!$AR$37</f>
        <v>100</v>
      </c>
      <c r="C56" s="183"/>
      <c r="D56" s="34" t="s">
        <v>161</v>
      </c>
      <c r="E56" s="35" t="str">
        <f>Ins_PG!$AV$35</f>
        <v/>
      </c>
      <c r="F56" s="35" t="str">
        <f t="shared" si="7"/>
        <v/>
      </c>
      <c r="G56" s="35" t="str">
        <f>Ins_PG!$AV$39</f>
        <v/>
      </c>
      <c r="H56" s="63" t="str">
        <f>IF(G56="Ditolak","Soal No. 44 wajib diganti",IF(G56="Digunakan","Soal No. 44 wajib diujikan",IF(G56="Diperbaiki",J56,"")))</f>
        <v/>
      </c>
      <c r="J56" s="38" t="str">
        <f>IF(Telaah_PG!$LJ$6="","",Telaah_PG!$LJ$6)</f>
        <v xml:space="preserve">Soal No. 44 perlu perbaikan pada aspek     </v>
      </c>
    </row>
    <row r="57" spans="1:14" ht="18" customHeight="1" x14ac:dyDescent="0.25">
      <c r="A57" s="98">
        <v>45</v>
      </c>
      <c r="B57" s="182">
        <f>Ins_PG!$AR$37</f>
        <v>100</v>
      </c>
      <c r="C57" s="183"/>
      <c r="D57" s="34" t="s">
        <v>161</v>
      </c>
      <c r="E57" s="35" t="str">
        <f>Ins_PG!$AW$35</f>
        <v/>
      </c>
      <c r="F57" s="35" t="str">
        <f t="shared" ref="F57" si="8">IF(E57="","",IF(OR(E57="C1",E57="C2"),"Level 1",IF(E57="C3","Level 2",IF(OR(E57="C4",E57="C5",E57="C6"),"Level 3",""))))</f>
        <v/>
      </c>
      <c r="G57" s="35" t="str">
        <f>Ins_PG!$AW$39</f>
        <v/>
      </c>
      <c r="H57" s="63" t="str">
        <f>IF(G57="Ditolak","Soal No. 45 wajib diganti",IF(G57="Digunakan","Soal No. 45 wajib diujikan",IF(G57="Diperbaiki",J57,"")))</f>
        <v/>
      </c>
      <c r="J57" s="38" t="str">
        <f>IF(Telaah_PG!$LK$6="","",Telaah_PG!$LK$6)</f>
        <v xml:space="preserve">Soal No. 45 perlu perbaikan pada aspek     </v>
      </c>
    </row>
    <row r="60" spans="1:14" ht="15.75" x14ac:dyDescent="0.25">
      <c r="A60" s="2"/>
      <c r="B60" s="2"/>
      <c r="C60" s="2"/>
      <c r="D60" s="2"/>
      <c r="E60" s="2"/>
      <c r="F60" s="2"/>
      <c r="G60" s="2"/>
      <c r="H60" s="2" t="str">
        <f>Ins_PG!T41</f>
        <v>Wonogiri, 16 Maret 2021</v>
      </c>
    </row>
    <row r="61" spans="1:14" ht="15.75" x14ac:dyDescent="0.25">
      <c r="A61" s="2" t="s">
        <v>145</v>
      </c>
      <c r="B61" s="2"/>
      <c r="C61" s="2"/>
      <c r="D61" s="2"/>
      <c r="F61" s="2" t="s">
        <v>145</v>
      </c>
      <c r="H61" s="2" t="s">
        <v>90</v>
      </c>
    </row>
    <row r="62" spans="1:14" ht="15.75" x14ac:dyDescent="0.25">
      <c r="A62" s="2" t="s">
        <v>163</v>
      </c>
      <c r="B62" s="2"/>
      <c r="C62" s="2"/>
      <c r="D62" s="2"/>
      <c r="F62" s="2" t="s">
        <v>274</v>
      </c>
      <c r="H62" s="2"/>
    </row>
    <row r="63" spans="1:14" ht="15.75" x14ac:dyDescent="0.25">
      <c r="A63" s="2"/>
      <c r="B63" s="2"/>
      <c r="C63" s="2"/>
      <c r="D63" s="2"/>
      <c r="F63" s="2"/>
      <c r="H63" s="2"/>
    </row>
    <row r="64" spans="1:14" ht="15.75" x14ac:dyDescent="0.25">
      <c r="A64" s="2"/>
      <c r="B64" s="2"/>
      <c r="C64" s="2"/>
      <c r="D64" s="2"/>
      <c r="F64" s="2"/>
      <c r="H64" s="2"/>
    </row>
    <row r="65" spans="1:8" ht="15.75" x14ac:dyDescent="0.25">
      <c r="A65" s="2"/>
      <c r="B65" s="2"/>
      <c r="C65" s="2"/>
      <c r="D65" s="2"/>
      <c r="F65" s="2"/>
      <c r="H65" s="2"/>
    </row>
    <row r="66" spans="1:8" ht="15.75" x14ac:dyDescent="0.25">
      <c r="A66" s="108" t="str">
        <f>Ins_PG!B49</f>
        <v>Indah Darmawati, SE, M.Pd</v>
      </c>
      <c r="B66" s="2"/>
      <c r="C66" s="2"/>
      <c r="D66" s="2"/>
      <c r="F66" s="109" t="str">
        <f>Ins_PG!T49</f>
        <v>Bhekti Tulus Martani, S.Pd.</v>
      </c>
      <c r="H66" s="109" t="str">
        <f>Ins_PG!AH49</f>
        <v>Ade Setiyawan, S.Kom.</v>
      </c>
    </row>
    <row r="67" spans="1:8" ht="15.75" x14ac:dyDescent="0.25">
      <c r="A67" s="2" t="str">
        <f>Ins_PG!B50</f>
        <v>NIP 19770316 200701 2 002</v>
      </c>
      <c r="B67" s="2"/>
      <c r="C67" s="2"/>
      <c r="D67" s="2"/>
      <c r="F67" s="2" t="str">
        <f>Ins_PG!T50</f>
        <v>NIP -</v>
      </c>
      <c r="H67" s="2" t="str">
        <f>Ins_PG!AH50</f>
        <v>NIP -</v>
      </c>
    </row>
    <row r="68" spans="1:8" x14ac:dyDescent="0.25">
      <c r="H68" s="1"/>
    </row>
  </sheetData>
  <mergeCells count="53">
    <mergeCell ref="E11:F11"/>
    <mergeCell ref="B11:C12"/>
    <mergeCell ref="B47:C47"/>
    <mergeCell ref="B48:C48"/>
    <mergeCell ref="B49:C49"/>
    <mergeCell ref="B35:C35"/>
    <mergeCell ref="B36:C36"/>
    <mergeCell ref="B37:C37"/>
    <mergeCell ref="B38:C38"/>
    <mergeCell ref="B39:C39"/>
    <mergeCell ref="B40:C40"/>
    <mergeCell ref="B29:C29"/>
    <mergeCell ref="B30:C30"/>
    <mergeCell ref="B31:C31"/>
    <mergeCell ref="B32:C32"/>
    <mergeCell ref="B33:C33"/>
    <mergeCell ref="B50:C50"/>
    <mergeCell ref="B51:C51"/>
    <mergeCell ref="B52:C52"/>
    <mergeCell ref="B41:C41"/>
    <mergeCell ref="B42:C42"/>
    <mergeCell ref="B43:C43"/>
    <mergeCell ref="B44:C44"/>
    <mergeCell ref="B45:C45"/>
    <mergeCell ref="B46:C46"/>
    <mergeCell ref="B34:C34"/>
    <mergeCell ref="B23:C23"/>
    <mergeCell ref="B24:C24"/>
    <mergeCell ref="B25:C25"/>
    <mergeCell ref="B26:C26"/>
    <mergeCell ref="B27:C27"/>
    <mergeCell ref="B28:C28"/>
    <mergeCell ref="B22:C22"/>
    <mergeCell ref="A1:H1"/>
    <mergeCell ref="B13:C13"/>
    <mergeCell ref="B14:C14"/>
    <mergeCell ref="B15:C15"/>
    <mergeCell ref="B16:C16"/>
    <mergeCell ref="A11:A12"/>
    <mergeCell ref="G11:G12"/>
    <mergeCell ref="H11:H12"/>
    <mergeCell ref="A2:H2"/>
    <mergeCell ref="A3:H3"/>
    <mergeCell ref="B17:C17"/>
    <mergeCell ref="B18:C18"/>
    <mergeCell ref="B19:C19"/>
    <mergeCell ref="B20:C20"/>
    <mergeCell ref="B21:C21"/>
    <mergeCell ref="B53:C53"/>
    <mergeCell ref="B54:C54"/>
    <mergeCell ref="B55:C55"/>
    <mergeCell ref="B56:C56"/>
    <mergeCell ref="B57:C57"/>
  </mergeCells>
  <conditionalFormatting sqref="B13:C13">
    <cfRule type="cellIs" dxfId="3" priority="2" stopIfTrue="1" operator="equal">
      <formula>"Ditolak"</formula>
    </cfRule>
  </conditionalFormatting>
  <conditionalFormatting sqref="B14:C57">
    <cfRule type="cellIs" dxfId="2" priority="1" stopIfTrue="1" operator="equal">
      <formula>"Ditolak"</formula>
    </cfRule>
  </conditionalFormatting>
  <printOptions horizontalCentered="1"/>
  <pageMargins left="0.43307086614173229" right="0.23622047244094491" top="0.35433070866141736" bottom="0.27559055118110237" header="0.31496062992125984" footer="0.19685039370078741"/>
  <pageSetup paperSize="9" scale="90" orientation="landscape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WVQ43"/>
  <sheetViews>
    <sheetView showGridLines="0" zoomScale="70" zoomScaleNormal="70" workbookViewId="0">
      <selection activeCell="H41" sqref="H41"/>
    </sheetView>
  </sheetViews>
  <sheetFormatPr defaultColWidth="0" defaultRowHeight="15" x14ac:dyDescent="0.25"/>
  <cols>
    <col min="1" max="1" width="11.140625" style="1" customWidth="1"/>
    <col min="2" max="2" width="5.28515625" style="1" customWidth="1"/>
    <col min="3" max="3" width="8" style="1" customWidth="1"/>
    <col min="4" max="4" width="14.7109375" style="1" hidden="1" customWidth="1"/>
    <col min="5" max="6" width="15.5703125" style="1" customWidth="1"/>
    <col min="7" max="7" width="21.85546875" style="1" customWidth="1"/>
    <col min="8" max="8" width="64.7109375" style="29" customWidth="1"/>
    <col min="9" max="9" width="9.140625" style="28" customWidth="1"/>
    <col min="10" max="10" width="9.5703125" style="27" hidden="1" customWidth="1"/>
    <col min="11" max="11" width="107" style="27" customWidth="1"/>
    <col min="12" max="70" width="9.140625" style="27" customWidth="1"/>
    <col min="71" max="258" width="9.140625" style="28" customWidth="1"/>
    <col min="259" max="259" width="11.140625" style="28" customWidth="1"/>
    <col min="260" max="260" width="5.28515625" style="28" customWidth="1"/>
    <col min="261" max="261" width="8" style="28" customWidth="1"/>
    <col min="262" max="262" width="9.140625" style="28" hidden="1" customWidth="1"/>
    <col min="263" max="263" width="16.85546875" style="28" customWidth="1"/>
    <col min="264" max="264" width="83" style="28" customWidth="1"/>
    <col min="265" max="265" width="9.140625" style="28" customWidth="1"/>
    <col min="266" max="326" width="9.140625" style="28" hidden="1" customWidth="1"/>
    <col min="327" max="514" width="9.140625" style="28" hidden="1"/>
    <col min="515" max="515" width="11.140625" style="28" customWidth="1"/>
    <col min="516" max="516" width="5.28515625" style="28" customWidth="1"/>
    <col min="517" max="517" width="8" style="28" customWidth="1"/>
    <col min="518" max="518" width="9.140625" style="28" hidden="1" customWidth="1"/>
    <col min="519" max="519" width="16.85546875" style="28" customWidth="1"/>
    <col min="520" max="520" width="83" style="28" customWidth="1"/>
    <col min="521" max="521" width="9.140625" style="28" customWidth="1"/>
    <col min="522" max="582" width="9.140625" style="28" hidden="1" customWidth="1"/>
    <col min="583" max="770" width="9.140625" style="28" hidden="1"/>
    <col min="771" max="771" width="11.140625" style="28" customWidth="1"/>
    <col min="772" max="772" width="5.28515625" style="28" customWidth="1"/>
    <col min="773" max="773" width="8" style="28" customWidth="1"/>
    <col min="774" max="774" width="9.140625" style="28" hidden="1" customWidth="1"/>
    <col min="775" max="775" width="16.85546875" style="28" customWidth="1"/>
    <col min="776" max="776" width="83" style="28" customWidth="1"/>
    <col min="777" max="777" width="9.140625" style="28" customWidth="1"/>
    <col min="778" max="838" width="9.140625" style="28" hidden="1" customWidth="1"/>
    <col min="839" max="1026" width="9.140625" style="28" hidden="1"/>
    <col min="1027" max="1027" width="11.140625" style="28" customWidth="1"/>
    <col min="1028" max="1028" width="5.28515625" style="28" customWidth="1"/>
    <col min="1029" max="1029" width="8" style="28" customWidth="1"/>
    <col min="1030" max="1030" width="9.140625" style="28" hidden="1" customWidth="1"/>
    <col min="1031" max="1031" width="16.85546875" style="28" customWidth="1"/>
    <col min="1032" max="1032" width="83" style="28" customWidth="1"/>
    <col min="1033" max="1033" width="9.140625" style="28" customWidth="1"/>
    <col min="1034" max="1094" width="9.140625" style="28" hidden="1" customWidth="1"/>
    <col min="1095" max="1282" width="9.140625" style="28" hidden="1"/>
    <col min="1283" max="1283" width="11.140625" style="28" customWidth="1"/>
    <col min="1284" max="1284" width="5.28515625" style="28" customWidth="1"/>
    <col min="1285" max="1285" width="8" style="28" customWidth="1"/>
    <col min="1286" max="1286" width="9.140625" style="28" hidden="1" customWidth="1"/>
    <col min="1287" max="1287" width="16.85546875" style="28" customWidth="1"/>
    <col min="1288" max="1288" width="83" style="28" customWidth="1"/>
    <col min="1289" max="1289" width="9.140625" style="28" customWidth="1"/>
    <col min="1290" max="1350" width="9.140625" style="28" hidden="1" customWidth="1"/>
    <col min="1351" max="1538" width="9.140625" style="28" hidden="1"/>
    <col min="1539" max="1539" width="11.140625" style="28" customWidth="1"/>
    <col min="1540" max="1540" width="5.28515625" style="28" customWidth="1"/>
    <col min="1541" max="1541" width="8" style="28" customWidth="1"/>
    <col min="1542" max="1542" width="9.140625" style="28" hidden="1" customWidth="1"/>
    <col min="1543" max="1543" width="16.85546875" style="28" customWidth="1"/>
    <col min="1544" max="1544" width="83" style="28" customWidth="1"/>
    <col min="1545" max="1545" width="9.140625" style="28" customWidth="1"/>
    <col min="1546" max="1606" width="9.140625" style="28" hidden="1" customWidth="1"/>
    <col min="1607" max="1794" width="9.140625" style="28" hidden="1"/>
    <col min="1795" max="1795" width="11.140625" style="28" customWidth="1"/>
    <col min="1796" max="1796" width="5.28515625" style="28" customWidth="1"/>
    <col min="1797" max="1797" width="8" style="28" customWidth="1"/>
    <col min="1798" max="1798" width="9.140625" style="28" hidden="1" customWidth="1"/>
    <col min="1799" max="1799" width="16.85546875" style="28" customWidth="1"/>
    <col min="1800" max="1800" width="83" style="28" customWidth="1"/>
    <col min="1801" max="1801" width="9.140625" style="28" customWidth="1"/>
    <col min="1802" max="1862" width="9.140625" style="28" hidden="1" customWidth="1"/>
    <col min="1863" max="2050" width="9.140625" style="28" hidden="1"/>
    <col min="2051" max="2051" width="11.140625" style="28" customWidth="1"/>
    <col min="2052" max="2052" width="5.28515625" style="28" customWidth="1"/>
    <col min="2053" max="2053" width="8" style="28" customWidth="1"/>
    <col min="2054" max="2054" width="9.140625" style="28" hidden="1" customWidth="1"/>
    <col min="2055" max="2055" width="16.85546875" style="28" customWidth="1"/>
    <col min="2056" max="2056" width="83" style="28" customWidth="1"/>
    <col min="2057" max="2057" width="9.140625" style="28" customWidth="1"/>
    <col min="2058" max="2118" width="9.140625" style="28" hidden="1" customWidth="1"/>
    <col min="2119" max="2306" width="9.140625" style="28" hidden="1"/>
    <col min="2307" max="2307" width="11.140625" style="28" customWidth="1"/>
    <col min="2308" max="2308" width="5.28515625" style="28" customWidth="1"/>
    <col min="2309" max="2309" width="8" style="28" customWidth="1"/>
    <col min="2310" max="2310" width="9.140625" style="28" hidden="1" customWidth="1"/>
    <col min="2311" max="2311" width="16.85546875" style="28" customWidth="1"/>
    <col min="2312" max="2312" width="83" style="28" customWidth="1"/>
    <col min="2313" max="2313" width="9.140625" style="28" customWidth="1"/>
    <col min="2314" max="2374" width="9.140625" style="28" hidden="1" customWidth="1"/>
    <col min="2375" max="2562" width="9.140625" style="28" hidden="1"/>
    <col min="2563" max="2563" width="11.140625" style="28" customWidth="1"/>
    <col min="2564" max="2564" width="5.28515625" style="28" customWidth="1"/>
    <col min="2565" max="2565" width="8" style="28" customWidth="1"/>
    <col min="2566" max="2566" width="9.140625" style="28" hidden="1" customWidth="1"/>
    <col min="2567" max="2567" width="16.85546875" style="28" customWidth="1"/>
    <col min="2568" max="2568" width="83" style="28" customWidth="1"/>
    <col min="2569" max="2569" width="9.140625" style="28" customWidth="1"/>
    <col min="2570" max="2630" width="9.140625" style="28" hidden="1" customWidth="1"/>
    <col min="2631" max="2818" width="9.140625" style="28" hidden="1"/>
    <col min="2819" max="2819" width="11.140625" style="28" customWidth="1"/>
    <col min="2820" max="2820" width="5.28515625" style="28" customWidth="1"/>
    <col min="2821" max="2821" width="8" style="28" customWidth="1"/>
    <col min="2822" max="2822" width="9.140625" style="28" hidden="1" customWidth="1"/>
    <col min="2823" max="2823" width="16.85546875" style="28" customWidth="1"/>
    <col min="2824" max="2824" width="83" style="28" customWidth="1"/>
    <col min="2825" max="2825" width="9.140625" style="28" customWidth="1"/>
    <col min="2826" max="2886" width="9.140625" style="28" hidden="1" customWidth="1"/>
    <col min="2887" max="3074" width="9.140625" style="28" hidden="1"/>
    <col min="3075" max="3075" width="11.140625" style="28" customWidth="1"/>
    <col min="3076" max="3076" width="5.28515625" style="28" customWidth="1"/>
    <col min="3077" max="3077" width="8" style="28" customWidth="1"/>
    <col min="3078" max="3078" width="9.140625" style="28" hidden="1" customWidth="1"/>
    <col min="3079" max="3079" width="16.85546875" style="28" customWidth="1"/>
    <col min="3080" max="3080" width="83" style="28" customWidth="1"/>
    <col min="3081" max="3081" width="9.140625" style="28" customWidth="1"/>
    <col min="3082" max="3142" width="9.140625" style="28" hidden="1" customWidth="1"/>
    <col min="3143" max="3330" width="9.140625" style="28" hidden="1"/>
    <col min="3331" max="3331" width="11.140625" style="28" customWidth="1"/>
    <col min="3332" max="3332" width="5.28515625" style="28" customWidth="1"/>
    <col min="3333" max="3333" width="8" style="28" customWidth="1"/>
    <col min="3334" max="3334" width="9.140625" style="28" hidden="1" customWidth="1"/>
    <col min="3335" max="3335" width="16.85546875" style="28" customWidth="1"/>
    <col min="3336" max="3336" width="83" style="28" customWidth="1"/>
    <col min="3337" max="3337" width="9.140625" style="28" customWidth="1"/>
    <col min="3338" max="3398" width="9.140625" style="28" hidden="1" customWidth="1"/>
    <col min="3399" max="3586" width="9.140625" style="28" hidden="1"/>
    <col min="3587" max="3587" width="11.140625" style="28" customWidth="1"/>
    <col min="3588" max="3588" width="5.28515625" style="28" customWidth="1"/>
    <col min="3589" max="3589" width="8" style="28" customWidth="1"/>
    <col min="3590" max="3590" width="9.140625" style="28" hidden="1" customWidth="1"/>
    <col min="3591" max="3591" width="16.85546875" style="28" customWidth="1"/>
    <col min="3592" max="3592" width="83" style="28" customWidth="1"/>
    <col min="3593" max="3593" width="9.140625" style="28" customWidth="1"/>
    <col min="3594" max="3654" width="9.140625" style="28" hidden="1" customWidth="1"/>
    <col min="3655" max="3842" width="9.140625" style="28" hidden="1"/>
    <col min="3843" max="3843" width="11.140625" style="28" customWidth="1"/>
    <col min="3844" max="3844" width="5.28515625" style="28" customWidth="1"/>
    <col min="3845" max="3845" width="8" style="28" customWidth="1"/>
    <col min="3846" max="3846" width="9.140625" style="28" hidden="1" customWidth="1"/>
    <col min="3847" max="3847" width="16.85546875" style="28" customWidth="1"/>
    <col min="3848" max="3848" width="83" style="28" customWidth="1"/>
    <col min="3849" max="3849" width="9.140625" style="28" customWidth="1"/>
    <col min="3850" max="3910" width="9.140625" style="28" hidden="1" customWidth="1"/>
    <col min="3911" max="4098" width="9.140625" style="28" hidden="1"/>
    <col min="4099" max="4099" width="11.140625" style="28" customWidth="1"/>
    <col min="4100" max="4100" width="5.28515625" style="28" customWidth="1"/>
    <col min="4101" max="4101" width="8" style="28" customWidth="1"/>
    <col min="4102" max="4102" width="9.140625" style="28" hidden="1" customWidth="1"/>
    <col min="4103" max="4103" width="16.85546875" style="28" customWidth="1"/>
    <col min="4104" max="4104" width="83" style="28" customWidth="1"/>
    <col min="4105" max="4105" width="9.140625" style="28" customWidth="1"/>
    <col min="4106" max="4166" width="9.140625" style="28" hidden="1" customWidth="1"/>
    <col min="4167" max="4354" width="9.140625" style="28" hidden="1"/>
    <col min="4355" max="4355" width="11.140625" style="28" customWidth="1"/>
    <col min="4356" max="4356" width="5.28515625" style="28" customWidth="1"/>
    <col min="4357" max="4357" width="8" style="28" customWidth="1"/>
    <col min="4358" max="4358" width="9.140625" style="28" hidden="1" customWidth="1"/>
    <col min="4359" max="4359" width="16.85546875" style="28" customWidth="1"/>
    <col min="4360" max="4360" width="83" style="28" customWidth="1"/>
    <col min="4361" max="4361" width="9.140625" style="28" customWidth="1"/>
    <col min="4362" max="4422" width="9.140625" style="28" hidden="1" customWidth="1"/>
    <col min="4423" max="4610" width="9.140625" style="28" hidden="1"/>
    <col min="4611" max="4611" width="11.140625" style="28" customWidth="1"/>
    <col min="4612" max="4612" width="5.28515625" style="28" customWidth="1"/>
    <col min="4613" max="4613" width="8" style="28" customWidth="1"/>
    <col min="4614" max="4614" width="9.140625" style="28" hidden="1" customWidth="1"/>
    <col min="4615" max="4615" width="16.85546875" style="28" customWidth="1"/>
    <col min="4616" max="4616" width="83" style="28" customWidth="1"/>
    <col min="4617" max="4617" width="9.140625" style="28" customWidth="1"/>
    <col min="4618" max="4678" width="9.140625" style="28" hidden="1" customWidth="1"/>
    <col min="4679" max="4866" width="9.140625" style="28" hidden="1"/>
    <col min="4867" max="4867" width="11.140625" style="28" customWidth="1"/>
    <col min="4868" max="4868" width="5.28515625" style="28" customWidth="1"/>
    <col min="4869" max="4869" width="8" style="28" customWidth="1"/>
    <col min="4870" max="4870" width="9.140625" style="28" hidden="1" customWidth="1"/>
    <col min="4871" max="4871" width="16.85546875" style="28" customWidth="1"/>
    <col min="4872" max="4872" width="83" style="28" customWidth="1"/>
    <col min="4873" max="4873" width="9.140625" style="28" customWidth="1"/>
    <col min="4874" max="4934" width="9.140625" style="28" hidden="1" customWidth="1"/>
    <col min="4935" max="5122" width="9.140625" style="28" hidden="1"/>
    <col min="5123" max="5123" width="11.140625" style="28" customWidth="1"/>
    <col min="5124" max="5124" width="5.28515625" style="28" customWidth="1"/>
    <col min="5125" max="5125" width="8" style="28" customWidth="1"/>
    <col min="5126" max="5126" width="9.140625" style="28" hidden="1" customWidth="1"/>
    <col min="5127" max="5127" width="16.85546875" style="28" customWidth="1"/>
    <col min="5128" max="5128" width="83" style="28" customWidth="1"/>
    <col min="5129" max="5129" width="9.140625" style="28" customWidth="1"/>
    <col min="5130" max="5190" width="9.140625" style="28" hidden="1" customWidth="1"/>
    <col min="5191" max="5378" width="9.140625" style="28" hidden="1"/>
    <col min="5379" max="5379" width="11.140625" style="28" customWidth="1"/>
    <col min="5380" max="5380" width="5.28515625" style="28" customWidth="1"/>
    <col min="5381" max="5381" width="8" style="28" customWidth="1"/>
    <col min="5382" max="5382" width="9.140625" style="28" hidden="1" customWidth="1"/>
    <col min="5383" max="5383" width="16.85546875" style="28" customWidth="1"/>
    <col min="5384" max="5384" width="83" style="28" customWidth="1"/>
    <col min="5385" max="5385" width="9.140625" style="28" customWidth="1"/>
    <col min="5386" max="5446" width="9.140625" style="28" hidden="1" customWidth="1"/>
    <col min="5447" max="5634" width="9.140625" style="28" hidden="1"/>
    <col min="5635" max="5635" width="11.140625" style="28" customWidth="1"/>
    <col min="5636" max="5636" width="5.28515625" style="28" customWidth="1"/>
    <col min="5637" max="5637" width="8" style="28" customWidth="1"/>
    <col min="5638" max="5638" width="9.140625" style="28" hidden="1" customWidth="1"/>
    <col min="5639" max="5639" width="16.85546875" style="28" customWidth="1"/>
    <col min="5640" max="5640" width="83" style="28" customWidth="1"/>
    <col min="5641" max="5641" width="9.140625" style="28" customWidth="1"/>
    <col min="5642" max="5702" width="9.140625" style="28" hidden="1" customWidth="1"/>
    <col min="5703" max="5890" width="9.140625" style="28" hidden="1"/>
    <col min="5891" max="5891" width="11.140625" style="28" customWidth="1"/>
    <col min="5892" max="5892" width="5.28515625" style="28" customWidth="1"/>
    <col min="5893" max="5893" width="8" style="28" customWidth="1"/>
    <col min="5894" max="5894" width="9.140625" style="28" hidden="1" customWidth="1"/>
    <col min="5895" max="5895" width="16.85546875" style="28" customWidth="1"/>
    <col min="5896" max="5896" width="83" style="28" customWidth="1"/>
    <col min="5897" max="5897" width="9.140625" style="28" customWidth="1"/>
    <col min="5898" max="5958" width="9.140625" style="28" hidden="1" customWidth="1"/>
    <col min="5959" max="6146" width="9.140625" style="28" hidden="1"/>
    <col min="6147" max="6147" width="11.140625" style="28" customWidth="1"/>
    <col min="6148" max="6148" width="5.28515625" style="28" customWidth="1"/>
    <col min="6149" max="6149" width="8" style="28" customWidth="1"/>
    <col min="6150" max="6150" width="9.140625" style="28" hidden="1" customWidth="1"/>
    <col min="6151" max="6151" width="16.85546875" style="28" customWidth="1"/>
    <col min="6152" max="6152" width="83" style="28" customWidth="1"/>
    <col min="6153" max="6153" width="9.140625" style="28" customWidth="1"/>
    <col min="6154" max="6214" width="9.140625" style="28" hidden="1" customWidth="1"/>
    <col min="6215" max="6402" width="9.140625" style="28" hidden="1"/>
    <col min="6403" max="6403" width="11.140625" style="28" customWidth="1"/>
    <col min="6404" max="6404" width="5.28515625" style="28" customWidth="1"/>
    <col min="6405" max="6405" width="8" style="28" customWidth="1"/>
    <col min="6406" max="6406" width="9.140625" style="28" hidden="1" customWidth="1"/>
    <col min="6407" max="6407" width="16.85546875" style="28" customWidth="1"/>
    <col min="6408" max="6408" width="83" style="28" customWidth="1"/>
    <col min="6409" max="6409" width="9.140625" style="28" customWidth="1"/>
    <col min="6410" max="6470" width="9.140625" style="28" hidden="1" customWidth="1"/>
    <col min="6471" max="6658" width="9.140625" style="28" hidden="1"/>
    <col min="6659" max="6659" width="11.140625" style="28" customWidth="1"/>
    <col min="6660" max="6660" width="5.28515625" style="28" customWidth="1"/>
    <col min="6661" max="6661" width="8" style="28" customWidth="1"/>
    <col min="6662" max="6662" width="9.140625" style="28" hidden="1" customWidth="1"/>
    <col min="6663" max="6663" width="16.85546875" style="28" customWidth="1"/>
    <col min="6664" max="6664" width="83" style="28" customWidth="1"/>
    <col min="6665" max="6665" width="9.140625" style="28" customWidth="1"/>
    <col min="6666" max="6726" width="9.140625" style="28" hidden="1" customWidth="1"/>
    <col min="6727" max="6914" width="9.140625" style="28" hidden="1"/>
    <col min="6915" max="6915" width="11.140625" style="28" customWidth="1"/>
    <col min="6916" max="6916" width="5.28515625" style="28" customWidth="1"/>
    <col min="6917" max="6917" width="8" style="28" customWidth="1"/>
    <col min="6918" max="6918" width="9.140625" style="28" hidden="1" customWidth="1"/>
    <col min="6919" max="6919" width="16.85546875" style="28" customWidth="1"/>
    <col min="6920" max="6920" width="83" style="28" customWidth="1"/>
    <col min="6921" max="6921" width="9.140625" style="28" customWidth="1"/>
    <col min="6922" max="6982" width="9.140625" style="28" hidden="1" customWidth="1"/>
    <col min="6983" max="7170" width="9.140625" style="28" hidden="1"/>
    <col min="7171" max="7171" width="11.140625" style="28" customWidth="1"/>
    <col min="7172" max="7172" width="5.28515625" style="28" customWidth="1"/>
    <col min="7173" max="7173" width="8" style="28" customWidth="1"/>
    <col min="7174" max="7174" width="9.140625" style="28" hidden="1" customWidth="1"/>
    <col min="7175" max="7175" width="16.85546875" style="28" customWidth="1"/>
    <col min="7176" max="7176" width="83" style="28" customWidth="1"/>
    <col min="7177" max="7177" width="9.140625" style="28" customWidth="1"/>
    <col min="7178" max="7238" width="9.140625" style="28" hidden="1" customWidth="1"/>
    <col min="7239" max="7426" width="9.140625" style="28" hidden="1"/>
    <col min="7427" max="7427" width="11.140625" style="28" customWidth="1"/>
    <col min="7428" max="7428" width="5.28515625" style="28" customWidth="1"/>
    <col min="7429" max="7429" width="8" style="28" customWidth="1"/>
    <col min="7430" max="7430" width="9.140625" style="28" hidden="1" customWidth="1"/>
    <col min="7431" max="7431" width="16.85546875" style="28" customWidth="1"/>
    <col min="7432" max="7432" width="83" style="28" customWidth="1"/>
    <col min="7433" max="7433" width="9.140625" style="28" customWidth="1"/>
    <col min="7434" max="7494" width="9.140625" style="28" hidden="1" customWidth="1"/>
    <col min="7495" max="7682" width="9.140625" style="28" hidden="1"/>
    <col min="7683" max="7683" width="11.140625" style="28" customWidth="1"/>
    <col min="7684" max="7684" width="5.28515625" style="28" customWidth="1"/>
    <col min="7685" max="7685" width="8" style="28" customWidth="1"/>
    <col min="7686" max="7686" width="9.140625" style="28" hidden="1" customWidth="1"/>
    <col min="7687" max="7687" width="16.85546875" style="28" customWidth="1"/>
    <col min="7688" max="7688" width="83" style="28" customWidth="1"/>
    <col min="7689" max="7689" width="9.140625" style="28" customWidth="1"/>
    <col min="7690" max="7750" width="9.140625" style="28" hidden="1" customWidth="1"/>
    <col min="7751" max="7938" width="9.140625" style="28" hidden="1"/>
    <col min="7939" max="7939" width="11.140625" style="28" customWidth="1"/>
    <col min="7940" max="7940" width="5.28515625" style="28" customWidth="1"/>
    <col min="7941" max="7941" width="8" style="28" customWidth="1"/>
    <col min="7942" max="7942" width="9.140625" style="28" hidden="1" customWidth="1"/>
    <col min="7943" max="7943" width="16.85546875" style="28" customWidth="1"/>
    <col min="7944" max="7944" width="83" style="28" customWidth="1"/>
    <col min="7945" max="7945" width="9.140625" style="28" customWidth="1"/>
    <col min="7946" max="8006" width="9.140625" style="28" hidden="1" customWidth="1"/>
    <col min="8007" max="8194" width="9.140625" style="28" hidden="1"/>
    <col min="8195" max="8195" width="11.140625" style="28" customWidth="1"/>
    <col min="8196" max="8196" width="5.28515625" style="28" customWidth="1"/>
    <col min="8197" max="8197" width="8" style="28" customWidth="1"/>
    <col min="8198" max="8198" width="9.140625" style="28" hidden="1" customWidth="1"/>
    <col min="8199" max="8199" width="16.85546875" style="28" customWidth="1"/>
    <col min="8200" max="8200" width="83" style="28" customWidth="1"/>
    <col min="8201" max="8201" width="9.140625" style="28" customWidth="1"/>
    <col min="8202" max="8262" width="9.140625" style="28" hidden="1" customWidth="1"/>
    <col min="8263" max="8450" width="9.140625" style="28" hidden="1"/>
    <col min="8451" max="8451" width="11.140625" style="28" customWidth="1"/>
    <col min="8452" max="8452" width="5.28515625" style="28" customWidth="1"/>
    <col min="8453" max="8453" width="8" style="28" customWidth="1"/>
    <col min="8454" max="8454" width="9.140625" style="28" hidden="1" customWidth="1"/>
    <col min="8455" max="8455" width="16.85546875" style="28" customWidth="1"/>
    <col min="8456" max="8456" width="83" style="28" customWidth="1"/>
    <col min="8457" max="8457" width="9.140625" style="28" customWidth="1"/>
    <col min="8458" max="8518" width="9.140625" style="28" hidden="1" customWidth="1"/>
    <col min="8519" max="8706" width="9.140625" style="28" hidden="1"/>
    <col min="8707" max="8707" width="11.140625" style="28" customWidth="1"/>
    <col min="8708" max="8708" width="5.28515625" style="28" customWidth="1"/>
    <col min="8709" max="8709" width="8" style="28" customWidth="1"/>
    <col min="8710" max="8710" width="9.140625" style="28" hidden="1" customWidth="1"/>
    <col min="8711" max="8711" width="16.85546875" style="28" customWidth="1"/>
    <col min="8712" max="8712" width="83" style="28" customWidth="1"/>
    <col min="8713" max="8713" width="9.140625" style="28" customWidth="1"/>
    <col min="8714" max="8774" width="9.140625" style="28" hidden="1" customWidth="1"/>
    <col min="8775" max="8962" width="9.140625" style="28" hidden="1"/>
    <col min="8963" max="8963" width="11.140625" style="28" customWidth="1"/>
    <col min="8964" max="8964" width="5.28515625" style="28" customWidth="1"/>
    <col min="8965" max="8965" width="8" style="28" customWidth="1"/>
    <col min="8966" max="8966" width="9.140625" style="28" hidden="1" customWidth="1"/>
    <col min="8967" max="8967" width="16.85546875" style="28" customWidth="1"/>
    <col min="8968" max="8968" width="83" style="28" customWidth="1"/>
    <col min="8969" max="8969" width="9.140625" style="28" customWidth="1"/>
    <col min="8970" max="9030" width="9.140625" style="28" hidden="1" customWidth="1"/>
    <col min="9031" max="9218" width="9.140625" style="28" hidden="1"/>
    <col min="9219" max="9219" width="11.140625" style="28" customWidth="1"/>
    <col min="9220" max="9220" width="5.28515625" style="28" customWidth="1"/>
    <col min="9221" max="9221" width="8" style="28" customWidth="1"/>
    <col min="9222" max="9222" width="9.140625" style="28" hidden="1" customWidth="1"/>
    <col min="9223" max="9223" width="16.85546875" style="28" customWidth="1"/>
    <col min="9224" max="9224" width="83" style="28" customWidth="1"/>
    <col min="9225" max="9225" width="9.140625" style="28" customWidth="1"/>
    <col min="9226" max="9286" width="9.140625" style="28" hidden="1" customWidth="1"/>
    <col min="9287" max="9474" width="9.140625" style="28" hidden="1"/>
    <col min="9475" max="9475" width="11.140625" style="28" customWidth="1"/>
    <col min="9476" max="9476" width="5.28515625" style="28" customWidth="1"/>
    <col min="9477" max="9477" width="8" style="28" customWidth="1"/>
    <col min="9478" max="9478" width="9.140625" style="28" hidden="1" customWidth="1"/>
    <col min="9479" max="9479" width="16.85546875" style="28" customWidth="1"/>
    <col min="9480" max="9480" width="83" style="28" customWidth="1"/>
    <col min="9481" max="9481" width="9.140625" style="28" customWidth="1"/>
    <col min="9482" max="9542" width="9.140625" style="28" hidden="1" customWidth="1"/>
    <col min="9543" max="9730" width="9.140625" style="28" hidden="1"/>
    <col min="9731" max="9731" width="11.140625" style="28" customWidth="1"/>
    <col min="9732" max="9732" width="5.28515625" style="28" customWidth="1"/>
    <col min="9733" max="9733" width="8" style="28" customWidth="1"/>
    <col min="9734" max="9734" width="9.140625" style="28" hidden="1" customWidth="1"/>
    <col min="9735" max="9735" width="16.85546875" style="28" customWidth="1"/>
    <col min="9736" max="9736" width="83" style="28" customWidth="1"/>
    <col min="9737" max="9737" width="9.140625" style="28" customWidth="1"/>
    <col min="9738" max="9798" width="9.140625" style="28" hidden="1" customWidth="1"/>
    <col min="9799" max="9986" width="9.140625" style="28" hidden="1"/>
    <col min="9987" max="9987" width="11.140625" style="28" customWidth="1"/>
    <col min="9988" max="9988" width="5.28515625" style="28" customWidth="1"/>
    <col min="9989" max="9989" width="8" style="28" customWidth="1"/>
    <col min="9990" max="9990" width="9.140625" style="28" hidden="1" customWidth="1"/>
    <col min="9991" max="9991" width="16.85546875" style="28" customWidth="1"/>
    <col min="9992" max="9992" width="83" style="28" customWidth="1"/>
    <col min="9993" max="9993" width="9.140625" style="28" customWidth="1"/>
    <col min="9994" max="10054" width="9.140625" style="28" hidden="1" customWidth="1"/>
    <col min="10055" max="10242" width="9.140625" style="28" hidden="1"/>
    <col min="10243" max="10243" width="11.140625" style="28" customWidth="1"/>
    <col min="10244" max="10244" width="5.28515625" style="28" customWidth="1"/>
    <col min="10245" max="10245" width="8" style="28" customWidth="1"/>
    <col min="10246" max="10246" width="9.140625" style="28" hidden="1" customWidth="1"/>
    <col min="10247" max="10247" width="16.85546875" style="28" customWidth="1"/>
    <col min="10248" max="10248" width="83" style="28" customWidth="1"/>
    <col min="10249" max="10249" width="9.140625" style="28" customWidth="1"/>
    <col min="10250" max="10310" width="9.140625" style="28" hidden="1" customWidth="1"/>
    <col min="10311" max="10498" width="9.140625" style="28" hidden="1"/>
    <col min="10499" max="10499" width="11.140625" style="28" customWidth="1"/>
    <col min="10500" max="10500" width="5.28515625" style="28" customWidth="1"/>
    <col min="10501" max="10501" width="8" style="28" customWidth="1"/>
    <col min="10502" max="10502" width="9.140625" style="28" hidden="1" customWidth="1"/>
    <col min="10503" max="10503" width="16.85546875" style="28" customWidth="1"/>
    <col min="10504" max="10504" width="83" style="28" customWidth="1"/>
    <col min="10505" max="10505" width="9.140625" style="28" customWidth="1"/>
    <col min="10506" max="10566" width="9.140625" style="28" hidden="1" customWidth="1"/>
    <col min="10567" max="10754" width="9.140625" style="28" hidden="1"/>
    <col min="10755" max="10755" width="11.140625" style="28" customWidth="1"/>
    <col min="10756" max="10756" width="5.28515625" style="28" customWidth="1"/>
    <col min="10757" max="10757" width="8" style="28" customWidth="1"/>
    <col min="10758" max="10758" width="9.140625" style="28" hidden="1" customWidth="1"/>
    <col min="10759" max="10759" width="16.85546875" style="28" customWidth="1"/>
    <col min="10760" max="10760" width="83" style="28" customWidth="1"/>
    <col min="10761" max="10761" width="9.140625" style="28" customWidth="1"/>
    <col min="10762" max="10822" width="9.140625" style="28" hidden="1" customWidth="1"/>
    <col min="10823" max="11010" width="9.140625" style="28" hidden="1"/>
    <col min="11011" max="11011" width="11.140625" style="28" customWidth="1"/>
    <col min="11012" max="11012" width="5.28515625" style="28" customWidth="1"/>
    <col min="11013" max="11013" width="8" style="28" customWidth="1"/>
    <col min="11014" max="11014" width="9.140625" style="28" hidden="1" customWidth="1"/>
    <col min="11015" max="11015" width="16.85546875" style="28" customWidth="1"/>
    <col min="11016" max="11016" width="83" style="28" customWidth="1"/>
    <col min="11017" max="11017" width="9.140625" style="28" customWidth="1"/>
    <col min="11018" max="11078" width="9.140625" style="28" hidden="1" customWidth="1"/>
    <col min="11079" max="11266" width="9.140625" style="28" hidden="1"/>
    <col min="11267" max="11267" width="11.140625" style="28" customWidth="1"/>
    <col min="11268" max="11268" width="5.28515625" style="28" customWidth="1"/>
    <col min="11269" max="11269" width="8" style="28" customWidth="1"/>
    <col min="11270" max="11270" width="9.140625" style="28" hidden="1" customWidth="1"/>
    <col min="11271" max="11271" width="16.85546875" style="28" customWidth="1"/>
    <col min="11272" max="11272" width="83" style="28" customWidth="1"/>
    <col min="11273" max="11273" width="9.140625" style="28" customWidth="1"/>
    <col min="11274" max="11334" width="9.140625" style="28" hidden="1" customWidth="1"/>
    <col min="11335" max="11522" width="9.140625" style="28" hidden="1"/>
    <col min="11523" max="11523" width="11.140625" style="28" customWidth="1"/>
    <col min="11524" max="11524" width="5.28515625" style="28" customWidth="1"/>
    <col min="11525" max="11525" width="8" style="28" customWidth="1"/>
    <col min="11526" max="11526" width="9.140625" style="28" hidden="1" customWidth="1"/>
    <col min="11527" max="11527" width="16.85546875" style="28" customWidth="1"/>
    <col min="11528" max="11528" width="83" style="28" customWidth="1"/>
    <col min="11529" max="11529" width="9.140625" style="28" customWidth="1"/>
    <col min="11530" max="11590" width="9.140625" style="28" hidden="1" customWidth="1"/>
    <col min="11591" max="11778" width="9.140625" style="28" hidden="1"/>
    <col min="11779" max="11779" width="11.140625" style="28" customWidth="1"/>
    <col min="11780" max="11780" width="5.28515625" style="28" customWidth="1"/>
    <col min="11781" max="11781" width="8" style="28" customWidth="1"/>
    <col min="11782" max="11782" width="9.140625" style="28" hidden="1" customWidth="1"/>
    <col min="11783" max="11783" width="16.85546875" style="28" customWidth="1"/>
    <col min="11784" max="11784" width="83" style="28" customWidth="1"/>
    <col min="11785" max="11785" width="9.140625" style="28" customWidth="1"/>
    <col min="11786" max="11846" width="9.140625" style="28" hidden="1" customWidth="1"/>
    <col min="11847" max="12034" width="9.140625" style="28" hidden="1"/>
    <col min="12035" max="12035" width="11.140625" style="28" customWidth="1"/>
    <col min="12036" max="12036" width="5.28515625" style="28" customWidth="1"/>
    <col min="12037" max="12037" width="8" style="28" customWidth="1"/>
    <col min="12038" max="12038" width="9.140625" style="28" hidden="1" customWidth="1"/>
    <col min="12039" max="12039" width="16.85546875" style="28" customWidth="1"/>
    <col min="12040" max="12040" width="83" style="28" customWidth="1"/>
    <col min="12041" max="12041" width="9.140625" style="28" customWidth="1"/>
    <col min="12042" max="12102" width="9.140625" style="28" hidden="1" customWidth="1"/>
    <col min="12103" max="12290" width="9.140625" style="28" hidden="1"/>
    <col min="12291" max="12291" width="11.140625" style="28" customWidth="1"/>
    <col min="12292" max="12292" width="5.28515625" style="28" customWidth="1"/>
    <col min="12293" max="12293" width="8" style="28" customWidth="1"/>
    <col min="12294" max="12294" width="9.140625" style="28" hidden="1" customWidth="1"/>
    <col min="12295" max="12295" width="16.85546875" style="28" customWidth="1"/>
    <col min="12296" max="12296" width="83" style="28" customWidth="1"/>
    <col min="12297" max="12297" width="9.140625" style="28" customWidth="1"/>
    <col min="12298" max="12358" width="9.140625" style="28" hidden="1" customWidth="1"/>
    <col min="12359" max="12546" width="9.140625" style="28" hidden="1"/>
    <col min="12547" max="12547" width="11.140625" style="28" customWidth="1"/>
    <col min="12548" max="12548" width="5.28515625" style="28" customWidth="1"/>
    <col min="12549" max="12549" width="8" style="28" customWidth="1"/>
    <col min="12550" max="12550" width="9.140625" style="28" hidden="1" customWidth="1"/>
    <col min="12551" max="12551" width="16.85546875" style="28" customWidth="1"/>
    <col min="12552" max="12552" width="83" style="28" customWidth="1"/>
    <col min="12553" max="12553" width="9.140625" style="28" customWidth="1"/>
    <col min="12554" max="12614" width="9.140625" style="28" hidden="1" customWidth="1"/>
    <col min="12615" max="12802" width="9.140625" style="28" hidden="1"/>
    <col min="12803" max="12803" width="11.140625" style="28" customWidth="1"/>
    <col min="12804" max="12804" width="5.28515625" style="28" customWidth="1"/>
    <col min="12805" max="12805" width="8" style="28" customWidth="1"/>
    <col min="12806" max="12806" width="9.140625" style="28" hidden="1" customWidth="1"/>
    <col min="12807" max="12807" width="16.85546875" style="28" customWidth="1"/>
    <col min="12808" max="12808" width="83" style="28" customWidth="1"/>
    <col min="12809" max="12809" width="9.140625" style="28" customWidth="1"/>
    <col min="12810" max="12870" width="9.140625" style="28" hidden="1" customWidth="1"/>
    <col min="12871" max="13058" width="9.140625" style="28" hidden="1"/>
    <col min="13059" max="13059" width="11.140625" style="28" customWidth="1"/>
    <col min="13060" max="13060" width="5.28515625" style="28" customWidth="1"/>
    <col min="13061" max="13061" width="8" style="28" customWidth="1"/>
    <col min="13062" max="13062" width="9.140625" style="28" hidden="1" customWidth="1"/>
    <col min="13063" max="13063" width="16.85546875" style="28" customWidth="1"/>
    <col min="13064" max="13064" width="83" style="28" customWidth="1"/>
    <col min="13065" max="13065" width="9.140625" style="28" customWidth="1"/>
    <col min="13066" max="13126" width="9.140625" style="28" hidden="1" customWidth="1"/>
    <col min="13127" max="13314" width="9.140625" style="28" hidden="1"/>
    <col min="13315" max="13315" width="11.140625" style="28" customWidth="1"/>
    <col min="13316" max="13316" width="5.28515625" style="28" customWidth="1"/>
    <col min="13317" max="13317" width="8" style="28" customWidth="1"/>
    <col min="13318" max="13318" width="9.140625" style="28" hidden="1" customWidth="1"/>
    <col min="13319" max="13319" width="16.85546875" style="28" customWidth="1"/>
    <col min="13320" max="13320" width="83" style="28" customWidth="1"/>
    <col min="13321" max="13321" width="9.140625" style="28" customWidth="1"/>
    <col min="13322" max="13382" width="9.140625" style="28" hidden="1" customWidth="1"/>
    <col min="13383" max="13570" width="9.140625" style="28" hidden="1"/>
    <col min="13571" max="13571" width="11.140625" style="28" customWidth="1"/>
    <col min="13572" max="13572" width="5.28515625" style="28" customWidth="1"/>
    <col min="13573" max="13573" width="8" style="28" customWidth="1"/>
    <col min="13574" max="13574" width="9.140625" style="28" hidden="1" customWidth="1"/>
    <col min="13575" max="13575" width="16.85546875" style="28" customWidth="1"/>
    <col min="13576" max="13576" width="83" style="28" customWidth="1"/>
    <col min="13577" max="13577" width="9.140625" style="28" customWidth="1"/>
    <col min="13578" max="13638" width="9.140625" style="28" hidden="1" customWidth="1"/>
    <col min="13639" max="13826" width="9.140625" style="28" hidden="1"/>
    <col min="13827" max="13827" width="11.140625" style="28" customWidth="1"/>
    <col min="13828" max="13828" width="5.28515625" style="28" customWidth="1"/>
    <col min="13829" max="13829" width="8" style="28" customWidth="1"/>
    <col min="13830" max="13830" width="9.140625" style="28" hidden="1" customWidth="1"/>
    <col min="13831" max="13831" width="16.85546875" style="28" customWidth="1"/>
    <col min="13832" max="13832" width="83" style="28" customWidth="1"/>
    <col min="13833" max="13833" width="9.140625" style="28" customWidth="1"/>
    <col min="13834" max="13894" width="9.140625" style="28" hidden="1" customWidth="1"/>
    <col min="13895" max="14082" width="9.140625" style="28" hidden="1"/>
    <col min="14083" max="14083" width="11.140625" style="28" customWidth="1"/>
    <col min="14084" max="14084" width="5.28515625" style="28" customWidth="1"/>
    <col min="14085" max="14085" width="8" style="28" customWidth="1"/>
    <col min="14086" max="14086" width="9.140625" style="28" hidden="1" customWidth="1"/>
    <col min="14087" max="14087" width="16.85546875" style="28" customWidth="1"/>
    <col min="14088" max="14088" width="83" style="28" customWidth="1"/>
    <col min="14089" max="14089" width="9.140625" style="28" customWidth="1"/>
    <col min="14090" max="14150" width="9.140625" style="28" hidden="1" customWidth="1"/>
    <col min="14151" max="14338" width="9.140625" style="28" hidden="1"/>
    <col min="14339" max="14339" width="11.140625" style="28" customWidth="1"/>
    <col min="14340" max="14340" width="5.28515625" style="28" customWidth="1"/>
    <col min="14341" max="14341" width="8" style="28" customWidth="1"/>
    <col min="14342" max="14342" width="9.140625" style="28" hidden="1" customWidth="1"/>
    <col min="14343" max="14343" width="16.85546875" style="28" customWidth="1"/>
    <col min="14344" max="14344" width="83" style="28" customWidth="1"/>
    <col min="14345" max="14345" width="9.140625" style="28" customWidth="1"/>
    <col min="14346" max="14406" width="9.140625" style="28" hidden="1" customWidth="1"/>
    <col min="14407" max="14594" width="9.140625" style="28" hidden="1"/>
    <col min="14595" max="14595" width="11.140625" style="28" customWidth="1"/>
    <col min="14596" max="14596" width="5.28515625" style="28" customWidth="1"/>
    <col min="14597" max="14597" width="8" style="28" customWidth="1"/>
    <col min="14598" max="14598" width="9.140625" style="28" hidden="1" customWidth="1"/>
    <col min="14599" max="14599" width="16.85546875" style="28" customWidth="1"/>
    <col min="14600" max="14600" width="83" style="28" customWidth="1"/>
    <col min="14601" max="14601" width="9.140625" style="28" customWidth="1"/>
    <col min="14602" max="14662" width="9.140625" style="28" hidden="1" customWidth="1"/>
    <col min="14663" max="14850" width="9.140625" style="28" hidden="1"/>
    <col min="14851" max="14851" width="11.140625" style="28" customWidth="1"/>
    <col min="14852" max="14852" width="5.28515625" style="28" customWidth="1"/>
    <col min="14853" max="14853" width="8" style="28" customWidth="1"/>
    <col min="14854" max="14854" width="9.140625" style="28" hidden="1" customWidth="1"/>
    <col min="14855" max="14855" width="16.85546875" style="28" customWidth="1"/>
    <col min="14856" max="14856" width="83" style="28" customWidth="1"/>
    <col min="14857" max="14857" width="9.140625" style="28" customWidth="1"/>
    <col min="14858" max="14918" width="9.140625" style="28" hidden="1" customWidth="1"/>
    <col min="14919" max="15106" width="9.140625" style="28" hidden="1"/>
    <col min="15107" max="15107" width="11.140625" style="28" customWidth="1"/>
    <col min="15108" max="15108" width="5.28515625" style="28" customWidth="1"/>
    <col min="15109" max="15109" width="8" style="28" customWidth="1"/>
    <col min="15110" max="15110" width="9.140625" style="28" hidden="1" customWidth="1"/>
    <col min="15111" max="15111" width="16.85546875" style="28" customWidth="1"/>
    <col min="15112" max="15112" width="83" style="28" customWidth="1"/>
    <col min="15113" max="15113" width="9.140625" style="28" customWidth="1"/>
    <col min="15114" max="15174" width="9.140625" style="28" hidden="1" customWidth="1"/>
    <col min="15175" max="15362" width="9.140625" style="28" hidden="1"/>
    <col min="15363" max="15363" width="11.140625" style="28" customWidth="1"/>
    <col min="15364" max="15364" width="5.28515625" style="28" customWidth="1"/>
    <col min="15365" max="15365" width="8" style="28" customWidth="1"/>
    <col min="15366" max="15366" width="9.140625" style="28" hidden="1" customWidth="1"/>
    <col min="15367" max="15367" width="16.85546875" style="28" customWidth="1"/>
    <col min="15368" max="15368" width="83" style="28" customWidth="1"/>
    <col min="15369" max="15369" width="9.140625" style="28" customWidth="1"/>
    <col min="15370" max="15430" width="9.140625" style="28" hidden="1" customWidth="1"/>
    <col min="15431" max="15618" width="9.140625" style="28" hidden="1"/>
    <col min="15619" max="15619" width="11.140625" style="28" customWidth="1"/>
    <col min="15620" max="15620" width="5.28515625" style="28" customWidth="1"/>
    <col min="15621" max="15621" width="8" style="28" customWidth="1"/>
    <col min="15622" max="15622" width="9.140625" style="28" hidden="1" customWidth="1"/>
    <col min="15623" max="15623" width="16.85546875" style="28" customWidth="1"/>
    <col min="15624" max="15624" width="83" style="28" customWidth="1"/>
    <col min="15625" max="15625" width="9.140625" style="28" customWidth="1"/>
    <col min="15626" max="15686" width="9.140625" style="28" hidden="1" customWidth="1"/>
    <col min="15687" max="15874" width="9.140625" style="28" hidden="1"/>
    <col min="15875" max="15875" width="11.140625" style="28" customWidth="1"/>
    <col min="15876" max="15876" width="5.28515625" style="28" customWidth="1"/>
    <col min="15877" max="15877" width="8" style="28" customWidth="1"/>
    <col min="15878" max="15878" width="9.140625" style="28" hidden="1" customWidth="1"/>
    <col min="15879" max="15879" width="16.85546875" style="28" customWidth="1"/>
    <col min="15880" max="15880" width="83" style="28" customWidth="1"/>
    <col min="15881" max="15881" width="9.140625" style="28" customWidth="1"/>
    <col min="15882" max="15942" width="9.140625" style="28" hidden="1" customWidth="1"/>
    <col min="15943" max="16130" width="9.140625" style="28" hidden="1"/>
    <col min="16131" max="16131" width="11.140625" style="28" customWidth="1"/>
    <col min="16132" max="16132" width="5.28515625" style="28" customWidth="1"/>
    <col min="16133" max="16133" width="8" style="28" customWidth="1"/>
    <col min="16134" max="16134" width="9.140625" style="28" hidden="1" customWidth="1"/>
    <col min="16135" max="16135" width="16.85546875" style="28" customWidth="1"/>
    <col min="16136" max="16136" width="83" style="28" customWidth="1"/>
    <col min="16137" max="16137" width="9.140625" style="28" customWidth="1"/>
    <col min="16138" max="16198" width="9.140625" style="28" hidden="1" customWidth="1"/>
    <col min="16199" max="16384" width="9.140625" style="28" hidden="1"/>
  </cols>
  <sheetData>
    <row r="1" spans="1:69" ht="19.5" x14ac:dyDescent="0.3">
      <c r="A1" s="186" t="s">
        <v>252</v>
      </c>
      <c r="B1" s="186"/>
      <c r="C1" s="186"/>
      <c r="D1" s="186"/>
      <c r="E1" s="186"/>
      <c r="F1" s="186"/>
      <c r="G1" s="186"/>
      <c r="H1" s="186"/>
      <c r="I1" s="25"/>
      <c r="J1" s="26"/>
      <c r="K1" s="26"/>
      <c r="L1" s="26"/>
      <c r="M1" s="26"/>
    </row>
    <row r="2" spans="1:69" ht="19.5" x14ac:dyDescent="0.3">
      <c r="A2" s="186" t="s">
        <v>281</v>
      </c>
      <c r="B2" s="186"/>
      <c r="C2" s="186"/>
      <c r="D2" s="186"/>
      <c r="E2" s="186"/>
      <c r="F2" s="186"/>
      <c r="G2" s="186"/>
      <c r="H2" s="186"/>
      <c r="I2" s="25"/>
      <c r="J2" s="26"/>
      <c r="K2" s="26"/>
      <c r="L2" s="26"/>
      <c r="M2" s="26"/>
    </row>
    <row r="3" spans="1:69" ht="19.5" x14ac:dyDescent="0.3">
      <c r="A3" s="186" t="str">
        <f>CONCATENATE("TAHUN PELAJARAN"," ",Biodata!C15)</f>
        <v>TAHUN PELAJARAN 2020/2021</v>
      </c>
      <c r="B3" s="186"/>
      <c r="C3" s="186"/>
      <c r="D3" s="186"/>
      <c r="E3" s="186"/>
      <c r="F3" s="186"/>
      <c r="G3" s="186"/>
      <c r="H3" s="186"/>
      <c r="I3" s="25"/>
      <c r="J3" s="26"/>
      <c r="K3" s="26"/>
      <c r="L3" s="26"/>
      <c r="M3" s="26"/>
    </row>
    <row r="5" spans="1:69" ht="15.75" x14ac:dyDescent="0.25">
      <c r="A5" s="2" t="s">
        <v>184</v>
      </c>
      <c r="B5" s="2"/>
      <c r="C5" s="2"/>
      <c r="D5" s="2"/>
      <c r="E5" s="2"/>
      <c r="F5" s="69" t="str">
        <f>CONCATENATE(":"," ",Biodata!C4)</f>
        <v>: SMK NEGERI 1 JATIROTO</v>
      </c>
    </row>
    <row r="6" spans="1:69" ht="15.75" x14ac:dyDescent="0.25">
      <c r="A6" s="2" t="s">
        <v>69</v>
      </c>
      <c r="B6" s="2"/>
      <c r="C6" s="2"/>
      <c r="D6" s="2"/>
      <c r="E6" s="46"/>
      <c r="F6" s="69" t="str">
        <f>CONCATENATE(":"," ",Biodata!C6)</f>
        <v>: Bahasa Inggris</v>
      </c>
    </row>
    <row r="7" spans="1:69" ht="15.75" x14ac:dyDescent="0.25">
      <c r="A7" s="2" t="s">
        <v>157</v>
      </c>
      <c r="B7" s="2"/>
      <c r="C7" s="2"/>
      <c r="D7" s="2"/>
      <c r="E7" s="46"/>
      <c r="F7" s="69" t="str">
        <f>CONCATENATE(":"," ",Biodata!C13," ","butir")</f>
        <v>: 5 butir</v>
      </c>
    </row>
    <row r="8" spans="1:69" ht="15.75" x14ac:dyDescent="0.25">
      <c r="A8" s="2" t="s">
        <v>194</v>
      </c>
      <c r="B8" s="2"/>
      <c r="C8" s="2"/>
      <c r="D8" s="2"/>
      <c r="E8" s="46"/>
      <c r="F8" s="69" t="str">
        <f>CONCATENATE(":"," ",Biodata!C10)</f>
        <v>: Bhekti Tulus Martani, S.Pd.</v>
      </c>
    </row>
    <row r="9" spans="1:69" ht="15.75" x14ac:dyDescent="0.25">
      <c r="A9" s="2" t="s">
        <v>158</v>
      </c>
      <c r="B9" s="2"/>
      <c r="C9" s="2"/>
      <c r="D9" s="2"/>
      <c r="E9" s="46"/>
      <c r="F9" s="69" t="str">
        <f>CONCATENATE(":"," ",Biodata!C11)</f>
        <v>: Ade Setiyawan, S.Kom.</v>
      </c>
    </row>
    <row r="11" spans="1:69" ht="25.15" customHeight="1" x14ac:dyDescent="0.25">
      <c r="A11" s="187" t="s">
        <v>159</v>
      </c>
      <c r="B11" s="193" t="s">
        <v>154</v>
      </c>
      <c r="C11" s="194"/>
      <c r="D11" s="30" t="s">
        <v>149</v>
      </c>
      <c r="E11" s="191" t="s">
        <v>171</v>
      </c>
      <c r="F11" s="192"/>
      <c r="G11" s="187" t="s">
        <v>160</v>
      </c>
      <c r="H11" s="189" t="s">
        <v>206</v>
      </c>
      <c r="I11" s="32"/>
      <c r="J11" s="27">
        <v>1</v>
      </c>
      <c r="K11" s="27">
        <v>2</v>
      </c>
      <c r="L11" s="27">
        <v>3</v>
      </c>
      <c r="M11" s="27">
        <v>4</v>
      </c>
      <c r="S11" s="27">
        <v>1</v>
      </c>
      <c r="T11" s="27">
        <v>1</v>
      </c>
      <c r="U11" s="27">
        <v>2</v>
      </c>
      <c r="V11" s="27">
        <v>3</v>
      </c>
      <c r="W11" s="27">
        <v>4</v>
      </c>
      <c r="X11" s="27">
        <v>5</v>
      </c>
      <c r="Y11" s="27">
        <v>6</v>
      </c>
      <c r="Z11" s="27">
        <v>7</v>
      </c>
      <c r="AA11" s="27">
        <v>8</v>
      </c>
      <c r="AB11" s="27">
        <v>9</v>
      </c>
      <c r="AC11" s="27">
        <v>10</v>
      </c>
      <c r="AD11" s="27">
        <v>11</v>
      </c>
      <c r="AE11" s="27">
        <v>12</v>
      </c>
      <c r="AF11" s="27">
        <v>13</v>
      </c>
      <c r="AG11" s="27">
        <v>14</v>
      </c>
      <c r="AH11" s="27">
        <v>15</v>
      </c>
      <c r="AI11" s="27">
        <v>16</v>
      </c>
      <c r="AJ11" s="27">
        <v>17</v>
      </c>
      <c r="AK11" s="27">
        <v>18</v>
      </c>
      <c r="AL11" s="27">
        <v>19</v>
      </c>
      <c r="AM11" s="27">
        <v>20</v>
      </c>
      <c r="AN11" s="27">
        <v>21</v>
      </c>
      <c r="AO11" s="27">
        <v>22</v>
      </c>
      <c r="AP11" s="27">
        <v>23</v>
      </c>
      <c r="AQ11" s="27">
        <v>24</v>
      </c>
      <c r="AR11" s="27">
        <v>25</v>
      </c>
      <c r="AS11" s="27">
        <v>26</v>
      </c>
      <c r="AT11" s="27">
        <v>27</v>
      </c>
      <c r="AU11" s="27">
        <v>28</v>
      </c>
      <c r="AV11" s="27">
        <v>29</v>
      </c>
      <c r="AW11" s="27">
        <v>30</v>
      </c>
      <c r="AX11" s="27">
        <v>31</v>
      </c>
      <c r="AY11" s="27">
        <v>32</v>
      </c>
      <c r="AZ11" s="27">
        <v>33</v>
      </c>
      <c r="BA11" s="27">
        <v>34</v>
      </c>
      <c r="BB11" s="27">
        <v>35</v>
      </c>
      <c r="BC11" s="27">
        <v>36</v>
      </c>
      <c r="BD11" s="27">
        <v>37</v>
      </c>
      <c r="BE11" s="27">
        <v>38</v>
      </c>
      <c r="BF11" s="27">
        <v>39</v>
      </c>
      <c r="BG11" s="27">
        <v>40</v>
      </c>
      <c r="BH11" s="27">
        <v>41</v>
      </c>
      <c r="BI11" s="27">
        <v>42</v>
      </c>
      <c r="BJ11" s="27">
        <v>43</v>
      </c>
      <c r="BK11" s="27">
        <v>44</v>
      </c>
      <c r="BL11" s="27">
        <v>45</v>
      </c>
      <c r="BM11" s="27">
        <v>46</v>
      </c>
      <c r="BN11" s="27">
        <v>47</v>
      </c>
      <c r="BO11" s="27">
        <v>48</v>
      </c>
      <c r="BP11" s="27">
        <v>49</v>
      </c>
      <c r="BQ11" s="27">
        <v>50</v>
      </c>
    </row>
    <row r="12" spans="1:69" ht="33" customHeight="1" x14ac:dyDescent="0.25">
      <c r="A12" s="188"/>
      <c r="B12" s="195"/>
      <c r="C12" s="196"/>
      <c r="D12" s="30"/>
      <c r="E12" s="31" t="s">
        <v>172</v>
      </c>
      <c r="F12" s="31" t="s">
        <v>173</v>
      </c>
      <c r="G12" s="188"/>
      <c r="H12" s="190"/>
      <c r="I12" s="32"/>
    </row>
    <row r="13" spans="1:69" ht="18" customHeight="1" x14ac:dyDescent="0.25">
      <c r="A13" s="66">
        <v>1</v>
      </c>
      <c r="B13" s="184">
        <f>Ins_UR!$E$35</f>
        <v>100</v>
      </c>
      <c r="C13" s="185"/>
      <c r="D13" s="34" t="s">
        <v>161</v>
      </c>
      <c r="E13" s="35" t="str">
        <f>Ins_UR!$E$33</f>
        <v>C6</v>
      </c>
      <c r="F13" s="35" t="str">
        <f>IF(E13="","",IF(OR(E13="C1",E13="C2"),"Level 1",IF(E13="C3","Level 2",IF(OR(E13="C4",E13="C5",E13="C6"),"Level 3",""))))</f>
        <v>Level 3</v>
      </c>
      <c r="G13" s="35" t="str">
        <f>Ins_UR!$E$37</f>
        <v>Digunakan</v>
      </c>
      <c r="H13" s="36" t="str">
        <f>IF(G13="Ditolak","Soal No. 1 wajib diganti",IF(G13="Digunakan","Soal No. 1 wajib diujikan",IF(G13="Diperbaiki",J13,"")))</f>
        <v>Soal No. 1 wajib diujikan</v>
      </c>
      <c r="J13" s="64" t="str">
        <f>IF(Telaah_UR!$DY$6="","",Telaah_UR!$DY$6)</f>
        <v>Soal No. 1 perlu perbaikan pada aspek     HOTS</v>
      </c>
      <c r="K13" s="27" t="str">
        <f t="shared" ref="K13:K32" si="0">IF(AND(B13="Diperbaiki",HLOOKUP(A13,DataRek1,67)=""),HLOOKUP(A13,DataRek1,78)&amp;", "&amp;HLOOKUP(A13,DataRek1,83)&amp;" Harus diperbaiki !",IF(B13="Diperbaiki",HLOOKUP(A13,DataRek1,67)&amp;", "&amp;HLOOKUP(A13,DataRek1,78)&amp;", "&amp;HLOOKUP(A13,DataRek1,83)&amp;" Harus diperbaiki !",""))</f>
        <v/>
      </c>
      <c r="L13" s="37" t="str">
        <f t="shared" ref="L13:L32" si="1">IF(AND(B13="Diperbaiki",OR(HLOOKUP(A13,DataKet3,6,0)&lt;2,HLOOKUP(A13,DataKet3,7,0)&lt;1,HLOOKUP(A13,DataKet3,8,0)&lt;1,HLOOKUP(A13,DataKet3,9,0)&lt;1,HLOOKUP(A13,DataKet3,10,0)&lt;1,HLOOKUP(A13,DataKet3,11,0)&lt;1,HLOOKUP(A13,DataKet3,12,0)&lt;1,HLOOKUP(A13,DataKet3,13,0)&lt;1,HLOOKUP(A13,DataKet3,14,0)&lt;2,HLOOKUP(A13,DataKet3,15,0)&lt;1)),"Konstruksi Soal (aspek 5,6,7,8,9,10,11,12,13 dan/atau 14) ","")</f>
        <v/>
      </c>
      <c r="M13" s="27" t="str">
        <f t="shared" ref="M13:M32" si="2">IF(AND(B13="Diperbaiki",OR(HLOOKUP(A13,DataKet3,16,0)&lt;&gt;1,HLOOKUP(A13,DataKet3,17,0)&lt;&gt;1,HLOOKUP(A13,DataKet3,18,0)&lt;&gt;1)),"Aspek Bahasa Soal (aspek 15,16,17 dan/atau 18) ","")</f>
        <v/>
      </c>
      <c r="N13" s="27" t="e">
        <f>IF(B13="Ditolak","Soal Ditolak",IF(AND(#REF!="",K13="",L13="",M13="",HLOOKUP(A13,DataRek1,50,0)=100),"Soal Dapat Digunakan",IF(AND(K13&lt;&gt;"",L13&lt;&gt;"",M13&lt;&gt;""),K13&amp;", "&amp;L13&amp;", "&amp;M13&amp;" Harus Diperbaiki",IF(OR(K13&lt;&gt;"",L13&lt;&gt;"",M13&lt;&gt;""),K13&amp;", "&amp;L13&amp;", "&amp;M13&amp;" Harus Diperbaiki",""))))</f>
        <v>#REF!</v>
      </c>
      <c r="S13" s="27">
        <v>2</v>
      </c>
      <c r="T13" s="27">
        <f>[1]Instrumen!O12</f>
        <v>0</v>
      </c>
      <c r="U13" s="27">
        <f>[1]Instrumen!P12</f>
        <v>0</v>
      </c>
      <c r="V13" s="27">
        <f>[1]Instrumen!Q12</f>
        <v>0</v>
      </c>
      <c r="W13" s="27">
        <f>[1]Instrumen!R12</f>
        <v>0</v>
      </c>
      <c r="X13" s="27">
        <f>[1]Instrumen!S12</f>
        <v>0</v>
      </c>
      <c r="Y13" s="27">
        <f>[1]Instrumen!T12</f>
        <v>0</v>
      </c>
      <c r="Z13" s="27">
        <f>[1]Instrumen!U12</f>
        <v>0</v>
      </c>
      <c r="AA13" s="27">
        <f>[1]Instrumen!V12</f>
        <v>0</v>
      </c>
      <c r="AB13" s="27">
        <f>[1]Instrumen!W12</f>
        <v>0</v>
      </c>
      <c r="AC13" s="27">
        <f>[1]Instrumen!X12</f>
        <v>0</v>
      </c>
      <c r="AD13" s="27">
        <f>[1]Instrumen!Y12</f>
        <v>0</v>
      </c>
      <c r="AE13" s="27">
        <f>[1]Instrumen!Z12</f>
        <v>0</v>
      </c>
      <c r="AF13" s="27">
        <f>[1]Instrumen!AA12</f>
        <v>0</v>
      </c>
      <c r="AG13" s="27">
        <f>[1]Instrumen!AB12</f>
        <v>0</v>
      </c>
      <c r="AH13" s="27">
        <f>[1]Instrumen!AC12</f>
        <v>0</v>
      </c>
      <c r="AI13" s="27">
        <f>[1]Instrumen!AD12</f>
        <v>0</v>
      </c>
      <c r="AJ13" s="27">
        <f>[1]Instrumen!AE12</f>
        <v>0</v>
      </c>
      <c r="AK13" s="27">
        <f>[1]Instrumen!AF12</f>
        <v>0</v>
      </c>
      <c r="AL13" s="27">
        <f>[1]Instrumen!AG12</f>
        <v>0</v>
      </c>
      <c r="AM13" s="27">
        <f>[1]Instrumen!AH12</f>
        <v>0</v>
      </c>
      <c r="AN13" s="27">
        <f>[1]Instrumen!AI12</f>
        <v>0</v>
      </c>
      <c r="AO13" s="27">
        <f>[1]Instrumen!AJ12</f>
        <v>0</v>
      </c>
      <c r="AP13" s="27">
        <f>[1]Instrumen!AK12</f>
        <v>0</v>
      </c>
      <c r="AQ13" s="27">
        <f>[1]Instrumen!AL12</f>
        <v>0</v>
      </c>
      <c r="AR13" s="27">
        <f>[1]Instrumen!AM12</f>
        <v>0</v>
      </c>
      <c r="AS13" s="27">
        <f>[1]Instrumen!AN12</f>
        <v>0</v>
      </c>
      <c r="AT13" s="27">
        <f>[1]Instrumen!AO12</f>
        <v>0</v>
      </c>
      <c r="AU13" s="27">
        <f>[1]Instrumen!AP12</f>
        <v>0</v>
      </c>
      <c r="AV13" s="27">
        <f>[1]Instrumen!AQ12</f>
        <v>0</v>
      </c>
      <c r="AW13" s="27">
        <f>[1]Instrumen!AR12</f>
        <v>0</v>
      </c>
      <c r="AX13" s="27">
        <f>[1]Instrumen!AS12</f>
        <v>0</v>
      </c>
      <c r="AY13" s="27">
        <f>[1]Instrumen!AT12</f>
        <v>0</v>
      </c>
      <c r="AZ13" s="27">
        <f>[1]Instrumen!AU12</f>
        <v>0</v>
      </c>
      <c r="BA13" s="27">
        <f>[1]Instrumen!AV12</f>
        <v>0</v>
      </c>
      <c r="BB13" s="27">
        <f>[1]Instrumen!AW12</f>
        <v>0</v>
      </c>
      <c r="BC13" s="27">
        <f>[1]Instrumen!AX12</f>
        <v>0</v>
      </c>
      <c r="BD13" s="27">
        <f>[1]Instrumen!AY12</f>
        <v>0</v>
      </c>
      <c r="BE13" s="27">
        <f>[1]Instrumen!AZ12</f>
        <v>0</v>
      </c>
      <c r="BF13" s="27">
        <f>[1]Instrumen!BA12</f>
        <v>0</v>
      </c>
      <c r="BG13" s="27">
        <f>[1]Instrumen!BB12</f>
        <v>0</v>
      </c>
      <c r="BH13" s="27">
        <f>[1]Instrumen!BC12</f>
        <v>0</v>
      </c>
      <c r="BI13" s="27">
        <f>[1]Instrumen!BD12</f>
        <v>0</v>
      </c>
      <c r="BJ13" s="27">
        <f>[1]Instrumen!BE12</f>
        <v>0</v>
      </c>
      <c r="BK13" s="27">
        <f>[1]Instrumen!BF12</f>
        <v>0</v>
      </c>
      <c r="BL13" s="27">
        <f>[1]Instrumen!BG12</f>
        <v>0</v>
      </c>
      <c r="BM13" s="27">
        <f>[1]Instrumen!BH12</f>
        <v>0</v>
      </c>
      <c r="BN13" s="27">
        <f>[1]Instrumen!BI12</f>
        <v>0</v>
      </c>
      <c r="BO13" s="27">
        <f>[1]Instrumen!BJ12</f>
        <v>0</v>
      </c>
      <c r="BP13" s="27">
        <f>[1]Instrumen!BK12</f>
        <v>0</v>
      </c>
      <c r="BQ13" s="27">
        <f>[1]Instrumen!BL12</f>
        <v>0</v>
      </c>
    </row>
    <row r="14" spans="1:69" ht="18" customHeight="1" x14ac:dyDescent="0.25">
      <c r="A14" s="66">
        <v>2</v>
      </c>
      <c r="B14" s="184">
        <f>Ins_UR!$F$35</f>
        <v>100</v>
      </c>
      <c r="C14" s="185"/>
      <c r="D14" s="34" t="s">
        <v>161</v>
      </c>
      <c r="E14" s="35" t="str">
        <f>Ins_UR!$F$33</f>
        <v>C1</v>
      </c>
      <c r="F14" s="35" t="str">
        <f t="shared" ref="F14:F32" si="3">IF(E14="","",IF(OR(E14="C1",E14="C2"),"Level 1",IF(E14="C3","Level 2",IF(OR(E14="C4",E14="C5",E14="C6"),"Level 3",""))))</f>
        <v>Level 1</v>
      </c>
      <c r="G14" s="35" t="str">
        <f>Ins_UR!$F$37</f>
        <v>Digunakan</v>
      </c>
      <c r="H14" s="36" t="str">
        <f>IF(G14="Ditolak","Soal No. 2 wajib diganti",IF(G14="Digunakan","Soal No. 2 wajib diujikan",IF(G14="Diperbaiki",J14,"")))</f>
        <v>Soal No. 2 wajib diujikan</v>
      </c>
      <c r="J14" s="64" t="str">
        <f>IF(Telaah_UR!$DZ$6="","",Telaah_UR!$DZ$6)</f>
        <v>Soal No. 2 perlu perbaikan pada aspek hal-hal penting,    HOTS</v>
      </c>
      <c r="K14" s="27" t="str">
        <f t="shared" si="0"/>
        <v/>
      </c>
      <c r="L14" s="37" t="str">
        <f t="shared" si="1"/>
        <v/>
      </c>
      <c r="M14" s="27" t="str">
        <f t="shared" si="2"/>
        <v/>
      </c>
      <c r="N14" s="27" t="e">
        <f>IF(B14="Ditolak","Soal Ditolak",IF(AND(#REF!="",K14="",L14="",M14="",HLOOKUP(A14,DataRek1,50,0)=100),"Soal Dapat Digunakan",IF(AND(K14&lt;&gt;"",L14&lt;&gt;"",M14&lt;&gt;""),K14&amp;", "&amp;L14&amp;", "&amp;M14&amp;" Harus Diperbaiki",IF(OR(K14&lt;&gt;"",L14&lt;&gt;"",M14&lt;&gt;""),K14&amp;", "&amp;L14&amp;", "&amp;M14&amp;" Harus Diperbaiki",""))))</f>
        <v>#REF!</v>
      </c>
      <c r="S14" s="27">
        <v>3</v>
      </c>
      <c r="T14" s="27">
        <f>[1]Instrumen!O14</f>
        <v>0</v>
      </c>
      <c r="U14" s="27">
        <f>[1]Instrumen!P14</f>
        <v>0</v>
      </c>
      <c r="V14" s="27">
        <f>[1]Instrumen!Q14</f>
        <v>0</v>
      </c>
      <c r="W14" s="27">
        <f>[1]Instrumen!R14</f>
        <v>0</v>
      </c>
      <c r="X14" s="27">
        <f>[1]Instrumen!S14</f>
        <v>0</v>
      </c>
      <c r="Y14" s="27">
        <f>[1]Instrumen!T14</f>
        <v>0</v>
      </c>
      <c r="Z14" s="27">
        <f>[1]Instrumen!U14</f>
        <v>0</v>
      </c>
      <c r="AA14" s="27">
        <f>[1]Instrumen!V14</f>
        <v>0</v>
      </c>
      <c r="AB14" s="27">
        <f>[1]Instrumen!W14</f>
        <v>0</v>
      </c>
      <c r="AC14" s="27">
        <f>[1]Instrumen!X14</f>
        <v>0</v>
      </c>
      <c r="AD14" s="27">
        <f>[1]Instrumen!Y14</f>
        <v>0</v>
      </c>
      <c r="AE14" s="27">
        <f>[1]Instrumen!Z14</f>
        <v>0</v>
      </c>
      <c r="AF14" s="27">
        <f>[1]Instrumen!AA14</f>
        <v>0</v>
      </c>
      <c r="AG14" s="27">
        <f>[1]Instrumen!AB14</f>
        <v>0</v>
      </c>
      <c r="AH14" s="27">
        <f>[1]Instrumen!AC14</f>
        <v>0</v>
      </c>
      <c r="AI14" s="27">
        <f>[1]Instrumen!AD14</f>
        <v>0</v>
      </c>
      <c r="AJ14" s="27">
        <f>[1]Instrumen!AE14</f>
        <v>0</v>
      </c>
      <c r="AK14" s="27">
        <f>[1]Instrumen!AF14</f>
        <v>0</v>
      </c>
      <c r="AL14" s="27">
        <f>[1]Instrumen!AG14</f>
        <v>0</v>
      </c>
      <c r="AM14" s="27">
        <f>[1]Instrumen!AH14</f>
        <v>0</v>
      </c>
      <c r="AN14" s="27">
        <f>[1]Instrumen!AI14</f>
        <v>0</v>
      </c>
      <c r="AO14" s="27">
        <f>[1]Instrumen!AJ14</f>
        <v>0</v>
      </c>
      <c r="AP14" s="27">
        <f>[1]Instrumen!AK14</f>
        <v>0</v>
      </c>
      <c r="AQ14" s="27">
        <f>[1]Instrumen!AL14</f>
        <v>0</v>
      </c>
      <c r="AR14" s="27">
        <f>[1]Instrumen!AM14</f>
        <v>0</v>
      </c>
      <c r="AS14" s="27">
        <f>[1]Instrumen!AN14</f>
        <v>0</v>
      </c>
      <c r="AT14" s="27">
        <f>[1]Instrumen!AO14</f>
        <v>0</v>
      </c>
      <c r="AU14" s="27">
        <f>[1]Instrumen!AP14</f>
        <v>0</v>
      </c>
      <c r="AV14" s="27">
        <f>[1]Instrumen!AQ14</f>
        <v>0</v>
      </c>
      <c r="AW14" s="27">
        <f>[1]Instrumen!AR14</f>
        <v>0</v>
      </c>
      <c r="AX14" s="27">
        <f>[1]Instrumen!AS14</f>
        <v>0</v>
      </c>
      <c r="AY14" s="27">
        <f>[1]Instrumen!AT14</f>
        <v>0</v>
      </c>
      <c r="AZ14" s="27">
        <f>[1]Instrumen!AU14</f>
        <v>0</v>
      </c>
      <c r="BA14" s="27">
        <f>[1]Instrumen!AV14</f>
        <v>0</v>
      </c>
      <c r="BB14" s="27">
        <f>[1]Instrumen!AW14</f>
        <v>0</v>
      </c>
      <c r="BC14" s="27">
        <f>[1]Instrumen!AX14</f>
        <v>0</v>
      </c>
      <c r="BD14" s="27">
        <f>[1]Instrumen!AY14</f>
        <v>0</v>
      </c>
      <c r="BE14" s="27">
        <f>[1]Instrumen!AZ14</f>
        <v>0</v>
      </c>
      <c r="BF14" s="27">
        <f>[1]Instrumen!BA14</f>
        <v>0</v>
      </c>
      <c r="BG14" s="27">
        <f>[1]Instrumen!BB14</f>
        <v>0</v>
      </c>
      <c r="BH14" s="27">
        <f>[1]Instrumen!BC14</f>
        <v>0</v>
      </c>
      <c r="BI14" s="27">
        <f>[1]Instrumen!BD14</f>
        <v>0</v>
      </c>
      <c r="BJ14" s="27">
        <f>[1]Instrumen!BE14</f>
        <v>0</v>
      </c>
      <c r="BK14" s="27">
        <f>[1]Instrumen!BF14</f>
        <v>0</v>
      </c>
      <c r="BL14" s="27">
        <f>[1]Instrumen!BG14</f>
        <v>0</v>
      </c>
      <c r="BM14" s="27">
        <f>[1]Instrumen!BH14</f>
        <v>0</v>
      </c>
      <c r="BN14" s="27">
        <f>[1]Instrumen!BI14</f>
        <v>0</v>
      </c>
      <c r="BO14" s="27">
        <f>[1]Instrumen!BJ14</f>
        <v>0</v>
      </c>
      <c r="BP14" s="27">
        <f>[1]Instrumen!BK14</f>
        <v>0</v>
      </c>
      <c r="BQ14" s="27">
        <f>[1]Instrumen!BL14</f>
        <v>0</v>
      </c>
    </row>
    <row r="15" spans="1:69" ht="18" customHeight="1" x14ac:dyDescent="0.25">
      <c r="A15" s="66">
        <v>3</v>
      </c>
      <c r="B15" s="184">
        <f>Ins_UR!$G$35</f>
        <v>100</v>
      </c>
      <c r="C15" s="185"/>
      <c r="D15" s="34" t="s">
        <v>161</v>
      </c>
      <c r="E15" s="35" t="str">
        <f>Ins_UR!$G$33</f>
        <v>C1</v>
      </c>
      <c r="F15" s="35" t="str">
        <f t="shared" si="3"/>
        <v>Level 1</v>
      </c>
      <c r="G15" s="35" t="str">
        <f>Ins_UR!$G$37</f>
        <v>Digunakan</v>
      </c>
      <c r="H15" s="36" t="str">
        <f>IF(G15="Ditolak","Soal No. 3 wajib diganti",IF(G15="Digunakan","Soal No. 3 wajib diujikan",IF(G15="Diperbaiki",J15,"")))</f>
        <v>Soal No. 3 wajib diujikan</v>
      </c>
      <c r="J15" s="64" t="str">
        <f>IF(Telaah_UR!$EA$6="","",Telaah_UR!$EA$6)</f>
        <v>Soal No. 3 perlu perbaikan pada aspek hal-hal penting,    HOTS</v>
      </c>
      <c r="K15" s="27" t="str">
        <f t="shared" si="0"/>
        <v/>
      </c>
      <c r="L15" s="37" t="str">
        <f t="shared" si="1"/>
        <v/>
      </c>
      <c r="M15" s="27" t="str">
        <f t="shared" si="2"/>
        <v/>
      </c>
      <c r="N15" s="27" t="e">
        <f>IF(B15="Ditolak","Soal Ditolak",IF(AND(#REF!="",K15="",L15="",M15="",HLOOKUP(A15,DataRek1,50,0)=100),"Soal Dapat Digunakan",IF(AND(K15&lt;&gt;"",L15&lt;&gt;"",M15&lt;&gt;""),K15&amp;", "&amp;L15&amp;", "&amp;M15&amp;" Harus Diperbaiki",IF(OR(K15&lt;&gt;"",L15&lt;&gt;"",M15&lt;&gt;""),K15&amp;", "&amp;L15&amp;", "&amp;M15&amp;" Harus Diperbaiki",""))))</f>
        <v>#REF!</v>
      </c>
      <c r="S15" s="27">
        <v>4</v>
      </c>
      <c r="T15" s="27">
        <f>[1]Instrumen!O16</f>
        <v>0</v>
      </c>
      <c r="U15" s="27">
        <f>[1]Instrumen!P16</f>
        <v>0</v>
      </c>
      <c r="V15" s="27">
        <f>[1]Instrumen!Q16</f>
        <v>0</v>
      </c>
      <c r="W15" s="27">
        <f>[1]Instrumen!R16</f>
        <v>0</v>
      </c>
      <c r="X15" s="27">
        <f>[1]Instrumen!S16</f>
        <v>0</v>
      </c>
      <c r="Y15" s="27">
        <f>[1]Instrumen!T16</f>
        <v>0</v>
      </c>
      <c r="Z15" s="27">
        <f>[1]Instrumen!U16</f>
        <v>0</v>
      </c>
      <c r="AA15" s="27">
        <f>[1]Instrumen!V16</f>
        <v>0</v>
      </c>
      <c r="AB15" s="27">
        <f>[1]Instrumen!W16</f>
        <v>0</v>
      </c>
      <c r="AC15" s="27">
        <f>[1]Instrumen!X16</f>
        <v>0</v>
      </c>
      <c r="AD15" s="27">
        <f>[1]Instrumen!Y16</f>
        <v>0</v>
      </c>
      <c r="AE15" s="27">
        <f>[1]Instrumen!Z16</f>
        <v>0</v>
      </c>
      <c r="AF15" s="27">
        <f>[1]Instrumen!AA16</f>
        <v>0</v>
      </c>
      <c r="AG15" s="27">
        <f>[1]Instrumen!AB16</f>
        <v>0</v>
      </c>
      <c r="AH15" s="27">
        <f>[1]Instrumen!AC16</f>
        <v>0</v>
      </c>
      <c r="AI15" s="27">
        <f>[1]Instrumen!AD16</f>
        <v>0</v>
      </c>
      <c r="AJ15" s="27">
        <f>[1]Instrumen!AE16</f>
        <v>0</v>
      </c>
      <c r="AK15" s="27">
        <f>[1]Instrumen!AF16</f>
        <v>0</v>
      </c>
      <c r="AL15" s="27">
        <f>[1]Instrumen!AG16</f>
        <v>0</v>
      </c>
      <c r="AM15" s="27">
        <f>[1]Instrumen!AH16</f>
        <v>0</v>
      </c>
      <c r="AN15" s="27">
        <f>[1]Instrumen!AI16</f>
        <v>0</v>
      </c>
      <c r="AO15" s="27">
        <f>[1]Instrumen!AJ16</f>
        <v>0</v>
      </c>
      <c r="AP15" s="27">
        <f>[1]Instrumen!AK16</f>
        <v>0</v>
      </c>
      <c r="AQ15" s="27">
        <f>[1]Instrumen!AL16</f>
        <v>0</v>
      </c>
      <c r="AR15" s="27">
        <f>[1]Instrumen!AM16</f>
        <v>0</v>
      </c>
      <c r="AS15" s="27">
        <f>[1]Instrumen!AN16</f>
        <v>0</v>
      </c>
      <c r="AT15" s="27">
        <f>[1]Instrumen!AO16</f>
        <v>0</v>
      </c>
      <c r="AU15" s="27">
        <f>[1]Instrumen!AP16</f>
        <v>0</v>
      </c>
      <c r="AV15" s="27">
        <f>[1]Instrumen!AQ16</f>
        <v>0</v>
      </c>
      <c r="AW15" s="27">
        <f>[1]Instrumen!AR16</f>
        <v>0</v>
      </c>
      <c r="AX15" s="27">
        <f>[1]Instrumen!AS16</f>
        <v>0</v>
      </c>
      <c r="AY15" s="27">
        <f>[1]Instrumen!AT16</f>
        <v>0</v>
      </c>
      <c r="AZ15" s="27">
        <f>[1]Instrumen!AU16</f>
        <v>0</v>
      </c>
      <c r="BA15" s="27">
        <f>[1]Instrumen!AV16</f>
        <v>0</v>
      </c>
      <c r="BB15" s="27">
        <f>[1]Instrumen!AW16</f>
        <v>0</v>
      </c>
      <c r="BC15" s="27">
        <f>[1]Instrumen!AX16</f>
        <v>0</v>
      </c>
      <c r="BD15" s="27">
        <f>[1]Instrumen!AY16</f>
        <v>0</v>
      </c>
      <c r="BE15" s="27">
        <f>[1]Instrumen!AZ16</f>
        <v>0</v>
      </c>
      <c r="BF15" s="27">
        <f>[1]Instrumen!BA16</f>
        <v>0</v>
      </c>
      <c r="BG15" s="27">
        <f>[1]Instrumen!BB16</f>
        <v>0</v>
      </c>
      <c r="BH15" s="27">
        <f>[1]Instrumen!BC16</f>
        <v>0</v>
      </c>
      <c r="BI15" s="27">
        <f>[1]Instrumen!BD16</f>
        <v>0</v>
      </c>
      <c r="BJ15" s="27">
        <f>[1]Instrumen!BE16</f>
        <v>0</v>
      </c>
      <c r="BK15" s="27">
        <f>[1]Instrumen!BF16</f>
        <v>0</v>
      </c>
      <c r="BL15" s="27">
        <f>[1]Instrumen!BG16</f>
        <v>0</v>
      </c>
      <c r="BM15" s="27">
        <f>[1]Instrumen!BH16</f>
        <v>0</v>
      </c>
      <c r="BN15" s="27">
        <f>[1]Instrumen!BI16</f>
        <v>0</v>
      </c>
      <c r="BO15" s="27">
        <f>[1]Instrumen!BJ16</f>
        <v>0</v>
      </c>
      <c r="BP15" s="27">
        <f>[1]Instrumen!BK16</f>
        <v>0</v>
      </c>
      <c r="BQ15" s="27">
        <f>[1]Instrumen!BL16</f>
        <v>0</v>
      </c>
    </row>
    <row r="16" spans="1:69" ht="18" customHeight="1" x14ac:dyDescent="0.25">
      <c r="A16" s="66">
        <v>4</v>
      </c>
      <c r="B16" s="184">
        <f>Ins_UR!$H$35</f>
        <v>100</v>
      </c>
      <c r="C16" s="185"/>
      <c r="D16" s="34" t="s">
        <v>161</v>
      </c>
      <c r="E16" s="35" t="str">
        <f>Ins_UR!$H$33</f>
        <v>C1</v>
      </c>
      <c r="F16" s="35" t="str">
        <f t="shared" si="3"/>
        <v>Level 1</v>
      </c>
      <c r="G16" s="35" t="str">
        <f>Ins_UR!$H$37</f>
        <v>Digunakan</v>
      </c>
      <c r="H16" s="36" t="str">
        <f>IF(G16="Ditolak","Soal No. 4 wajib diganti",IF(G16="Digunakan","Soal No. 4 wajib diujikan",IF(G16="Diperbaiki",J16,"")))</f>
        <v>Soal No. 4 wajib diujikan</v>
      </c>
      <c r="J16" s="64" t="str">
        <f>IF(Telaah_UR!$EF$6="","",Telaah_UR!$EF$6)</f>
        <v xml:space="preserve">Soal No. 8 perlu perbaikan pada aspek     </v>
      </c>
      <c r="K16" s="27" t="str">
        <f t="shared" si="0"/>
        <v/>
      </c>
      <c r="L16" s="37" t="str">
        <f t="shared" si="1"/>
        <v/>
      </c>
      <c r="M16" s="27" t="str">
        <f t="shared" si="2"/>
        <v/>
      </c>
      <c r="N16" s="27" t="e">
        <f>IF(B16="Ditolak","Soal Ditolak",IF(AND(#REF!="",K16="",L16="",M16="",HLOOKUP(A16,DataRek1,50,0)=100),"Soal Dapat Digunakan",IF(AND(K16&lt;&gt;"",L16&lt;&gt;"",M16&lt;&gt;""),K16&amp;", "&amp;L16&amp;", "&amp;M16&amp;" Harus Diperbaiki",IF(OR(K16&lt;&gt;"",L16&lt;&gt;"",M16&lt;&gt;""),K16&amp;", "&amp;L16&amp;", "&amp;M16&amp;" Harus Diperbaiki",""))))</f>
        <v>#REF!</v>
      </c>
      <c r="S16" s="27">
        <v>5</v>
      </c>
      <c r="T16" s="27">
        <f>[1]Instrumen!O19</f>
        <v>0</v>
      </c>
      <c r="U16" s="27">
        <f>[1]Instrumen!P19</f>
        <v>0</v>
      </c>
      <c r="V16" s="27">
        <f>[1]Instrumen!Q19</f>
        <v>0</v>
      </c>
      <c r="W16" s="27">
        <f>[1]Instrumen!R19</f>
        <v>0</v>
      </c>
      <c r="X16" s="27">
        <f>[1]Instrumen!S19</f>
        <v>0</v>
      </c>
      <c r="Y16" s="27">
        <f>[1]Instrumen!T19</f>
        <v>0</v>
      </c>
      <c r="Z16" s="27">
        <f>[1]Instrumen!U19</f>
        <v>0</v>
      </c>
      <c r="AA16" s="27">
        <f>[1]Instrumen!V19</f>
        <v>0</v>
      </c>
      <c r="AB16" s="27">
        <f>[1]Instrumen!W19</f>
        <v>0</v>
      </c>
      <c r="AC16" s="27">
        <f>[1]Instrumen!X19</f>
        <v>0</v>
      </c>
      <c r="AD16" s="27">
        <f>[1]Instrumen!Y19</f>
        <v>0</v>
      </c>
      <c r="AE16" s="27">
        <f>[1]Instrumen!Z19</f>
        <v>0</v>
      </c>
      <c r="AF16" s="27">
        <f>[1]Instrumen!AA19</f>
        <v>0</v>
      </c>
      <c r="AG16" s="27">
        <f>[1]Instrumen!AB19</f>
        <v>0</v>
      </c>
      <c r="AH16" s="27">
        <f>[1]Instrumen!AC19</f>
        <v>0</v>
      </c>
      <c r="AI16" s="27">
        <f>[1]Instrumen!AD19</f>
        <v>0</v>
      </c>
      <c r="AJ16" s="27">
        <f>[1]Instrumen!AE19</f>
        <v>0</v>
      </c>
      <c r="AK16" s="27">
        <f>[1]Instrumen!AF19</f>
        <v>0</v>
      </c>
      <c r="AL16" s="27">
        <f>[1]Instrumen!AG19</f>
        <v>0</v>
      </c>
      <c r="AM16" s="27">
        <f>[1]Instrumen!AH19</f>
        <v>0</v>
      </c>
      <c r="AN16" s="27">
        <f>[1]Instrumen!AI19</f>
        <v>0</v>
      </c>
      <c r="AO16" s="27">
        <f>[1]Instrumen!AJ19</f>
        <v>0</v>
      </c>
      <c r="AP16" s="27">
        <f>[1]Instrumen!AK19</f>
        <v>0</v>
      </c>
      <c r="AQ16" s="27">
        <f>[1]Instrumen!AL19</f>
        <v>0</v>
      </c>
      <c r="AR16" s="27">
        <f>[1]Instrumen!AM19</f>
        <v>0</v>
      </c>
      <c r="AS16" s="27">
        <f>[1]Instrumen!AN19</f>
        <v>0</v>
      </c>
      <c r="AT16" s="27">
        <f>[1]Instrumen!AO19</f>
        <v>0</v>
      </c>
      <c r="AU16" s="27">
        <f>[1]Instrumen!AP19</f>
        <v>0</v>
      </c>
      <c r="AV16" s="27">
        <f>[1]Instrumen!AQ19</f>
        <v>0</v>
      </c>
      <c r="AW16" s="27">
        <f>[1]Instrumen!AR19</f>
        <v>0</v>
      </c>
      <c r="AX16" s="27">
        <f>[1]Instrumen!AS19</f>
        <v>0</v>
      </c>
      <c r="AY16" s="27">
        <f>[1]Instrumen!AT19</f>
        <v>0</v>
      </c>
      <c r="AZ16" s="27">
        <f>[1]Instrumen!AU19</f>
        <v>0</v>
      </c>
      <c r="BA16" s="27">
        <f>[1]Instrumen!AV19</f>
        <v>0</v>
      </c>
      <c r="BB16" s="27">
        <f>[1]Instrumen!AW19</f>
        <v>0</v>
      </c>
      <c r="BC16" s="27">
        <f>[1]Instrumen!AX19</f>
        <v>0</v>
      </c>
      <c r="BD16" s="27">
        <f>[1]Instrumen!AY19</f>
        <v>0</v>
      </c>
      <c r="BE16" s="27">
        <f>[1]Instrumen!AZ19</f>
        <v>0</v>
      </c>
      <c r="BF16" s="27">
        <f>[1]Instrumen!BA19</f>
        <v>0</v>
      </c>
      <c r="BG16" s="27">
        <f>[1]Instrumen!BB19</f>
        <v>0</v>
      </c>
      <c r="BH16" s="27">
        <f>[1]Instrumen!BC19</f>
        <v>0</v>
      </c>
      <c r="BI16" s="27">
        <f>[1]Instrumen!BD19</f>
        <v>0</v>
      </c>
      <c r="BJ16" s="27">
        <f>[1]Instrumen!BE19</f>
        <v>0</v>
      </c>
      <c r="BK16" s="27">
        <f>[1]Instrumen!BF19</f>
        <v>0</v>
      </c>
      <c r="BL16" s="27">
        <f>[1]Instrumen!BG19</f>
        <v>0</v>
      </c>
      <c r="BM16" s="27">
        <f>[1]Instrumen!BH19</f>
        <v>0</v>
      </c>
      <c r="BN16" s="27">
        <f>[1]Instrumen!BI19</f>
        <v>0</v>
      </c>
      <c r="BO16" s="27">
        <f>[1]Instrumen!BJ19</f>
        <v>0</v>
      </c>
      <c r="BP16" s="27">
        <f>[1]Instrumen!BK19</f>
        <v>0</v>
      </c>
      <c r="BQ16" s="27">
        <f>[1]Instrumen!BL19</f>
        <v>0</v>
      </c>
    </row>
    <row r="17" spans="1:69" ht="18" customHeight="1" x14ac:dyDescent="0.25">
      <c r="A17" s="66">
        <v>5</v>
      </c>
      <c r="B17" s="184">
        <f>Ins_UR!$I$35</f>
        <v>100</v>
      </c>
      <c r="C17" s="185"/>
      <c r="D17" s="34" t="s">
        <v>161</v>
      </c>
      <c r="E17" s="35" t="str">
        <f>Ins_UR!$I$33</f>
        <v>C2</v>
      </c>
      <c r="F17" s="35" t="str">
        <f t="shared" si="3"/>
        <v>Level 1</v>
      </c>
      <c r="G17" s="35" t="str">
        <f>Ins_UR!$I$37</f>
        <v>Digunakan</v>
      </c>
      <c r="H17" s="36" t="str">
        <f>IF(G17="Ditolak","Soal No. 5 wajib diganti",IF(G17="Digunakan","Soal No. 5 wajib diujikan",IF(G17="Diperbaiki",J17,"")))</f>
        <v>Soal No. 5 wajib diujikan</v>
      </c>
      <c r="J17" s="64" t="str">
        <f>IF(Telaah_UR!$EG$6="","",Telaah_UR!$EG$6)</f>
        <v xml:space="preserve">Soal No. 9 perlu perbaikan pada aspek     </v>
      </c>
      <c r="K17" s="27" t="str">
        <f t="shared" si="0"/>
        <v/>
      </c>
      <c r="L17" s="37" t="str">
        <f t="shared" si="1"/>
        <v/>
      </c>
      <c r="M17" s="27" t="str">
        <f t="shared" si="2"/>
        <v/>
      </c>
      <c r="N17" s="27" t="e">
        <f>IF(B17="Ditolak","Soal Ditolak",IF(AND(#REF!="",K17="",L17="",M17="",HLOOKUP(A17,DataRek1,50,0)=100),"Soal Dapat Digunakan",IF(AND(K17&lt;&gt;"",L17&lt;&gt;"",M17&lt;&gt;""),K17&amp;", "&amp;L17&amp;", "&amp;M17&amp;" Harus Diperbaiki",IF(OR(K17&lt;&gt;"",L17&lt;&gt;"",M17&lt;&gt;""),K17&amp;", "&amp;L17&amp;", "&amp;M17&amp;" Harus Diperbaiki",""))))</f>
        <v>#REF!</v>
      </c>
      <c r="S17" s="27">
        <v>6</v>
      </c>
      <c r="T17" s="27">
        <f>[1]Instrumen!O23</f>
        <v>0</v>
      </c>
      <c r="U17" s="27">
        <f>[1]Instrumen!P23</f>
        <v>0</v>
      </c>
      <c r="V17" s="27">
        <f>[1]Instrumen!Q23</f>
        <v>0</v>
      </c>
      <c r="W17" s="27">
        <f>[1]Instrumen!R23</f>
        <v>0</v>
      </c>
      <c r="X17" s="27">
        <f>[1]Instrumen!S23</f>
        <v>0</v>
      </c>
      <c r="Y17" s="27">
        <f>[1]Instrumen!T23</f>
        <v>0</v>
      </c>
      <c r="Z17" s="27">
        <f>[1]Instrumen!U23</f>
        <v>0</v>
      </c>
      <c r="AA17" s="27">
        <f>[1]Instrumen!V23</f>
        <v>0</v>
      </c>
      <c r="AB17" s="27">
        <f>[1]Instrumen!W23</f>
        <v>0</v>
      </c>
      <c r="AC17" s="27">
        <f>[1]Instrumen!X23</f>
        <v>0</v>
      </c>
      <c r="AD17" s="27">
        <f>[1]Instrumen!Y23</f>
        <v>0</v>
      </c>
      <c r="AE17" s="27">
        <f>[1]Instrumen!Z23</f>
        <v>0</v>
      </c>
      <c r="AF17" s="27">
        <f>[1]Instrumen!AA23</f>
        <v>0</v>
      </c>
      <c r="AG17" s="27">
        <f>[1]Instrumen!AB23</f>
        <v>0</v>
      </c>
      <c r="AH17" s="27">
        <f>[1]Instrumen!AC23</f>
        <v>0</v>
      </c>
      <c r="AI17" s="27">
        <f>[1]Instrumen!AD23</f>
        <v>0</v>
      </c>
      <c r="AJ17" s="27">
        <f>[1]Instrumen!AE23</f>
        <v>0</v>
      </c>
      <c r="AK17" s="27">
        <f>[1]Instrumen!AF23</f>
        <v>0</v>
      </c>
      <c r="AL17" s="27">
        <f>[1]Instrumen!AG23</f>
        <v>0</v>
      </c>
      <c r="AM17" s="27">
        <f>[1]Instrumen!AH23</f>
        <v>0</v>
      </c>
      <c r="AN17" s="27">
        <f>[1]Instrumen!AI23</f>
        <v>0</v>
      </c>
      <c r="AO17" s="27">
        <f>[1]Instrumen!AJ23</f>
        <v>0</v>
      </c>
      <c r="AP17" s="27">
        <f>[1]Instrumen!AK23</f>
        <v>0</v>
      </c>
      <c r="AQ17" s="27">
        <f>[1]Instrumen!AL23</f>
        <v>0</v>
      </c>
      <c r="AR17" s="27">
        <f>[1]Instrumen!AM23</f>
        <v>0</v>
      </c>
      <c r="AS17" s="27">
        <f>[1]Instrumen!AN23</f>
        <v>0</v>
      </c>
      <c r="AT17" s="27">
        <f>[1]Instrumen!AO23</f>
        <v>0</v>
      </c>
      <c r="AU17" s="27">
        <f>[1]Instrumen!AP23</f>
        <v>0</v>
      </c>
      <c r="AV17" s="27">
        <f>[1]Instrumen!AQ23</f>
        <v>0</v>
      </c>
      <c r="AW17" s="27">
        <f>[1]Instrumen!AR23</f>
        <v>0</v>
      </c>
      <c r="AX17" s="27">
        <f>[1]Instrumen!AS23</f>
        <v>0</v>
      </c>
      <c r="AY17" s="27">
        <f>[1]Instrumen!AT23</f>
        <v>0</v>
      </c>
      <c r="AZ17" s="27">
        <f>[1]Instrumen!AU23</f>
        <v>0</v>
      </c>
      <c r="BA17" s="27">
        <f>[1]Instrumen!AV23</f>
        <v>0</v>
      </c>
      <c r="BB17" s="27">
        <f>[1]Instrumen!AW23</f>
        <v>0</v>
      </c>
      <c r="BC17" s="27">
        <f>[1]Instrumen!AX23</f>
        <v>0</v>
      </c>
      <c r="BD17" s="27">
        <f>[1]Instrumen!AY23</f>
        <v>0</v>
      </c>
      <c r="BE17" s="27">
        <f>[1]Instrumen!AZ23</f>
        <v>0</v>
      </c>
      <c r="BF17" s="27">
        <f>[1]Instrumen!BA23</f>
        <v>0</v>
      </c>
      <c r="BG17" s="27">
        <f>[1]Instrumen!BB23</f>
        <v>0</v>
      </c>
      <c r="BH17" s="27">
        <f>[1]Instrumen!BC23</f>
        <v>0</v>
      </c>
      <c r="BI17" s="27">
        <f>[1]Instrumen!BD23</f>
        <v>0</v>
      </c>
      <c r="BJ17" s="27">
        <f>[1]Instrumen!BE23</f>
        <v>0</v>
      </c>
      <c r="BK17" s="27">
        <f>[1]Instrumen!BF23</f>
        <v>0</v>
      </c>
      <c r="BL17" s="27">
        <f>[1]Instrumen!BG23</f>
        <v>0</v>
      </c>
      <c r="BM17" s="27">
        <f>[1]Instrumen!BH23</f>
        <v>0</v>
      </c>
      <c r="BN17" s="27">
        <f>[1]Instrumen!BI23</f>
        <v>0</v>
      </c>
      <c r="BO17" s="27">
        <f>[1]Instrumen!BJ23</f>
        <v>0</v>
      </c>
      <c r="BP17" s="27">
        <f>[1]Instrumen!BK23</f>
        <v>0</v>
      </c>
      <c r="BQ17" s="27">
        <f>[1]Instrumen!BL23</f>
        <v>0</v>
      </c>
    </row>
    <row r="18" spans="1:69" ht="18" hidden="1" customHeight="1" x14ac:dyDescent="0.25">
      <c r="A18" s="66">
        <v>6</v>
      </c>
      <c r="B18" s="184">
        <f>Ins_UR!$J$35</f>
        <v>0</v>
      </c>
      <c r="C18" s="185"/>
      <c r="D18" s="34" t="s">
        <v>161</v>
      </c>
      <c r="E18" s="35" t="str">
        <f>Ins_UR!$J$33</f>
        <v/>
      </c>
      <c r="F18" s="35" t="str">
        <f t="shared" si="3"/>
        <v/>
      </c>
      <c r="G18" s="35" t="str">
        <f>Ins_UR!$J$37</f>
        <v/>
      </c>
      <c r="H18" s="36" t="str">
        <f>IF(G18="Ditolak","Soal No. 6 wajib diganti",IF(G18="Digunakan","Soal No. 6 wajib diujikan",IF(G18="Diperbaiki",J18,"")))</f>
        <v/>
      </c>
      <c r="J18" s="64" t="str">
        <f>IF(Telaah_UR!$EH$6="","",Telaah_UR!$EH$6)</f>
        <v xml:space="preserve">Soal No. 10 perlu perbaikan pada aspek     </v>
      </c>
      <c r="K18" s="27" t="str">
        <f t="shared" si="0"/>
        <v/>
      </c>
      <c r="L18" s="37" t="str">
        <f t="shared" si="1"/>
        <v/>
      </c>
      <c r="M18" s="27" t="str">
        <f t="shared" si="2"/>
        <v/>
      </c>
      <c r="N18" s="27" t="e">
        <f>IF(B18="Ditolak","Soal Ditolak",IF(AND(#REF!="",K18="",L18="",M18="",HLOOKUP(A18,DataRek1,50,0)=100),"Soal Dapat Digunakan",IF(AND(K18&lt;&gt;"",L18&lt;&gt;"",M18&lt;&gt;""),K18&amp;", "&amp;L18&amp;", "&amp;M18&amp;" Harus Diperbaiki",IF(OR(K18&lt;&gt;"",L18&lt;&gt;"",M18&lt;&gt;""),K18&amp;", "&amp;L18&amp;", "&amp;M18&amp;" Harus Diperbaiki",""))))</f>
        <v>#REF!</v>
      </c>
      <c r="S18" s="27">
        <v>7</v>
      </c>
      <c r="T18" s="27">
        <f>[1]Instrumen!O25</f>
        <v>0</v>
      </c>
      <c r="U18" s="27">
        <f>[1]Instrumen!P25</f>
        <v>0</v>
      </c>
      <c r="V18" s="27">
        <f>[1]Instrumen!Q25</f>
        <v>0</v>
      </c>
      <c r="W18" s="27">
        <f>[1]Instrumen!R25</f>
        <v>0</v>
      </c>
      <c r="X18" s="27">
        <f>[1]Instrumen!S25</f>
        <v>0</v>
      </c>
      <c r="Y18" s="27">
        <f>[1]Instrumen!T25</f>
        <v>0</v>
      </c>
      <c r="Z18" s="27">
        <f>[1]Instrumen!U25</f>
        <v>0</v>
      </c>
      <c r="AA18" s="27">
        <f>[1]Instrumen!V25</f>
        <v>0</v>
      </c>
      <c r="AB18" s="27">
        <f>[1]Instrumen!W25</f>
        <v>0</v>
      </c>
      <c r="AC18" s="27">
        <f>[1]Instrumen!X25</f>
        <v>0</v>
      </c>
      <c r="AD18" s="27">
        <f>[1]Instrumen!Y25</f>
        <v>0</v>
      </c>
      <c r="AE18" s="27">
        <f>[1]Instrumen!Z25</f>
        <v>0</v>
      </c>
      <c r="AF18" s="27">
        <f>[1]Instrumen!AA25</f>
        <v>0</v>
      </c>
      <c r="AG18" s="27">
        <f>[1]Instrumen!AB25</f>
        <v>0</v>
      </c>
      <c r="AH18" s="27">
        <f>[1]Instrumen!AC25</f>
        <v>0</v>
      </c>
      <c r="AI18" s="27">
        <f>[1]Instrumen!AD25</f>
        <v>0</v>
      </c>
      <c r="AJ18" s="27">
        <f>[1]Instrumen!AE25</f>
        <v>0</v>
      </c>
      <c r="AK18" s="27">
        <f>[1]Instrumen!AF25</f>
        <v>0</v>
      </c>
      <c r="AL18" s="27">
        <f>[1]Instrumen!AG25</f>
        <v>0</v>
      </c>
      <c r="AM18" s="27">
        <f>[1]Instrumen!AH25</f>
        <v>0</v>
      </c>
      <c r="AN18" s="27">
        <f>[1]Instrumen!AI25</f>
        <v>0</v>
      </c>
      <c r="AO18" s="27">
        <f>[1]Instrumen!AJ25</f>
        <v>0</v>
      </c>
      <c r="AP18" s="27">
        <f>[1]Instrumen!AK25</f>
        <v>0</v>
      </c>
      <c r="AQ18" s="27">
        <f>[1]Instrumen!AL25</f>
        <v>0</v>
      </c>
      <c r="AR18" s="27">
        <f>[1]Instrumen!AM25</f>
        <v>0</v>
      </c>
      <c r="AS18" s="27">
        <f>[1]Instrumen!AN25</f>
        <v>0</v>
      </c>
      <c r="AT18" s="27">
        <f>[1]Instrumen!AO25</f>
        <v>0</v>
      </c>
      <c r="AU18" s="27">
        <f>[1]Instrumen!AP25</f>
        <v>0</v>
      </c>
      <c r="AV18" s="27">
        <f>[1]Instrumen!AQ25</f>
        <v>0</v>
      </c>
      <c r="AW18" s="27">
        <f>[1]Instrumen!AR25</f>
        <v>0</v>
      </c>
      <c r="AX18" s="27">
        <f>[1]Instrumen!AS25</f>
        <v>0</v>
      </c>
      <c r="AY18" s="27">
        <f>[1]Instrumen!AT25</f>
        <v>0</v>
      </c>
      <c r="AZ18" s="27">
        <f>[1]Instrumen!AU25</f>
        <v>0</v>
      </c>
      <c r="BA18" s="27">
        <f>[1]Instrumen!AV25</f>
        <v>0</v>
      </c>
      <c r="BB18" s="27">
        <f>[1]Instrumen!AW25</f>
        <v>0</v>
      </c>
      <c r="BC18" s="27">
        <f>[1]Instrumen!AX25</f>
        <v>0</v>
      </c>
      <c r="BD18" s="27">
        <f>[1]Instrumen!AY25</f>
        <v>0</v>
      </c>
      <c r="BE18" s="27">
        <f>[1]Instrumen!AZ25</f>
        <v>0</v>
      </c>
      <c r="BF18" s="27">
        <f>[1]Instrumen!BA25</f>
        <v>0</v>
      </c>
      <c r="BG18" s="27">
        <f>[1]Instrumen!BB25</f>
        <v>0</v>
      </c>
      <c r="BH18" s="27">
        <f>[1]Instrumen!BC25</f>
        <v>0</v>
      </c>
      <c r="BI18" s="27">
        <f>[1]Instrumen!BD25</f>
        <v>0</v>
      </c>
      <c r="BJ18" s="27">
        <f>[1]Instrumen!BE25</f>
        <v>0</v>
      </c>
      <c r="BK18" s="27">
        <f>[1]Instrumen!BF25</f>
        <v>0</v>
      </c>
      <c r="BL18" s="27">
        <f>[1]Instrumen!BG25</f>
        <v>0</v>
      </c>
      <c r="BM18" s="27">
        <f>[1]Instrumen!BH25</f>
        <v>0</v>
      </c>
      <c r="BN18" s="27">
        <f>[1]Instrumen!BI25</f>
        <v>0</v>
      </c>
      <c r="BO18" s="27">
        <f>[1]Instrumen!BJ25</f>
        <v>0</v>
      </c>
      <c r="BP18" s="27">
        <f>[1]Instrumen!BK25</f>
        <v>0</v>
      </c>
      <c r="BQ18" s="27">
        <f>[1]Instrumen!BL25</f>
        <v>0</v>
      </c>
    </row>
    <row r="19" spans="1:69" ht="18" hidden="1" customHeight="1" x14ac:dyDescent="0.25">
      <c r="A19" s="66">
        <v>7</v>
      </c>
      <c r="B19" s="184">
        <f>Ins_UR!$K$35</f>
        <v>0</v>
      </c>
      <c r="C19" s="185"/>
      <c r="D19" s="34" t="s">
        <v>161</v>
      </c>
      <c r="E19" s="35" t="str">
        <f>Ins_UR!$K$33</f>
        <v/>
      </c>
      <c r="F19" s="35" t="str">
        <f t="shared" si="3"/>
        <v/>
      </c>
      <c r="G19" s="35" t="str">
        <f>Ins_UR!$K$37</f>
        <v/>
      </c>
      <c r="H19" s="36" t="str">
        <f>IF(G19="Ditolak","Soal No. 7 wajib diganti",IF(G19="Digunakan","Soal No. 7 wajib diujikan",IF(G19="Diperbaiki",J19,"")))</f>
        <v/>
      </c>
      <c r="J19" s="64" t="str">
        <f>IF(Telaah_UR!$EI$6="","",Telaah_UR!$EI$6)</f>
        <v xml:space="preserve">Soal No. 11 perlu perbaikan pada aspek     </v>
      </c>
      <c r="K19" s="27" t="str">
        <f t="shared" si="0"/>
        <v/>
      </c>
      <c r="L19" s="37" t="str">
        <f t="shared" si="1"/>
        <v/>
      </c>
      <c r="M19" s="27" t="str">
        <f t="shared" si="2"/>
        <v/>
      </c>
      <c r="N19" s="27" t="e">
        <f>IF(B19="Ditolak","Soal Ditolak",IF(AND(#REF!="",K19="",L19="",M19="",HLOOKUP(A19,DataRek1,50,0)=100),"Soal Dapat Digunakan",IF(AND(K19&lt;&gt;"",L19&lt;&gt;"",M19&lt;&gt;""),K19&amp;", "&amp;L19&amp;", "&amp;M19&amp;" Harus Diperbaiki",IF(OR(K19&lt;&gt;"",L19&lt;&gt;"",M19&lt;&gt;""),K19&amp;", "&amp;L19&amp;", "&amp;M19&amp;" Harus Diperbaiki",""))))</f>
        <v>#REF!</v>
      </c>
      <c r="S19" s="27">
        <v>8</v>
      </c>
      <c r="T19" s="27">
        <f>[1]Instrumen!O27</f>
        <v>0</v>
      </c>
      <c r="U19" s="27">
        <f>[1]Instrumen!P27</f>
        <v>0</v>
      </c>
      <c r="V19" s="27">
        <f>[1]Instrumen!Q27</f>
        <v>0</v>
      </c>
      <c r="W19" s="27">
        <f>[1]Instrumen!R27</f>
        <v>0</v>
      </c>
      <c r="X19" s="27">
        <f>[1]Instrumen!S27</f>
        <v>0</v>
      </c>
      <c r="Y19" s="27">
        <f>[1]Instrumen!T27</f>
        <v>0</v>
      </c>
      <c r="Z19" s="27">
        <f>[1]Instrumen!U27</f>
        <v>0</v>
      </c>
      <c r="AA19" s="27">
        <f>[1]Instrumen!V27</f>
        <v>0</v>
      </c>
      <c r="AB19" s="27">
        <f>[1]Instrumen!W27</f>
        <v>0</v>
      </c>
      <c r="AC19" s="27">
        <f>[1]Instrumen!X27</f>
        <v>0</v>
      </c>
      <c r="AD19" s="27">
        <f>[1]Instrumen!Y27</f>
        <v>0</v>
      </c>
      <c r="AE19" s="27">
        <f>[1]Instrumen!Z27</f>
        <v>0</v>
      </c>
      <c r="AF19" s="27">
        <f>[1]Instrumen!AA27</f>
        <v>0</v>
      </c>
      <c r="AG19" s="27">
        <f>[1]Instrumen!AB27</f>
        <v>0</v>
      </c>
      <c r="AH19" s="27">
        <f>[1]Instrumen!AC27</f>
        <v>0</v>
      </c>
      <c r="AI19" s="27">
        <f>[1]Instrumen!AD27</f>
        <v>0</v>
      </c>
      <c r="AJ19" s="27">
        <f>[1]Instrumen!AE27</f>
        <v>0</v>
      </c>
      <c r="AK19" s="27">
        <f>[1]Instrumen!AF27</f>
        <v>0</v>
      </c>
      <c r="AL19" s="27">
        <f>[1]Instrumen!AG27</f>
        <v>0</v>
      </c>
      <c r="AM19" s="27">
        <f>[1]Instrumen!AH27</f>
        <v>0</v>
      </c>
      <c r="AN19" s="27">
        <f>[1]Instrumen!AI27</f>
        <v>0</v>
      </c>
      <c r="AO19" s="27">
        <f>[1]Instrumen!AJ27</f>
        <v>0</v>
      </c>
      <c r="AP19" s="27">
        <f>[1]Instrumen!AK27</f>
        <v>0</v>
      </c>
      <c r="AQ19" s="27">
        <f>[1]Instrumen!AL27</f>
        <v>0</v>
      </c>
      <c r="AR19" s="27">
        <f>[1]Instrumen!AM27</f>
        <v>0</v>
      </c>
      <c r="AS19" s="27">
        <f>[1]Instrumen!AN27</f>
        <v>0</v>
      </c>
      <c r="AT19" s="27">
        <f>[1]Instrumen!AO27</f>
        <v>0</v>
      </c>
      <c r="AU19" s="27">
        <f>[1]Instrumen!AP27</f>
        <v>0</v>
      </c>
      <c r="AV19" s="27">
        <f>[1]Instrumen!AQ27</f>
        <v>0</v>
      </c>
      <c r="AW19" s="27">
        <f>[1]Instrumen!AR27</f>
        <v>0</v>
      </c>
      <c r="AX19" s="27">
        <f>[1]Instrumen!AS27</f>
        <v>0</v>
      </c>
      <c r="AY19" s="27">
        <f>[1]Instrumen!AT27</f>
        <v>0</v>
      </c>
      <c r="AZ19" s="27">
        <f>[1]Instrumen!AU27</f>
        <v>0</v>
      </c>
      <c r="BA19" s="27">
        <f>[1]Instrumen!AV27</f>
        <v>0</v>
      </c>
      <c r="BB19" s="27">
        <f>[1]Instrumen!AW27</f>
        <v>0</v>
      </c>
      <c r="BC19" s="27">
        <f>[1]Instrumen!AX27</f>
        <v>0</v>
      </c>
      <c r="BD19" s="27">
        <f>[1]Instrumen!AY27</f>
        <v>0</v>
      </c>
      <c r="BE19" s="27">
        <f>[1]Instrumen!AZ27</f>
        <v>0</v>
      </c>
      <c r="BF19" s="27">
        <f>[1]Instrumen!BA27</f>
        <v>0</v>
      </c>
      <c r="BG19" s="27">
        <f>[1]Instrumen!BB27</f>
        <v>0</v>
      </c>
      <c r="BH19" s="27">
        <f>[1]Instrumen!BC27</f>
        <v>0</v>
      </c>
      <c r="BI19" s="27">
        <f>[1]Instrumen!BD27</f>
        <v>0</v>
      </c>
      <c r="BJ19" s="27">
        <f>[1]Instrumen!BE27</f>
        <v>0</v>
      </c>
      <c r="BK19" s="27">
        <f>[1]Instrumen!BF27</f>
        <v>0</v>
      </c>
      <c r="BL19" s="27">
        <f>[1]Instrumen!BG27</f>
        <v>0</v>
      </c>
      <c r="BM19" s="27">
        <f>[1]Instrumen!BH27</f>
        <v>0</v>
      </c>
      <c r="BN19" s="27">
        <f>[1]Instrumen!BI27</f>
        <v>0</v>
      </c>
      <c r="BO19" s="27">
        <f>[1]Instrumen!BJ27</f>
        <v>0</v>
      </c>
      <c r="BP19" s="27">
        <f>[1]Instrumen!BK27</f>
        <v>0</v>
      </c>
      <c r="BQ19" s="27">
        <f>[1]Instrumen!BL27</f>
        <v>0</v>
      </c>
    </row>
    <row r="20" spans="1:69" ht="18" hidden="1" customHeight="1" x14ac:dyDescent="0.25">
      <c r="A20" s="66">
        <v>8</v>
      </c>
      <c r="B20" s="184">
        <f>Ins_UR!$L$35</f>
        <v>0</v>
      </c>
      <c r="C20" s="185"/>
      <c r="D20" s="34" t="s">
        <v>161</v>
      </c>
      <c r="E20" s="35" t="str">
        <f>Ins_UR!$L$33</f>
        <v/>
      </c>
      <c r="F20" s="35" t="str">
        <f t="shared" si="3"/>
        <v/>
      </c>
      <c r="G20" s="35" t="str">
        <f>Ins_UR!$L$37</f>
        <v/>
      </c>
      <c r="H20" s="36" t="str">
        <f>IF(G20="Ditolak","Soal No. 8 wajib diganti",IF(G20="Digunakan","Soal No. 8 wajib diujikan",IF(G20="Diperbaiki",J20,"")))</f>
        <v/>
      </c>
      <c r="J20" s="64" t="str">
        <f>IF(Telaah_UR!$EJ$6="","",Telaah_UR!$EJ$6)</f>
        <v xml:space="preserve">Soal No. 12 perlu perbaikan pada aspek     </v>
      </c>
      <c r="K20" s="27" t="str">
        <f t="shared" si="0"/>
        <v/>
      </c>
      <c r="L20" s="37" t="str">
        <f t="shared" si="1"/>
        <v/>
      </c>
      <c r="M20" s="27" t="str">
        <f t="shared" si="2"/>
        <v/>
      </c>
      <c r="N20" s="27" t="e">
        <f>IF(B20="Ditolak","Soal Ditolak",IF(AND(#REF!="",K20="",L20="",M20="",HLOOKUP(A20,DataRek1,50,0)=100),"Soal Dapat Digunakan",IF(AND(K20&lt;&gt;"",L20&lt;&gt;"",M20&lt;&gt;""),K20&amp;", "&amp;L20&amp;", "&amp;M20&amp;" Harus Diperbaiki",IF(OR(K20&lt;&gt;"",L20&lt;&gt;"",M20&lt;&gt;""),K20&amp;", "&amp;L20&amp;", "&amp;M20&amp;" Harus Diperbaiki",""))))</f>
        <v>#REF!</v>
      </c>
      <c r="S20" s="27">
        <v>9</v>
      </c>
      <c r="T20" s="27">
        <f>[1]Instrumen!O29</f>
        <v>0</v>
      </c>
      <c r="U20" s="27">
        <f>[1]Instrumen!P29</f>
        <v>0</v>
      </c>
      <c r="V20" s="27">
        <f>[1]Instrumen!Q29</f>
        <v>0</v>
      </c>
      <c r="W20" s="27">
        <f>[1]Instrumen!R29</f>
        <v>0</v>
      </c>
      <c r="X20" s="27">
        <f>[1]Instrumen!S29</f>
        <v>0</v>
      </c>
      <c r="Y20" s="27">
        <f>[1]Instrumen!T29</f>
        <v>0</v>
      </c>
      <c r="Z20" s="27">
        <f>[1]Instrumen!U29</f>
        <v>0</v>
      </c>
      <c r="AA20" s="27">
        <f>[1]Instrumen!V29</f>
        <v>0</v>
      </c>
      <c r="AB20" s="27">
        <f>[1]Instrumen!W29</f>
        <v>0</v>
      </c>
      <c r="AC20" s="27">
        <f>[1]Instrumen!X29</f>
        <v>0</v>
      </c>
      <c r="AD20" s="27">
        <f>[1]Instrumen!Y29</f>
        <v>0</v>
      </c>
      <c r="AE20" s="27">
        <f>[1]Instrumen!Z29</f>
        <v>0</v>
      </c>
      <c r="AF20" s="27">
        <f>[1]Instrumen!AA29</f>
        <v>0</v>
      </c>
      <c r="AG20" s="27">
        <f>[1]Instrumen!AB29</f>
        <v>0</v>
      </c>
      <c r="AH20" s="27">
        <f>[1]Instrumen!AC29</f>
        <v>0</v>
      </c>
      <c r="AI20" s="27">
        <f>[1]Instrumen!AD29</f>
        <v>0</v>
      </c>
      <c r="AJ20" s="27">
        <f>[1]Instrumen!AE29</f>
        <v>0</v>
      </c>
      <c r="AK20" s="27">
        <f>[1]Instrumen!AF29</f>
        <v>0</v>
      </c>
      <c r="AL20" s="27">
        <f>[1]Instrumen!AG29</f>
        <v>0</v>
      </c>
      <c r="AM20" s="27">
        <f>[1]Instrumen!AH29</f>
        <v>0</v>
      </c>
      <c r="AN20" s="27">
        <f>[1]Instrumen!AI29</f>
        <v>0</v>
      </c>
      <c r="AO20" s="27">
        <f>[1]Instrumen!AJ29</f>
        <v>0</v>
      </c>
      <c r="AP20" s="27">
        <f>[1]Instrumen!AK29</f>
        <v>0</v>
      </c>
      <c r="AQ20" s="27">
        <f>[1]Instrumen!AL29</f>
        <v>0</v>
      </c>
      <c r="AR20" s="27">
        <f>[1]Instrumen!AM29</f>
        <v>0</v>
      </c>
      <c r="AS20" s="27">
        <f>[1]Instrumen!AN29</f>
        <v>0</v>
      </c>
      <c r="AT20" s="27">
        <f>[1]Instrumen!AO29</f>
        <v>0</v>
      </c>
      <c r="AU20" s="27">
        <f>[1]Instrumen!AP29</f>
        <v>0</v>
      </c>
      <c r="AV20" s="27">
        <f>[1]Instrumen!AQ29</f>
        <v>0</v>
      </c>
      <c r="AW20" s="27">
        <f>[1]Instrumen!AR29</f>
        <v>0</v>
      </c>
      <c r="AX20" s="27">
        <f>[1]Instrumen!AS29</f>
        <v>0</v>
      </c>
      <c r="AY20" s="27">
        <f>[1]Instrumen!AT29</f>
        <v>0</v>
      </c>
      <c r="AZ20" s="27">
        <f>[1]Instrumen!AU29</f>
        <v>0</v>
      </c>
      <c r="BA20" s="27">
        <f>[1]Instrumen!AV29</f>
        <v>0</v>
      </c>
      <c r="BB20" s="27">
        <f>[1]Instrumen!AW29</f>
        <v>0</v>
      </c>
      <c r="BC20" s="27">
        <f>[1]Instrumen!AX29</f>
        <v>0</v>
      </c>
      <c r="BD20" s="27">
        <f>[1]Instrumen!AY29</f>
        <v>0</v>
      </c>
      <c r="BE20" s="27">
        <f>[1]Instrumen!AZ29</f>
        <v>0</v>
      </c>
      <c r="BF20" s="27">
        <f>[1]Instrumen!BA29</f>
        <v>0</v>
      </c>
      <c r="BG20" s="27">
        <f>[1]Instrumen!BB29</f>
        <v>0</v>
      </c>
      <c r="BH20" s="27">
        <f>[1]Instrumen!BC29</f>
        <v>0</v>
      </c>
      <c r="BI20" s="27">
        <f>[1]Instrumen!BD29</f>
        <v>0</v>
      </c>
      <c r="BJ20" s="27">
        <f>[1]Instrumen!BE29</f>
        <v>0</v>
      </c>
      <c r="BK20" s="27">
        <f>[1]Instrumen!BF29</f>
        <v>0</v>
      </c>
      <c r="BL20" s="27">
        <f>[1]Instrumen!BG29</f>
        <v>0</v>
      </c>
      <c r="BM20" s="27">
        <f>[1]Instrumen!BH29</f>
        <v>0</v>
      </c>
      <c r="BN20" s="27">
        <f>[1]Instrumen!BI29</f>
        <v>0</v>
      </c>
      <c r="BO20" s="27">
        <f>[1]Instrumen!BJ29</f>
        <v>0</v>
      </c>
      <c r="BP20" s="27">
        <f>[1]Instrumen!BK29</f>
        <v>0</v>
      </c>
      <c r="BQ20" s="27">
        <f>[1]Instrumen!BL29</f>
        <v>0</v>
      </c>
    </row>
    <row r="21" spans="1:69" ht="18" hidden="1" customHeight="1" x14ac:dyDescent="0.25">
      <c r="A21" s="66">
        <v>9</v>
      </c>
      <c r="B21" s="184">
        <f>Ins_UR!$M$35</f>
        <v>0</v>
      </c>
      <c r="C21" s="185"/>
      <c r="D21" s="34" t="s">
        <v>161</v>
      </c>
      <c r="E21" s="35" t="str">
        <f>Ins_UR!$M$33</f>
        <v/>
      </c>
      <c r="F21" s="35" t="str">
        <f t="shared" si="3"/>
        <v/>
      </c>
      <c r="G21" s="35" t="str">
        <f>Ins_UR!$M$37</f>
        <v/>
      </c>
      <c r="H21" s="36" t="str">
        <f>IF(G21="Ditolak","Soal No. 9 wajib diganti",IF(G21="Digunakan","Soal No. 9 wajib diujikan",IF(G21="Diperbaiki",J21,"")))</f>
        <v/>
      </c>
      <c r="J21" s="64" t="str">
        <f>IF(Telaah_UR!$EK$6="","",Telaah_UR!$EK$6)</f>
        <v xml:space="preserve">Soal No. 13 perlu perbaikan pada aspek     </v>
      </c>
      <c r="K21" s="27" t="str">
        <f t="shared" si="0"/>
        <v/>
      </c>
      <c r="L21" s="37" t="str">
        <f t="shared" si="1"/>
        <v/>
      </c>
      <c r="M21" s="27" t="str">
        <f t="shared" si="2"/>
        <v/>
      </c>
      <c r="N21" s="27" t="e">
        <f>IF(B21="Ditolak","Soal Ditolak",IF(AND(#REF!="",K21="",L21="",M21="",HLOOKUP(A21,DataRek1,50,0)=100),"Soal Dapat Digunakan",IF(AND(K21&lt;&gt;"",L21&lt;&gt;"",M21&lt;&gt;""),K21&amp;", "&amp;L21&amp;", "&amp;M21&amp;" Harus Diperbaiki",IF(OR(K21&lt;&gt;"",L21&lt;&gt;"",M21&lt;&gt;""),K21&amp;", "&amp;L21&amp;", "&amp;M21&amp;" Harus Diperbaiki",""))))</f>
        <v>#REF!</v>
      </c>
      <c r="S21" s="27">
        <v>10</v>
      </c>
      <c r="T21" s="27">
        <f>[1]Instrumen!O32</f>
        <v>0</v>
      </c>
      <c r="U21" s="27">
        <f>[1]Instrumen!P32</f>
        <v>0</v>
      </c>
      <c r="V21" s="27">
        <f>[1]Instrumen!Q32</f>
        <v>0</v>
      </c>
      <c r="W21" s="27">
        <f>[1]Instrumen!R32</f>
        <v>0</v>
      </c>
      <c r="X21" s="27">
        <f>[1]Instrumen!S32</f>
        <v>0</v>
      </c>
      <c r="Y21" s="27">
        <f>[1]Instrumen!T32</f>
        <v>0</v>
      </c>
      <c r="Z21" s="27">
        <f>[1]Instrumen!U32</f>
        <v>0</v>
      </c>
      <c r="AA21" s="27">
        <f>[1]Instrumen!V32</f>
        <v>0</v>
      </c>
      <c r="AB21" s="27">
        <f>[1]Instrumen!W32</f>
        <v>0</v>
      </c>
      <c r="AC21" s="27">
        <f>[1]Instrumen!X32</f>
        <v>0</v>
      </c>
      <c r="AD21" s="27">
        <f>[1]Instrumen!Y32</f>
        <v>0</v>
      </c>
      <c r="AE21" s="27">
        <f>[1]Instrumen!Z32</f>
        <v>0</v>
      </c>
      <c r="AF21" s="27">
        <f>[1]Instrumen!AA32</f>
        <v>0</v>
      </c>
      <c r="AG21" s="27">
        <f>[1]Instrumen!AB32</f>
        <v>0</v>
      </c>
      <c r="AH21" s="27">
        <f>[1]Instrumen!AC32</f>
        <v>0</v>
      </c>
      <c r="AI21" s="27">
        <f>[1]Instrumen!AD32</f>
        <v>0</v>
      </c>
      <c r="AJ21" s="27">
        <f>[1]Instrumen!AE32</f>
        <v>0</v>
      </c>
      <c r="AK21" s="27">
        <f>[1]Instrumen!AF32</f>
        <v>0</v>
      </c>
      <c r="AL21" s="27">
        <f>[1]Instrumen!AG32</f>
        <v>0</v>
      </c>
      <c r="AM21" s="27">
        <f>[1]Instrumen!AH32</f>
        <v>0</v>
      </c>
      <c r="AN21" s="27">
        <f>[1]Instrumen!AI32</f>
        <v>0</v>
      </c>
      <c r="AO21" s="27">
        <f>[1]Instrumen!AJ32</f>
        <v>0</v>
      </c>
      <c r="AP21" s="27">
        <f>[1]Instrumen!AK32</f>
        <v>0</v>
      </c>
      <c r="AQ21" s="27">
        <f>[1]Instrumen!AL32</f>
        <v>0</v>
      </c>
      <c r="AR21" s="27">
        <f>[1]Instrumen!AM32</f>
        <v>0</v>
      </c>
      <c r="AS21" s="27">
        <f>[1]Instrumen!AN32</f>
        <v>0</v>
      </c>
      <c r="AT21" s="27">
        <f>[1]Instrumen!AO32</f>
        <v>0</v>
      </c>
      <c r="AU21" s="27">
        <f>[1]Instrumen!AP32</f>
        <v>0</v>
      </c>
      <c r="AV21" s="27">
        <f>[1]Instrumen!AQ32</f>
        <v>0</v>
      </c>
      <c r="AW21" s="27">
        <f>[1]Instrumen!AR32</f>
        <v>0</v>
      </c>
      <c r="AX21" s="27">
        <f>[1]Instrumen!AS32</f>
        <v>0</v>
      </c>
      <c r="AY21" s="27">
        <f>[1]Instrumen!AT32</f>
        <v>0</v>
      </c>
      <c r="AZ21" s="27">
        <f>[1]Instrumen!AU32</f>
        <v>0</v>
      </c>
      <c r="BA21" s="27">
        <f>[1]Instrumen!AV32</f>
        <v>0</v>
      </c>
      <c r="BB21" s="27">
        <f>[1]Instrumen!AW32</f>
        <v>0</v>
      </c>
      <c r="BC21" s="27">
        <f>[1]Instrumen!AX32</f>
        <v>0</v>
      </c>
      <c r="BD21" s="27">
        <f>[1]Instrumen!AY32</f>
        <v>0</v>
      </c>
      <c r="BE21" s="27">
        <f>[1]Instrumen!AZ32</f>
        <v>0</v>
      </c>
      <c r="BF21" s="27">
        <f>[1]Instrumen!BA32</f>
        <v>0</v>
      </c>
      <c r="BG21" s="27">
        <f>[1]Instrumen!BB32</f>
        <v>0</v>
      </c>
      <c r="BH21" s="27">
        <f>[1]Instrumen!BC32</f>
        <v>0</v>
      </c>
      <c r="BI21" s="27">
        <f>[1]Instrumen!BD32</f>
        <v>0</v>
      </c>
      <c r="BJ21" s="27">
        <f>[1]Instrumen!BE32</f>
        <v>0</v>
      </c>
      <c r="BK21" s="27">
        <f>[1]Instrumen!BF32</f>
        <v>0</v>
      </c>
      <c r="BL21" s="27">
        <f>[1]Instrumen!BG32</f>
        <v>0</v>
      </c>
      <c r="BM21" s="27">
        <f>[1]Instrumen!BH32</f>
        <v>0</v>
      </c>
      <c r="BN21" s="27">
        <f>[1]Instrumen!BI32</f>
        <v>0</v>
      </c>
      <c r="BO21" s="27">
        <f>[1]Instrumen!BJ32</f>
        <v>0</v>
      </c>
      <c r="BP21" s="27">
        <f>[1]Instrumen!BK32</f>
        <v>0</v>
      </c>
      <c r="BQ21" s="27">
        <f>[1]Instrumen!BL32</f>
        <v>0</v>
      </c>
    </row>
    <row r="22" spans="1:69" ht="18" hidden="1" customHeight="1" x14ac:dyDescent="0.25">
      <c r="A22" s="66">
        <v>10</v>
      </c>
      <c r="B22" s="184">
        <f>Ins_UR!$N$35</f>
        <v>0</v>
      </c>
      <c r="C22" s="185"/>
      <c r="D22" s="34" t="s">
        <v>161</v>
      </c>
      <c r="E22" s="35" t="str">
        <f>Ins_UR!$N$33</f>
        <v/>
      </c>
      <c r="F22" s="35" t="str">
        <f t="shared" si="3"/>
        <v/>
      </c>
      <c r="G22" s="35" t="str">
        <f>Ins_UR!$N$37</f>
        <v/>
      </c>
      <c r="H22" s="36" t="str">
        <f>IF(G22="Ditolak","Soal No. 10 wajib diganti",IF(G22="Digunakan","Soal No. 10 wajib diujikan",IF(G22="Diperbaiki",J22,"")))</f>
        <v/>
      </c>
      <c r="J22" s="64" t="str">
        <f>IF(Telaah_UR!$EL$6="","",Telaah_UR!$EL$6)</f>
        <v xml:space="preserve">Soal No. 14 perlu perbaikan pada aspek     </v>
      </c>
      <c r="K22" s="27" t="str">
        <f t="shared" si="0"/>
        <v/>
      </c>
      <c r="L22" s="37" t="str">
        <f t="shared" si="1"/>
        <v/>
      </c>
      <c r="M22" s="27" t="str">
        <f t="shared" si="2"/>
        <v/>
      </c>
      <c r="N22" s="27" t="e">
        <f>IF(B22="Ditolak","Soal Ditolak",IF(AND(#REF!="",K22="",L22="",M22="",HLOOKUP(A22,DataRek1,50,0)=100),"Soal Dapat Digunakan",IF(AND(K22&lt;&gt;"",L22&lt;&gt;"",M22&lt;&gt;""),K22&amp;", "&amp;L22&amp;", "&amp;M22&amp;" Harus Diperbaiki",IF(OR(K22&lt;&gt;"",L22&lt;&gt;"",M22&lt;&gt;""),K22&amp;", "&amp;L22&amp;", "&amp;M22&amp;" Harus Diperbaiki",""))))</f>
        <v>#REF!</v>
      </c>
      <c r="S22" s="27">
        <v>11</v>
      </c>
      <c r="T22" s="27">
        <f>[1]Instrumen!O34</f>
        <v>0</v>
      </c>
      <c r="U22" s="27">
        <f>[1]Instrumen!P34</f>
        <v>0</v>
      </c>
      <c r="V22" s="27">
        <f>[1]Instrumen!Q34</f>
        <v>0</v>
      </c>
      <c r="W22" s="27">
        <f>[1]Instrumen!R34</f>
        <v>0</v>
      </c>
      <c r="X22" s="27">
        <f>[1]Instrumen!S34</f>
        <v>0</v>
      </c>
      <c r="Y22" s="27">
        <f>[1]Instrumen!T34</f>
        <v>0</v>
      </c>
      <c r="Z22" s="27">
        <f>[1]Instrumen!U34</f>
        <v>0</v>
      </c>
      <c r="AA22" s="27">
        <f>[1]Instrumen!V34</f>
        <v>0</v>
      </c>
      <c r="AB22" s="27">
        <f>[1]Instrumen!W34</f>
        <v>0</v>
      </c>
      <c r="AC22" s="27">
        <f>[1]Instrumen!X34</f>
        <v>0</v>
      </c>
      <c r="AD22" s="27">
        <f>[1]Instrumen!Y34</f>
        <v>0</v>
      </c>
      <c r="AE22" s="27">
        <f>[1]Instrumen!Z34</f>
        <v>0</v>
      </c>
      <c r="AF22" s="27">
        <f>[1]Instrumen!AA34</f>
        <v>0</v>
      </c>
      <c r="AG22" s="27">
        <f>[1]Instrumen!AB34</f>
        <v>0</v>
      </c>
      <c r="AH22" s="27">
        <f>[1]Instrumen!AC34</f>
        <v>0</v>
      </c>
      <c r="AI22" s="27">
        <f>[1]Instrumen!AD34</f>
        <v>0</v>
      </c>
      <c r="AJ22" s="27">
        <f>[1]Instrumen!AE34</f>
        <v>0</v>
      </c>
      <c r="AK22" s="27">
        <f>[1]Instrumen!AF34</f>
        <v>0</v>
      </c>
      <c r="AL22" s="27">
        <f>[1]Instrumen!AG34</f>
        <v>0</v>
      </c>
      <c r="AM22" s="27">
        <f>[1]Instrumen!AH34</f>
        <v>0</v>
      </c>
      <c r="AN22" s="27">
        <f>[1]Instrumen!AI34</f>
        <v>0</v>
      </c>
      <c r="AO22" s="27">
        <f>[1]Instrumen!AJ34</f>
        <v>0</v>
      </c>
      <c r="AP22" s="27">
        <f>[1]Instrumen!AK34</f>
        <v>0</v>
      </c>
      <c r="AQ22" s="27">
        <f>[1]Instrumen!AL34</f>
        <v>0</v>
      </c>
      <c r="AR22" s="27">
        <f>[1]Instrumen!AM34</f>
        <v>0</v>
      </c>
      <c r="AS22" s="27">
        <f>[1]Instrumen!AN34</f>
        <v>0</v>
      </c>
      <c r="AT22" s="27">
        <f>[1]Instrumen!AO34</f>
        <v>0</v>
      </c>
      <c r="AU22" s="27">
        <f>[1]Instrumen!AP34</f>
        <v>0</v>
      </c>
      <c r="AV22" s="27">
        <f>[1]Instrumen!AQ34</f>
        <v>0</v>
      </c>
      <c r="AW22" s="27">
        <f>[1]Instrumen!AR34</f>
        <v>0</v>
      </c>
      <c r="AX22" s="27">
        <f>[1]Instrumen!AS34</f>
        <v>0</v>
      </c>
      <c r="AY22" s="27">
        <f>[1]Instrumen!AT34</f>
        <v>0</v>
      </c>
      <c r="AZ22" s="27">
        <f>[1]Instrumen!AU34</f>
        <v>0</v>
      </c>
      <c r="BA22" s="27">
        <f>[1]Instrumen!AV34</f>
        <v>0</v>
      </c>
      <c r="BB22" s="27">
        <f>[1]Instrumen!AW34</f>
        <v>0</v>
      </c>
      <c r="BC22" s="27">
        <f>[1]Instrumen!AX34</f>
        <v>0</v>
      </c>
      <c r="BD22" s="27">
        <f>[1]Instrumen!AY34</f>
        <v>0</v>
      </c>
      <c r="BE22" s="27">
        <f>[1]Instrumen!AZ34</f>
        <v>0</v>
      </c>
      <c r="BF22" s="27">
        <f>[1]Instrumen!BA34</f>
        <v>0</v>
      </c>
      <c r="BG22" s="27">
        <f>[1]Instrumen!BB34</f>
        <v>0</v>
      </c>
      <c r="BH22" s="27">
        <f>[1]Instrumen!BC34</f>
        <v>0</v>
      </c>
      <c r="BI22" s="27">
        <f>[1]Instrumen!BD34</f>
        <v>0</v>
      </c>
      <c r="BJ22" s="27">
        <f>[1]Instrumen!BE34</f>
        <v>0</v>
      </c>
      <c r="BK22" s="27">
        <f>[1]Instrumen!BF34</f>
        <v>0</v>
      </c>
      <c r="BL22" s="27">
        <f>[1]Instrumen!BG34</f>
        <v>0</v>
      </c>
      <c r="BM22" s="27">
        <f>[1]Instrumen!BH34</f>
        <v>0</v>
      </c>
      <c r="BN22" s="27">
        <f>[1]Instrumen!BI34</f>
        <v>0</v>
      </c>
      <c r="BO22" s="27">
        <f>[1]Instrumen!BJ34</f>
        <v>0</v>
      </c>
      <c r="BP22" s="27">
        <f>[1]Instrumen!BK34</f>
        <v>0</v>
      </c>
      <c r="BQ22" s="27">
        <f>[1]Instrumen!BL34</f>
        <v>0</v>
      </c>
    </row>
    <row r="23" spans="1:69" ht="18" hidden="1" customHeight="1" x14ac:dyDescent="0.25">
      <c r="A23" s="66">
        <v>11</v>
      </c>
      <c r="B23" s="184">
        <f>Ins_UR!$O$35</f>
        <v>0</v>
      </c>
      <c r="C23" s="185"/>
      <c r="D23" s="34" t="s">
        <v>161</v>
      </c>
      <c r="E23" s="35" t="str">
        <f>Ins_UR!$O$33</f>
        <v/>
      </c>
      <c r="F23" s="35" t="str">
        <f t="shared" si="3"/>
        <v/>
      </c>
      <c r="G23" s="35" t="str">
        <f>Ins_UR!$O$37</f>
        <v/>
      </c>
      <c r="H23" s="36" t="str">
        <f>IF(G23="Ditolak","Soal No. 11 wajib diganti",IF(G23="Digunakan","Soal No. 11 wajib diujikan",IF(G23="Diperbaiki",J23,"")))</f>
        <v/>
      </c>
      <c r="J23" s="64" t="str">
        <f>IF(Telaah_UR!$EM$6="","",Telaah_UR!$EM$6)</f>
        <v xml:space="preserve">Soal No. 15 perlu perbaikan pada aspek     </v>
      </c>
      <c r="K23" s="27" t="str">
        <f t="shared" si="0"/>
        <v/>
      </c>
      <c r="L23" s="37" t="str">
        <f t="shared" si="1"/>
        <v/>
      </c>
      <c r="M23" s="27" t="str">
        <f t="shared" si="2"/>
        <v/>
      </c>
      <c r="N23" s="27" t="e">
        <f>IF(B23="Ditolak","Soal Ditolak",IF(AND(#REF!="",K23="",L23="",M23="",HLOOKUP(A23,DataRek1,50,0)=100),"Soal Dapat Digunakan",IF(AND(K23&lt;&gt;"",L23&lt;&gt;"",M23&lt;&gt;""),K23&amp;", "&amp;L23&amp;", "&amp;M23&amp;" Harus Diperbaiki",IF(OR(K23&lt;&gt;"",L23&lt;&gt;"",M23&lt;&gt;""),K23&amp;", "&amp;L23&amp;", "&amp;M23&amp;" Harus Diperbaiki",""))))</f>
        <v>#REF!</v>
      </c>
      <c r="S23" s="27">
        <v>12</v>
      </c>
      <c r="T23" s="27">
        <f>[1]Instrumen!O36</f>
        <v>0</v>
      </c>
      <c r="U23" s="27">
        <f>[1]Instrumen!P36</f>
        <v>0</v>
      </c>
      <c r="V23" s="27">
        <f>[1]Instrumen!Q36</f>
        <v>0</v>
      </c>
      <c r="W23" s="27">
        <f>[1]Instrumen!R36</f>
        <v>0</v>
      </c>
      <c r="X23" s="27">
        <f>[1]Instrumen!S36</f>
        <v>0</v>
      </c>
      <c r="Y23" s="27">
        <f>[1]Instrumen!T36</f>
        <v>0</v>
      </c>
      <c r="Z23" s="27">
        <f>[1]Instrumen!U36</f>
        <v>0</v>
      </c>
      <c r="AA23" s="27">
        <f>[1]Instrumen!V36</f>
        <v>0</v>
      </c>
      <c r="AB23" s="27">
        <f>[1]Instrumen!W36</f>
        <v>0</v>
      </c>
      <c r="AC23" s="27">
        <f>[1]Instrumen!X36</f>
        <v>0</v>
      </c>
      <c r="AD23" s="27">
        <f>[1]Instrumen!Y36</f>
        <v>0</v>
      </c>
      <c r="AE23" s="27">
        <f>[1]Instrumen!Z36</f>
        <v>0</v>
      </c>
      <c r="AF23" s="27">
        <f>[1]Instrumen!AA36</f>
        <v>0</v>
      </c>
      <c r="AG23" s="27">
        <f>[1]Instrumen!AB36</f>
        <v>0</v>
      </c>
      <c r="AH23" s="27">
        <f>[1]Instrumen!AC36</f>
        <v>0</v>
      </c>
      <c r="AI23" s="27">
        <f>[1]Instrumen!AD36</f>
        <v>0</v>
      </c>
      <c r="AJ23" s="27">
        <f>[1]Instrumen!AE36</f>
        <v>0</v>
      </c>
      <c r="AK23" s="27">
        <f>[1]Instrumen!AF36</f>
        <v>0</v>
      </c>
      <c r="AL23" s="27">
        <f>[1]Instrumen!AG36</f>
        <v>0</v>
      </c>
      <c r="AM23" s="27">
        <f>[1]Instrumen!AH36</f>
        <v>0</v>
      </c>
      <c r="AN23" s="27">
        <f>[1]Instrumen!AI36</f>
        <v>0</v>
      </c>
      <c r="AO23" s="27">
        <f>[1]Instrumen!AJ36</f>
        <v>0</v>
      </c>
      <c r="AP23" s="27">
        <f>[1]Instrumen!AK36</f>
        <v>0</v>
      </c>
      <c r="AQ23" s="27">
        <f>[1]Instrumen!AL36</f>
        <v>0</v>
      </c>
      <c r="AR23" s="27">
        <f>[1]Instrumen!AM36</f>
        <v>0</v>
      </c>
      <c r="AS23" s="27">
        <f>[1]Instrumen!AN36</f>
        <v>0</v>
      </c>
      <c r="AT23" s="27">
        <f>[1]Instrumen!AO36</f>
        <v>0</v>
      </c>
      <c r="AU23" s="27">
        <f>[1]Instrumen!AP36</f>
        <v>0</v>
      </c>
      <c r="AV23" s="27">
        <f>[1]Instrumen!AQ36</f>
        <v>0</v>
      </c>
      <c r="AW23" s="27">
        <f>[1]Instrumen!AR36</f>
        <v>0</v>
      </c>
      <c r="AX23" s="27">
        <f>[1]Instrumen!AS36</f>
        <v>0</v>
      </c>
      <c r="AY23" s="27">
        <f>[1]Instrumen!AT36</f>
        <v>0</v>
      </c>
      <c r="AZ23" s="27">
        <f>[1]Instrumen!AU36</f>
        <v>0</v>
      </c>
      <c r="BA23" s="27">
        <f>[1]Instrumen!AV36</f>
        <v>0</v>
      </c>
      <c r="BB23" s="27">
        <f>[1]Instrumen!AW36</f>
        <v>0</v>
      </c>
      <c r="BC23" s="27">
        <f>[1]Instrumen!AX36</f>
        <v>0</v>
      </c>
      <c r="BD23" s="27">
        <f>[1]Instrumen!AY36</f>
        <v>0</v>
      </c>
      <c r="BE23" s="27">
        <f>[1]Instrumen!AZ36</f>
        <v>0</v>
      </c>
      <c r="BF23" s="27">
        <f>[1]Instrumen!BA36</f>
        <v>0</v>
      </c>
      <c r="BG23" s="27">
        <f>[1]Instrumen!BB36</f>
        <v>0</v>
      </c>
      <c r="BH23" s="27">
        <f>[1]Instrumen!BC36</f>
        <v>0</v>
      </c>
      <c r="BI23" s="27">
        <f>[1]Instrumen!BD36</f>
        <v>0</v>
      </c>
      <c r="BJ23" s="27">
        <f>[1]Instrumen!BE36</f>
        <v>0</v>
      </c>
      <c r="BK23" s="27">
        <f>[1]Instrumen!BF36</f>
        <v>0</v>
      </c>
      <c r="BL23" s="27">
        <f>[1]Instrumen!BG36</f>
        <v>0</v>
      </c>
      <c r="BM23" s="27">
        <f>[1]Instrumen!BH36</f>
        <v>0</v>
      </c>
      <c r="BN23" s="27">
        <f>[1]Instrumen!BI36</f>
        <v>0</v>
      </c>
      <c r="BO23" s="27">
        <f>[1]Instrumen!BJ36</f>
        <v>0</v>
      </c>
      <c r="BP23" s="27">
        <f>[1]Instrumen!BK36</f>
        <v>0</v>
      </c>
      <c r="BQ23" s="27">
        <f>[1]Instrumen!BL36</f>
        <v>0</v>
      </c>
    </row>
    <row r="24" spans="1:69" ht="18" hidden="1" customHeight="1" x14ac:dyDescent="0.25">
      <c r="A24" s="66">
        <v>12</v>
      </c>
      <c r="B24" s="184">
        <f>Ins_UR!$P$35</f>
        <v>0</v>
      </c>
      <c r="C24" s="185"/>
      <c r="D24" s="34" t="s">
        <v>161</v>
      </c>
      <c r="E24" s="35" t="str">
        <f>Ins_UR!$P$33</f>
        <v/>
      </c>
      <c r="F24" s="35" t="str">
        <f t="shared" si="3"/>
        <v/>
      </c>
      <c r="G24" s="35" t="str">
        <f>Ins_UR!$P$37</f>
        <v/>
      </c>
      <c r="H24" s="36" t="str">
        <f>IF(G24="Ditolak","Soal No. 12 wajib diganti",IF(G24="Digunakan","Soal No. 12 wajib diujikan",IF(G24="Diperbaiki",J24,"")))</f>
        <v/>
      </c>
      <c r="J24" s="64" t="str">
        <f>IF(Telaah_UR!$EN$6="","",Telaah_UR!$EN$6)</f>
        <v xml:space="preserve">Soal No. 16 perlu perbaikan pada aspek     </v>
      </c>
      <c r="K24" s="27" t="str">
        <f t="shared" si="0"/>
        <v/>
      </c>
      <c r="L24" s="37" t="str">
        <f t="shared" si="1"/>
        <v/>
      </c>
      <c r="M24" s="27" t="str">
        <f t="shared" si="2"/>
        <v/>
      </c>
      <c r="N24" s="27" t="e">
        <f>IF(B24="Ditolak","Soal Ditolak",IF(AND(#REF!="",K24="",L24="",M24="",HLOOKUP(A24,DataRek1,50,0)=100),"Soal Dapat Digunakan",IF(AND(K24&lt;&gt;"",L24&lt;&gt;"",M24&lt;&gt;""),K24&amp;", "&amp;L24&amp;", "&amp;M24&amp;" Harus Diperbaiki",IF(OR(K24&lt;&gt;"",L24&lt;&gt;"",M24&lt;&gt;""),K24&amp;", "&amp;L24&amp;", "&amp;M24&amp;" Harus Diperbaiki",""))))</f>
        <v>#REF!</v>
      </c>
      <c r="S24" s="27">
        <v>13</v>
      </c>
      <c r="T24" s="27">
        <f>[1]Instrumen!O39</f>
        <v>0</v>
      </c>
      <c r="U24" s="27">
        <f>[1]Instrumen!P39</f>
        <v>0</v>
      </c>
      <c r="V24" s="27">
        <f>[1]Instrumen!Q39</f>
        <v>0</v>
      </c>
      <c r="W24" s="27">
        <f>[1]Instrumen!R39</f>
        <v>0</v>
      </c>
      <c r="X24" s="27">
        <f>[1]Instrumen!S39</f>
        <v>0</v>
      </c>
      <c r="Y24" s="27">
        <f>[1]Instrumen!T39</f>
        <v>0</v>
      </c>
      <c r="Z24" s="27">
        <f>[1]Instrumen!U39</f>
        <v>0</v>
      </c>
      <c r="AA24" s="27">
        <f>[1]Instrumen!V39</f>
        <v>0</v>
      </c>
      <c r="AB24" s="27">
        <f>[1]Instrumen!W39</f>
        <v>0</v>
      </c>
      <c r="AC24" s="27">
        <f>[1]Instrumen!X39</f>
        <v>0</v>
      </c>
      <c r="AD24" s="27">
        <f>[1]Instrumen!Y39</f>
        <v>0</v>
      </c>
      <c r="AE24" s="27">
        <f>[1]Instrumen!Z39</f>
        <v>0</v>
      </c>
      <c r="AF24" s="27">
        <f>[1]Instrumen!AA39</f>
        <v>0</v>
      </c>
      <c r="AG24" s="27">
        <f>[1]Instrumen!AB39</f>
        <v>0</v>
      </c>
      <c r="AH24" s="27">
        <f>[1]Instrumen!AC39</f>
        <v>0</v>
      </c>
      <c r="AI24" s="27">
        <f>[1]Instrumen!AD39</f>
        <v>0</v>
      </c>
      <c r="AJ24" s="27">
        <f>[1]Instrumen!AE39</f>
        <v>0</v>
      </c>
      <c r="AK24" s="27">
        <f>[1]Instrumen!AF39</f>
        <v>0</v>
      </c>
      <c r="AL24" s="27">
        <f>[1]Instrumen!AG39</f>
        <v>0</v>
      </c>
      <c r="AM24" s="27">
        <f>[1]Instrumen!AH39</f>
        <v>0</v>
      </c>
      <c r="AN24" s="27">
        <f>[1]Instrumen!AI39</f>
        <v>0</v>
      </c>
      <c r="AO24" s="27">
        <f>[1]Instrumen!AJ39</f>
        <v>0</v>
      </c>
      <c r="AP24" s="27">
        <f>[1]Instrumen!AK39</f>
        <v>0</v>
      </c>
      <c r="AQ24" s="27">
        <f>[1]Instrumen!AL39</f>
        <v>0</v>
      </c>
      <c r="AR24" s="27">
        <f>[1]Instrumen!AM39</f>
        <v>0</v>
      </c>
      <c r="AS24" s="27">
        <f>[1]Instrumen!AN39</f>
        <v>0</v>
      </c>
      <c r="AT24" s="27">
        <f>[1]Instrumen!AO39</f>
        <v>0</v>
      </c>
      <c r="AU24" s="27">
        <f>[1]Instrumen!AP39</f>
        <v>0</v>
      </c>
      <c r="AV24" s="27">
        <f>[1]Instrumen!AQ39</f>
        <v>0</v>
      </c>
      <c r="AW24" s="27">
        <f>[1]Instrumen!AR39</f>
        <v>0</v>
      </c>
      <c r="AX24" s="27">
        <f>[1]Instrumen!AS39</f>
        <v>0</v>
      </c>
      <c r="AY24" s="27">
        <f>[1]Instrumen!AT39</f>
        <v>0</v>
      </c>
      <c r="AZ24" s="27">
        <f>[1]Instrumen!AU39</f>
        <v>0</v>
      </c>
      <c r="BA24" s="27">
        <f>[1]Instrumen!AV39</f>
        <v>0</v>
      </c>
      <c r="BB24" s="27">
        <f>[1]Instrumen!AW39</f>
        <v>0</v>
      </c>
      <c r="BC24" s="27">
        <f>[1]Instrumen!AX39</f>
        <v>0</v>
      </c>
      <c r="BD24" s="27">
        <f>[1]Instrumen!AY39</f>
        <v>0</v>
      </c>
      <c r="BE24" s="27">
        <f>[1]Instrumen!AZ39</f>
        <v>0</v>
      </c>
      <c r="BF24" s="27">
        <f>[1]Instrumen!BA39</f>
        <v>0</v>
      </c>
      <c r="BG24" s="27">
        <f>[1]Instrumen!BB39</f>
        <v>0</v>
      </c>
      <c r="BH24" s="27">
        <f>[1]Instrumen!BC39</f>
        <v>0</v>
      </c>
      <c r="BI24" s="27">
        <f>[1]Instrumen!BD39</f>
        <v>0</v>
      </c>
      <c r="BJ24" s="27">
        <f>[1]Instrumen!BE39</f>
        <v>0</v>
      </c>
      <c r="BK24" s="27">
        <f>[1]Instrumen!BF39</f>
        <v>0</v>
      </c>
      <c r="BL24" s="27">
        <f>[1]Instrumen!BG39</f>
        <v>0</v>
      </c>
      <c r="BM24" s="27">
        <f>[1]Instrumen!BH39</f>
        <v>0</v>
      </c>
      <c r="BN24" s="27">
        <f>[1]Instrumen!BI39</f>
        <v>0</v>
      </c>
      <c r="BO24" s="27">
        <f>[1]Instrumen!BJ39</f>
        <v>0</v>
      </c>
      <c r="BP24" s="27">
        <f>[1]Instrumen!BK39</f>
        <v>0</v>
      </c>
      <c r="BQ24" s="27">
        <f>[1]Instrumen!BL39</f>
        <v>0</v>
      </c>
    </row>
    <row r="25" spans="1:69" ht="18" hidden="1" customHeight="1" x14ac:dyDescent="0.25">
      <c r="A25" s="66">
        <v>13</v>
      </c>
      <c r="B25" s="184">
        <f>Ins_UR!$Q$35</f>
        <v>0</v>
      </c>
      <c r="C25" s="185"/>
      <c r="D25" s="34" t="s">
        <v>161</v>
      </c>
      <c r="E25" s="35" t="str">
        <f>Ins_UR!$Q$33</f>
        <v/>
      </c>
      <c r="F25" s="35" t="str">
        <f t="shared" si="3"/>
        <v/>
      </c>
      <c r="G25" s="35" t="str">
        <f>Ins_UR!$Q$37</f>
        <v/>
      </c>
      <c r="H25" s="36" t="str">
        <f>IF(G25="Ditolak","Soal No. 13 wajib diganti",IF(G25="Digunakan","Soal No. 13 wajib diujikan",IF(G25="Diperbaiki",J25,"")))</f>
        <v/>
      </c>
      <c r="J25" s="64" t="str">
        <f>IF(Telaah_UR!$EO$6="","",Telaah_UR!$EO$6)</f>
        <v xml:space="preserve">Soal No. 17 perlu perbaikan pada aspek     </v>
      </c>
      <c r="K25" s="27" t="str">
        <f t="shared" si="0"/>
        <v/>
      </c>
      <c r="L25" s="37" t="str">
        <f t="shared" si="1"/>
        <v/>
      </c>
      <c r="M25" s="27" t="str">
        <f t="shared" si="2"/>
        <v/>
      </c>
      <c r="N25" s="27" t="e">
        <f>IF(B25="Ditolak","Soal Ditolak",IF(AND(#REF!="",K25="",L25="",M25="",HLOOKUP(A25,DataRek1,50,0)=100),"Soal Dapat Digunakan",IF(AND(K25&lt;&gt;"",L25&lt;&gt;"",M25&lt;&gt;""),K25&amp;", "&amp;L25&amp;", "&amp;M25&amp;" Harus Diperbaiki",IF(OR(K25&lt;&gt;"",L25&lt;&gt;"",M25&lt;&gt;""),K25&amp;", "&amp;L25&amp;", "&amp;M25&amp;" Harus Diperbaiki",""))))</f>
        <v>#REF!</v>
      </c>
      <c r="S25" s="27">
        <v>14</v>
      </c>
      <c r="T25" s="27">
        <f>[1]Instrumen!O42</f>
        <v>0</v>
      </c>
      <c r="U25" s="27">
        <f>[1]Instrumen!P42</f>
        <v>0</v>
      </c>
      <c r="V25" s="27">
        <f>[1]Instrumen!Q42</f>
        <v>0</v>
      </c>
      <c r="W25" s="27">
        <f>[1]Instrumen!R42</f>
        <v>0</v>
      </c>
      <c r="X25" s="27">
        <f>[1]Instrumen!S42</f>
        <v>0</v>
      </c>
      <c r="Y25" s="27">
        <f>[1]Instrumen!T42</f>
        <v>0</v>
      </c>
      <c r="Z25" s="27">
        <f>[1]Instrumen!U42</f>
        <v>0</v>
      </c>
      <c r="AA25" s="27">
        <f>[1]Instrumen!V42</f>
        <v>0</v>
      </c>
      <c r="AB25" s="27">
        <f>[1]Instrumen!W42</f>
        <v>0</v>
      </c>
      <c r="AC25" s="27">
        <f>[1]Instrumen!X42</f>
        <v>0</v>
      </c>
      <c r="AD25" s="27">
        <f>[1]Instrumen!Y42</f>
        <v>0</v>
      </c>
      <c r="AE25" s="27">
        <f>[1]Instrumen!Z42</f>
        <v>0</v>
      </c>
      <c r="AF25" s="27">
        <f>[1]Instrumen!AA42</f>
        <v>0</v>
      </c>
      <c r="AG25" s="27">
        <f>[1]Instrumen!AB42</f>
        <v>0</v>
      </c>
      <c r="AH25" s="27">
        <f>[1]Instrumen!AC42</f>
        <v>0</v>
      </c>
      <c r="AI25" s="27">
        <f>[1]Instrumen!AD42</f>
        <v>0</v>
      </c>
      <c r="AJ25" s="27">
        <f>[1]Instrumen!AE42</f>
        <v>0</v>
      </c>
      <c r="AK25" s="27">
        <f>[1]Instrumen!AF42</f>
        <v>0</v>
      </c>
      <c r="AL25" s="27">
        <f>[1]Instrumen!AG42</f>
        <v>0</v>
      </c>
      <c r="AM25" s="27">
        <f>[1]Instrumen!AH42</f>
        <v>0</v>
      </c>
      <c r="AN25" s="27">
        <f>[1]Instrumen!AI42</f>
        <v>0</v>
      </c>
      <c r="AO25" s="27">
        <f>[1]Instrumen!AJ42</f>
        <v>0</v>
      </c>
      <c r="AP25" s="27">
        <f>[1]Instrumen!AK42</f>
        <v>0</v>
      </c>
      <c r="AQ25" s="27">
        <f>[1]Instrumen!AL42</f>
        <v>0</v>
      </c>
      <c r="AR25" s="27">
        <f>[1]Instrumen!AM42</f>
        <v>0</v>
      </c>
      <c r="AS25" s="27">
        <f>[1]Instrumen!AN42</f>
        <v>0</v>
      </c>
      <c r="AT25" s="27">
        <f>[1]Instrumen!AO42</f>
        <v>0</v>
      </c>
      <c r="AU25" s="27">
        <f>[1]Instrumen!AP42</f>
        <v>0</v>
      </c>
      <c r="AV25" s="27">
        <f>[1]Instrumen!AQ42</f>
        <v>0</v>
      </c>
      <c r="AW25" s="27">
        <f>[1]Instrumen!AR42</f>
        <v>0</v>
      </c>
      <c r="AX25" s="27">
        <f>[1]Instrumen!AS42</f>
        <v>0</v>
      </c>
      <c r="AY25" s="27">
        <f>[1]Instrumen!AT42</f>
        <v>0</v>
      </c>
      <c r="AZ25" s="27">
        <f>[1]Instrumen!AU42</f>
        <v>0</v>
      </c>
      <c r="BA25" s="27">
        <f>[1]Instrumen!AV42</f>
        <v>0</v>
      </c>
      <c r="BB25" s="27">
        <f>[1]Instrumen!AW42</f>
        <v>0</v>
      </c>
      <c r="BC25" s="27">
        <f>[1]Instrumen!AX42</f>
        <v>0</v>
      </c>
      <c r="BD25" s="27">
        <f>[1]Instrumen!AY42</f>
        <v>0</v>
      </c>
      <c r="BE25" s="27">
        <f>[1]Instrumen!AZ42</f>
        <v>0</v>
      </c>
      <c r="BF25" s="27">
        <f>[1]Instrumen!BA42</f>
        <v>0</v>
      </c>
      <c r="BG25" s="27">
        <f>[1]Instrumen!BB42</f>
        <v>0</v>
      </c>
      <c r="BH25" s="27">
        <f>[1]Instrumen!BC42</f>
        <v>0</v>
      </c>
      <c r="BI25" s="27">
        <f>[1]Instrumen!BD42</f>
        <v>0</v>
      </c>
      <c r="BJ25" s="27">
        <f>[1]Instrumen!BE42</f>
        <v>0</v>
      </c>
      <c r="BK25" s="27">
        <f>[1]Instrumen!BF42</f>
        <v>0</v>
      </c>
      <c r="BL25" s="27">
        <f>[1]Instrumen!BG42</f>
        <v>0</v>
      </c>
      <c r="BM25" s="27">
        <f>[1]Instrumen!BH42</f>
        <v>0</v>
      </c>
      <c r="BN25" s="27">
        <f>[1]Instrumen!BI42</f>
        <v>0</v>
      </c>
      <c r="BO25" s="27">
        <f>[1]Instrumen!BJ42</f>
        <v>0</v>
      </c>
      <c r="BP25" s="27">
        <f>[1]Instrumen!BK42</f>
        <v>0</v>
      </c>
      <c r="BQ25" s="27">
        <f>[1]Instrumen!BL42</f>
        <v>0</v>
      </c>
    </row>
    <row r="26" spans="1:69" ht="18" hidden="1" customHeight="1" x14ac:dyDescent="0.25">
      <c r="A26" s="66">
        <v>14</v>
      </c>
      <c r="B26" s="184">
        <f>Ins_UR!$R$35</f>
        <v>0</v>
      </c>
      <c r="C26" s="185"/>
      <c r="D26" s="34" t="s">
        <v>161</v>
      </c>
      <c r="E26" s="35" t="str">
        <f>Ins_UR!$R$33</f>
        <v/>
      </c>
      <c r="F26" s="35" t="str">
        <f t="shared" si="3"/>
        <v/>
      </c>
      <c r="G26" s="35" t="str">
        <f>Ins_UR!$R$37</f>
        <v/>
      </c>
      <c r="H26" s="36" t="str">
        <f>IF(G26="Ditolak","Soal No. 14 wajib diganti",IF(G26="Digunakan","Soal No. 14 wajib diujikan",IF(G26="Diperbaiki",J26,"")))</f>
        <v/>
      </c>
      <c r="J26" s="64" t="str">
        <f>IF(Telaah_UR!$EP$6="","",Telaah_UR!$EP$6)</f>
        <v xml:space="preserve">Soal No. 18 perlu perbaikan pada aspek     </v>
      </c>
      <c r="K26" s="27" t="str">
        <f t="shared" si="0"/>
        <v/>
      </c>
      <c r="L26" s="37" t="str">
        <f t="shared" si="1"/>
        <v/>
      </c>
      <c r="M26" s="27" t="str">
        <f t="shared" si="2"/>
        <v/>
      </c>
      <c r="N26" s="27" t="e">
        <f>IF(B26="Ditolak","Soal Ditolak",IF(AND(#REF!="",K26="",L26="",M26="",HLOOKUP(A26,DataRek1,50,0)=100),"Soal Dapat Digunakan",IF(AND(K26&lt;&gt;"",L26&lt;&gt;"",M26&lt;&gt;""),K26&amp;", "&amp;L26&amp;", "&amp;M26&amp;" Harus Diperbaiki",IF(OR(K26&lt;&gt;"",L26&lt;&gt;"",M26&lt;&gt;""),K26&amp;", "&amp;L26&amp;", "&amp;M26&amp;" Harus Diperbaiki",""))))</f>
        <v>#REF!</v>
      </c>
      <c r="S26" s="27">
        <v>15</v>
      </c>
      <c r="T26" s="27">
        <f>[1]Instrumen!O45</f>
        <v>0</v>
      </c>
      <c r="U26" s="27">
        <f>[1]Instrumen!P45</f>
        <v>0</v>
      </c>
      <c r="V26" s="27">
        <f>[1]Instrumen!Q45</f>
        <v>0</v>
      </c>
      <c r="W26" s="27">
        <f>[1]Instrumen!R45</f>
        <v>0</v>
      </c>
      <c r="X26" s="27">
        <f>[1]Instrumen!S45</f>
        <v>0</v>
      </c>
      <c r="Y26" s="27">
        <f>[1]Instrumen!T45</f>
        <v>0</v>
      </c>
      <c r="Z26" s="27">
        <f>[1]Instrumen!U45</f>
        <v>0</v>
      </c>
      <c r="AA26" s="27">
        <f>[1]Instrumen!V45</f>
        <v>0</v>
      </c>
      <c r="AB26" s="27">
        <f>[1]Instrumen!W45</f>
        <v>0</v>
      </c>
      <c r="AC26" s="27">
        <f>[1]Instrumen!X45</f>
        <v>0</v>
      </c>
      <c r="AD26" s="27">
        <f>[1]Instrumen!Y45</f>
        <v>0</v>
      </c>
      <c r="AE26" s="27">
        <f>[1]Instrumen!Z45</f>
        <v>0</v>
      </c>
      <c r="AF26" s="27">
        <f>[1]Instrumen!AA45</f>
        <v>0</v>
      </c>
      <c r="AG26" s="27">
        <f>[1]Instrumen!AB45</f>
        <v>0</v>
      </c>
      <c r="AH26" s="27">
        <f>[1]Instrumen!AC45</f>
        <v>0</v>
      </c>
      <c r="AI26" s="27">
        <f>[1]Instrumen!AD45</f>
        <v>0</v>
      </c>
      <c r="AJ26" s="27">
        <f>[1]Instrumen!AE45</f>
        <v>0</v>
      </c>
      <c r="AK26" s="27">
        <f>[1]Instrumen!AF45</f>
        <v>0</v>
      </c>
      <c r="AL26" s="27">
        <f>[1]Instrumen!AG45</f>
        <v>0</v>
      </c>
      <c r="AM26" s="27">
        <f>[1]Instrumen!AH45</f>
        <v>0</v>
      </c>
      <c r="AN26" s="27">
        <f>[1]Instrumen!AI45</f>
        <v>0</v>
      </c>
      <c r="AO26" s="27">
        <f>[1]Instrumen!AJ45</f>
        <v>0</v>
      </c>
      <c r="AP26" s="27">
        <f>[1]Instrumen!AK45</f>
        <v>0</v>
      </c>
      <c r="AQ26" s="27">
        <f>[1]Instrumen!AL45</f>
        <v>0</v>
      </c>
      <c r="AR26" s="27">
        <f>[1]Instrumen!AM45</f>
        <v>0</v>
      </c>
      <c r="AS26" s="27">
        <f>[1]Instrumen!AN45</f>
        <v>0</v>
      </c>
      <c r="AT26" s="27">
        <f>[1]Instrumen!AO45</f>
        <v>0</v>
      </c>
      <c r="AU26" s="27">
        <f>[1]Instrumen!AP45</f>
        <v>0</v>
      </c>
      <c r="AV26" s="27">
        <f>[1]Instrumen!AQ45</f>
        <v>0</v>
      </c>
      <c r="AW26" s="27">
        <f>[1]Instrumen!AR45</f>
        <v>0</v>
      </c>
      <c r="AX26" s="27">
        <f>[1]Instrumen!AS45</f>
        <v>0</v>
      </c>
      <c r="AY26" s="27">
        <f>[1]Instrumen!AT45</f>
        <v>0</v>
      </c>
      <c r="AZ26" s="27">
        <f>[1]Instrumen!AU45</f>
        <v>0</v>
      </c>
      <c r="BA26" s="27">
        <f>[1]Instrumen!AV45</f>
        <v>0</v>
      </c>
      <c r="BB26" s="27">
        <f>[1]Instrumen!AW45</f>
        <v>0</v>
      </c>
      <c r="BC26" s="27">
        <f>[1]Instrumen!AX45</f>
        <v>0</v>
      </c>
      <c r="BD26" s="27">
        <f>[1]Instrumen!AY45</f>
        <v>0</v>
      </c>
      <c r="BE26" s="27">
        <f>[1]Instrumen!AZ45</f>
        <v>0</v>
      </c>
      <c r="BF26" s="27">
        <f>[1]Instrumen!BA45</f>
        <v>0</v>
      </c>
      <c r="BG26" s="27">
        <f>[1]Instrumen!BB45</f>
        <v>0</v>
      </c>
      <c r="BH26" s="27">
        <f>[1]Instrumen!BC45</f>
        <v>0</v>
      </c>
      <c r="BI26" s="27">
        <f>[1]Instrumen!BD45</f>
        <v>0</v>
      </c>
      <c r="BJ26" s="27">
        <f>[1]Instrumen!BE45</f>
        <v>0</v>
      </c>
      <c r="BK26" s="27">
        <f>[1]Instrumen!BF45</f>
        <v>0</v>
      </c>
      <c r="BL26" s="27">
        <f>[1]Instrumen!BG45</f>
        <v>0</v>
      </c>
      <c r="BM26" s="27">
        <f>[1]Instrumen!BH45</f>
        <v>0</v>
      </c>
      <c r="BN26" s="27">
        <f>[1]Instrumen!BI45</f>
        <v>0</v>
      </c>
      <c r="BO26" s="27">
        <f>[1]Instrumen!BJ45</f>
        <v>0</v>
      </c>
      <c r="BP26" s="27">
        <f>[1]Instrumen!BK45</f>
        <v>0</v>
      </c>
      <c r="BQ26" s="27">
        <f>[1]Instrumen!BL45</f>
        <v>0</v>
      </c>
    </row>
    <row r="27" spans="1:69" ht="18" hidden="1" customHeight="1" x14ac:dyDescent="0.25">
      <c r="A27" s="66">
        <v>15</v>
      </c>
      <c r="B27" s="184">
        <f>Ins_UR!$S$35</f>
        <v>0</v>
      </c>
      <c r="C27" s="185"/>
      <c r="D27" s="34" t="s">
        <v>161</v>
      </c>
      <c r="E27" s="35" t="str">
        <f>Ins_UR!$S$33</f>
        <v/>
      </c>
      <c r="F27" s="35" t="str">
        <f t="shared" si="3"/>
        <v/>
      </c>
      <c r="G27" s="35" t="str">
        <f>Ins_UR!$S$37</f>
        <v/>
      </c>
      <c r="H27" s="36" t="str">
        <f>IF(G27="Ditolak","Soal No. 15 wajib diganti",IF(G27="Digunakan","Soal No. 15 wajib diujikan",IF(G27="Diperbaiki",J27,"")))</f>
        <v/>
      </c>
      <c r="J27" s="64" t="str">
        <f>IF(Telaah_UR!$EQ$6="","",Telaah_UR!$EQ$6)</f>
        <v xml:space="preserve">Soal No. 19 perlu perbaikan pada aspek     </v>
      </c>
      <c r="K27" s="27" t="str">
        <f t="shared" si="0"/>
        <v/>
      </c>
      <c r="L27" s="37" t="str">
        <f t="shared" si="1"/>
        <v/>
      </c>
      <c r="M27" s="27" t="str">
        <f t="shared" si="2"/>
        <v/>
      </c>
      <c r="N27" s="27" t="e">
        <f>IF(B27="Ditolak","Soal Ditolak",IF(AND(#REF!="",K27="",L27="",M27="",HLOOKUP(A27,DataRek1,50,0)=100),"Soal Dapat Digunakan",IF(AND(K27&lt;&gt;"",L27&lt;&gt;"",M27&lt;&gt;""),K27&amp;", "&amp;L27&amp;", "&amp;M27&amp;" Harus Diperbaiki",IF(OR(K27&lt;&gt;"",L27&lt;&gt;"",M27&lt;&gt;""),K27&amp;", "&amp;L27&amp;", "&amp;M27&amp;" Harus Diperbaiki",""))))</f>
        <v>#REF!</v>
      </c>
      <c r="S27" s="27">
        <v>16</v>
      </c>
      <c r="T27" s="27">
        <f>[1]Instrumen!O48</f>
        <v>0</v>
      </c>
      <c r="U27" s="27">
        <f>[1]Instrumen!P48</f>
        <v>0</v>
      </c>
      <c r="V27" s="27">
        <f>[1]Instrumen!Q48</f>
        <v>0</v>
      </c>
      <c r="W27" s="27">
        <f>[1]Instrumen!R48</f>
        <v>0</v>
      </c>
      <c r="X27" s="27">
        <f>[1]Instrumen!S48</f>
        <v>0</v>
      </c>
      <c r="Y27" s="27">
        <f>[1]Instrumen!T48</f>
        <v>0</v>
      </c>
      <c r="Z27" s="27">
        <f>[1]Instrumen!U48</f>
        <v>0</v>
      </c>
      <c r="AA27" s="27">
        <f>[1]Instrumen!V48</f>
        <v>0</v>
      </c>
      <c r="AB27" s="27">
        <f>[1]Instrumen!W48</f>
        <v>0</v>
      </c>
      <c r="AC27" s="27">
        <f>[1]Instrumen!X48</f>
        <v>0</v>
      </c>
      <c r="AD27" s="27">
        <f>[1]Instrumen!Y48</f>
        <v>0</v>
      </c>
      <c r="AE27" s="27">
        <f>[1]Instrumen!Z48</f>
        <v>0</v>
      </c>
      <c r="AF27" s="27">
        <f>[1]Instrumen!AA48</f>
        <v>0</v>
      </c>
      <c r="AG27" s="27">
        <f>[1]Instrumen!AB48</f>
        <v>0</v>
      </c>
      <c r="AH27" s="27">
        <f>[1]Instrumen!AC48</f>
        <v>0</v>
      </c>
      <c r="AI27" s="27">
        <f>[1]Instrumen!AD48</f>
        <v>0</v>
      </c>
      <c r="AJ27" s="27">
        <f>[1]Instrumen!AE48</f>
        <v>0</v>
      </c>
      <c r="AK27" s="27">
        <f>[1]Instrumen!AF48</f>
        <v>0</v>
      </c>
      <c r="AL27" s="27">
        <f>[1]Instrumen!AG48</f>
        <v>0</v>
      </c>
      <c r="AM27" s="27">
        <f>[1]Instrumen!AH48</f>
        <v>0</v>
      </c>
      <c r="AN27" s="27">
        <f>[1]Instrumen!AI48</f>
        <v>0</v>
      </c>
      <c r="AO27" s="27">
        <f>[1]Instrumen!AJ48</f>
        <v>0</v>
      </c>
      <c r="AP27" s="27">
        <f>[1]Instrumen!AK48</f>
        <v>0</v>
      </c>
      <c r="AQ27" s="27">
        <f>[1]Instrumen!AL48</f>
        <v>0</v>
      </c>
      <c r="AR27" s="27">
        <f>[1]Instrumen!AM48</f>
        <v>0</v>
      </c>
      <c r="AS27" s="27">
        <f>[1]Instrumen!AN48</f>
        <v>0</v>
      </c>
      <c r="AT27" s="27">
        <f>[1]Instrumen!AO48</f>
        <v>0</v>
      </c>
      <c r="AU27" s="27">
        <f>[1]Instrumen!AP48</f>
        <v>0</v>
      </c>
      <c r="AV27" s="27">
        <f>[1]Instrumen!AQ48</f>
        <v>0</v>
      </c>
      <c r="AW27" s="27">
        <f>[1]Instrumen!AR48</f>
        <v>0</v>
      </c>
      <c r="AX27" s="27">
        <f>[1]Instrumen!AS48</f>
        <v>0</v>
      </c>
      <c r="AY27" s="27">
        <f>[1]Instrumen!AT48</f>
        <v>0</v>
      </c>
      <c r="AZ27" s="27">
        <f>[1]Instrumen!AU48</f>
        <v>0</v>
      </c>
      <c r="BA27" s="27">
        <f>[1]Instrumen!AV48</f>
        <v>0</v>
      </c>
      <c r="BB27" s="27">
        <f>[1]Instrumen!AW48</f>
        <v>0</v>
      </c>
      <c r="BC27" s="27">
        <f>[1]Instrumen!AX48</f>
        <v>0</v>
      </c>
      <c r="BD27" s="27">
        <f>[1]Instrumen!AY48</f>
        <v>0</v>
      </c>
      <c r="BE27" s="27">
        <f>[1]Instrumen!AZ48</f>
        <v>0</v>
      </c>
      <c r="BF27" s="27">
        <f>[1]Instrumen!BA48</f>
        <v>0</v>
      </c>
      <c r="BG27" s="27">
        <f>[1]Instrumen!BB48</f>
        <v>0</v>
      </c>
      <c r="BH27" s="27">
        <f>[1]Instrumen!BC48</f>
        <v>0</v>
      </c>
      <c r="BI27" s="27">
        <f>[1]Instrumen!BD48</f>
        <v>0</v>
      </c>
      <c r="BJ27" s="27">
        <f>[1]Instrumen!BE48</f>
        <v>0</v>
      </c>
      <c r="BK27" s="27">
        <f>[1]Instrumen!BF48</f>
        <v>0</v>
      </c>
      <c r="BL27" s="27">
        <f>[1]Instrumen!BG48</f>
        <v>0</v>
      </c>
      <c r="BM27" s="27">
        <f>[1]Instrumen!BH48</f>
        <v>0</v>
      </c>
      <c r="BN27" s="27">
        <f>[1]Instrumen!BI48</f>
        <v>0</v>
      </c>
      <c r="BO27" s="27">
        <f>[1]Instrumen!BJ48</f>
        <v>0</v>
      </c>
      <c r="BP27" s="27">
        <f>[1]Instrumen!BK48</f>
        <v>0</v>
      </c>
      <c r="BQ27" s="27">
        <f>[1]Instrumen!BL48</f>
        <v>0</v>
      </c>
    </row>
    <row r="28" spans="1:69" ht="18" hidden="1" customHeight="1" x14ac:dyDescent="0.25">
      <c r="A28" s="66">
        <v>16</v>
      </c>
      <c r="B28" s="184">
        <f>Ins_UR!$T$35</f>
        <v>0</v>
      </c>
      <c r="C28" s="185"/>
      <c r="D28" s="34" t="s">
        <v>161</v>
      </c>
      <c r="E28" s="35" t="str">
        <f>Ins_UR!$T$33</f>
        <v/>
      </c>
      <c r="F28" s="35" t="str">
        <f t="shared" si="3"/>
        <v/>
      </c>
      <c r="G28" s="35" t="str">
        <f>Ins_UR!$T$37</f>
        <v/>
      </c>
      <c r="H28" s="36" t="str">
        <f>IF(G28="Ditolak","Soal No. 16 wajib diganti",IF(G28="Digunakan","Soal No. 16 wajib diujikan",IF(G28="Diperbaiki",J28,"")))</f>
        <v/>
      </c>
      <c r="J28" s="64" t="str">
        <f>IF(Telaah_UR!$ER$6="","",Telaah_UR!$ER$6)</f>
        <v xml:space="preserve">Soal No. 20 perlu perbaikan pada aspek     </v>
      </c>
      <c r="K28" s="27" t="str">
        <f t="shared" si="0"/>
        <v/>
      </c>
      <c r="L28" s="37" t="str">
        <f t="shared" si="1"/>
        <v/>
      </c>
      <c r="M28" s="27" t="str">
        <f t="shared" si="2"/>
        <v/>
      </c>
      <c r="N28" s="27" t="e">
        <f>IF(B28="Ditolak","Soal Ditolak",IF(AND(#REF!="",K28="",L28="",M28="",HLOOKUP(A28,DataRek1,50,0)=100),"Soal Dapat Digunakan",IF(AND(K28&lt;&gt;"",L28&lt;&gt;"",M28&lt;&gt;""),K28&amp;", "&amp;L28&amp;", "&amp;M28&amp;" Harus Diperbaiki",IF(OR(K28&lt;&gt;"",L28&lt;&gt;"",M28&lt;&gt;""),K28&amp;", "&amp;L28&amp;", "&amp;M28&amp;" Harus Diperbaiki",""))))</f>
        <v>#REF!</v>
      </c>
      <c r="S28" s="27">
        <v>17</v>
      </c>
      <c r="T28" s="27">
        <f>[1]Instrumen!O50</f>
        <v>0</v>
      </c>
      <c r="U28" s="27">
        <f>[1]Instrumen!P50</f>
        <v>0</v>
      </c>
      <c r="V28" s="27">
        <f>[1]Instrumen!Q50</f>
        <v>0</v>
      </c>
      <c r="W28" s="27">
        <f>[1]Instrumen!R50</f>
        <v>0</v>
      </c>
      <c r="X28" s="27">
        <f>[1]Instrumen!S50</f>
        <v>0</v>
      </c>
      <c r="Y28" s="27">
        <f>[1]Instrumen!T50</f>
        <v>0</v>
      </c>
      <c r="Z28" s="27">
        <f>[1]Instrumen!U50</f>
        <v>0</v>
      </c>
      <c r="AA28" s="27">
        <f>[1]Instrumen!V50</f>
        <v>0</v>
      </c>
      <c r="AB28" s="27">
        <f>[1]Instrumen!W50</f>
        <v>0</v>
      </c>
      <c r="AC28" s="27">
        <f>[1]Instrumen!X50</f>
        <v>0</v>
      </c>
      <c r="AD28" s="27">
        <f>[1]Instrumen!Y50</f>
        <v>0</v>
      </c>
      <c r="AE28" s="27">
        <f>[1]Instrumen!Z50</f>
        <v>0</v>
      </c>
      <c r="AF28" s="27">
        <f>[1]Instrumen!AA50</f>
        <v>0</v>
      </c>
      <c r="AG28" s="27">
        <f>[1]Instrumen!AB50</f>
        <v>0</v>
      </c>
      <c r="AH28" s="27">
        <f>[1]Instrumen!AC50</f>
        <v>0</v>
      </c>
      <c r="AI28" s="27">
        <f>[1]Instrumen!AD50</f>
        <v>0</v>
      </c>
      <c r="AJ28" s="27">
        <f>[1]Instrumen!AE50</f>
        <v>0</v>
      </c>
      <c r="AK28" s="27">
        <f>[1]Instrumen!AF50</f>
        <v>0</v>
      </c>
      <c r="AL28" s="27">
        <f>[1]Instrumen!AG50</f>
        <v>0</v>
      </c>
      <c r="AM28" s="27">
        <f>[1]Instrumen!AH50</f>
        <v>0</v>
      </c>
      <c r="AN28" s="27">
        <f>[1]Instrumen!AI50</f>
        <v>0</v>
      </c>
      <c r="AO28" s="27">
        <f>[1]Instrumen!AJ50</f>
        <v>0</v>
      </c>
      <c r="AP28" s="27">
        <f>[1]Instrumen!AK50</f>
        <v>0</v>
      </c>
      <c r="AQ28" s="27">
        <f>[1]Instrumen!AL50</f>
        <v>0</v>
      </c>
      <c r="AR28" s="27">
        <f>[1]Instrumen!AM50</f>
        <v>0</v>
      </c>
      <c r="AS28" s="27">
        <f>[1]Instrumen!AN50</f>
        <v>0</v>
      </c>
      <c r="AT28" s="27">
        <f>[1]Instrumen!AO50</f>
        <v>0</v>
      </c>
      <c r="AU28" s="27">
        <f>[1]Instrumen!AP50</f>
        <v>0</v>
      </c>
      <c r="AV28" s="27">
        <f>[1]Instrumen!AQ50</f>
        <v>0</v>
      </c>
      <c r="AW28" s="27">
        <f>[1]Instrumen!AR50</f>
        <v>0</v>
      </c>
      <c r="AX28" s="27">
        <f>[1]Instrumen!AS50</f>
        <v>0</v>
      </c>
      <c r="AY28" s="27">
        <f>[1]Instrumen!AT50</f>
        <v>0</v>
      </c>
      <c r="AZ28" s="27">
        <f>[1]Instrumen!AU50</f>
        <v>0</v>
      </c>
      <c r="BA28" s="27">
        <f>[1]Instrumen!AV50</f>
        <v>0</v>
      </c>
      <c r="BB28" s="27">
        <f>[1]Instrumen!AW50</f>
        <v>0</v>
      </c>
      <c r="BC28" s="27">
        <f>[1]Instrumen!AX50</f>
        <v>0</v>
      </c>
      <c r="BD28" s="27">
        <f>[1]Instrumen!AY50</f>
        <v>0</v>
      </c>
      <c r="BE28" s="27">
        <f>[1]Instrumen!AZ50</f>
        <v>0</v>
      </c>
      <c r="BF28" s="27">
        <f>[1]Instrumen!BA50</f>
        <v>0</v>
      </c>
      <c r="BG28" s="27">
        <f>[1]Instrumen!BB50</f>
        <v>0</v>
      </c>
      <c r="BH28" s="27">
        <f>[1]Instrumen!BC50</f>
        <v>0</v>
      </c>
      <c r="BI28" s="27">
        <f>[1]Instrumen!BD50</f>
        <v>0</v>
      </c>
      <c r="BJ28" s="27">
        <f>[1]Instrumen!BE50</f>
        <v>0</v>
      </c>
      <c r="BK28" s="27">
        <f>[1]Instrumen!BF50</f>
        <v>0</v>
      </c>
      <c r="BL28" s="27">
        <f>[1]Instrumen!BG50</f>
        <v>0</v>
      </c>
      <c r="BM28" s="27">
        <f>[1]Instrumen!BH50</f>
        <v>0</v>
      </c>
      <c r="BN28" s="27">
        <f>[1]Instrumen!BI50</f>
        <v>0</v>
      </c>
      <c r="BO28" s="27">
        <f>[1]Instrumen!BJ50</f>
        <v>0</v>
      </c>
      <c r="BP28" s="27">
        <f>[1]Instrumen!BK50</f>
        <v>0</v>
      </c>
      <c r="BQ28" s="27">
        <f>[1]Instrumen!BL50</f>
        <v>0</v>
      </c>
    </row>
    <row r="29" spans="1:69" ht="18" hidden="1" customHeight="1" x14ac:dyDescent="0.25">
      <c r="A29" s="66">
        <v>17</v>
      </c>
      <c r="B29" s="184">
        <f>Ins_UR!$U$35</f>
        <v>0</v>
      </c>
      <c r="C29" s="185"/>
      <c r="D29" s="34" t="s">
        <v>161</v>
      </c>
      <c r="E29" s="35" t="str">
        <f>Ins_UR!$U$33</f>
        <v/>
      </c>
      <c r="F29" s="35" t="str">
        <f t="shared" si="3"/>
        <v/>
      </c>
      <c r="G29" s="35" t="str">
        <f>Ins_UR!$U$37</f>
        <v/>
      </c>
      <c r="H29" s="36" t="str">
        <f>IF(G29="Ditolak","Soal No. 17 wajib diganti",IF(G29="Digunakan","Soal No. 17 wajib diujikan",IF(G29="Diperbaiki",J29,"")))</f>
        <v/>
      </c>
      <c r="J29" s="64" t="str">
        <f>IF(Telaah_UR!$ES$6="","",Telaah_UR!$ES$6)</f>
        <v/>
      </c>
      <c r="K29" s="27" t="str">
        <f t="shared" si="0"/>
        <v/>
      </c>
      <c r="L29" s="37" t="str">
        <f t="shared" si="1"/>
        <v/>
      </c>
      <c r="M29" s="27" t="str">
        <f t="shared" si="2"/>
        <v/>
      </c>
      <c r="N29" s="27" t="e">
        <f>IF(B29="Ditolak","Soal Ditolak",IF(AND(#REF!="",K29="",L29="",M29="",HLOOKUP(A29,DataRek1,50,0)=100),"Soal Dapat Digunakan",IF(AND(K29&lt;&gt;"",L29&lt;&gt;"",M29&lt;&gt;""),K29&amp;", "&amp;L29&amp;", "&amp;M29&amp;" Harus Diperbaiki",IF(OR(K29&lt;&gt;"",L29&lt;&gt;"",M29&lt;&gt;""),K29&amp;", "&amp;L29&amp;", "&amp;M29&amp;" Harus Diperbaiki",""))))</f>
        <v>#REF!</v>
      </c>
      <c r="S29" s="27">
        <v>18</v>
      </c>
      <c r="T29" s="27">
        <f>[1]Instrumen!O53</f>
        <v>0</v>
      </c>
      <c r="U29" s="27">
        <f>[1]Instrumen!P53</f>
        <v>0</v>
      </c>
      <c r="V29" s="27">
        <f>[1]Instrumen!Q53</f>
        <v>0</v>
      </c>
      <c r="W29" s="27">
        <f>[1]Instrumen!R53</f>
        <v>0</v>
      </c>
      <c r="X29" s="27">
        <f>[1]Instrumen!S53</f>
        <v>0</v>
      </c>
      <c r="Y29" s="27">
        <f>[1]Instrumen!T53</f>
        <v>0</v>
      </c>
      <c r="Z29" s="27">
        <f>[1]Instrumen!U53</f>
        <v>0</v>
      </c>
      <c r="AA29" s="27">
        <f>[1]Instrumen!V53</f>
        <v>0</v>
      </c>
      <c r="AB29" s="27">
        <f>[1]Instrumen!W53</f>
        <v>0</v>
      </c>
      <c r="AC29" s="27">
        <f>[1]Instrumen!X53</f>
        <v>0</v>
      </c>
      <c r="AD29" s="27">
        <f>[1]Instrumen!Y53</f>
        <v>0</v>
      </c>
      <c r="AE29" s="27">
        <f>[1]Instrumen!Z53</f>
        <v>0</v>
      </c>
      <c r="AF29" s="27">
        <f>[1]Instrumen!AA53</f>
        <v>0</v>
      </c>
      <c r="AG29" s="27">
        <f>[1]Instrumen!AB53</f>
        <v>0</v>
      </c>
      <c r="AH29" s="27">
        <f>[1]Instrumen!AC53</f>
        <v>0</v>
      </c>
      <c r="AI29" s="27">
        <f>[1]Instrumen!AD53</f>
        <v>0</v>
      </c>
      <c r="AJ29" s="27">
        <f>[1]Instrumen!AE53</f>
        <v>0</v>
      </c>
      <c r="AK29" s="27">
        <f>[1]Instrumen!AF53</f>
        <v>0</v>
      </c>
      <c r="AL29" s="27">
        <f>[1]Instrumen!AG53</f>
        <v>0</v>
      </c>
      <c r="AM29" s="27">
        <f>[1]Instrumen!AH53</f>
        <v>0</v>
      </c>
      <c r="AN29" s="27">
        <f>[1]Instrumen!AI53</f>
        <v>0</v>
      </c>
      <c r="AO29" s="27">
        <f>[1]Instrumen!AJ53</f>
        <v>0</v>
      </c>
      <c r="AP29" s="27">
        <f>[1]Instrumen!AK53</f>
        <v>0</v>
      </c>
      <c r="AQ29" s="27">
        <f>[1]Instrumen!AL53</f>
        <v>0</v>
      </c>
      <c r="AR29" s="27">
        <f>[1]Instrumen!AM53</f>
        <v>0</v>
      </c>
      <c r="AS29" s="27">
        <f>[1]Instrumen!AN53</f>
        <v>0</v>
      </c>
      <c r="AT29" s="27">
        <f>[1]Instrumen!AO53</f>
        <v>0</v>
      </c>
      <c r="AU29" s="27">
        <f>[1]Instrumen!AP53</f>
        <v>0</v>
      </c>
      <c r="AV29" s="27">
        <f>[1]Instrumen!AQ53</f>
        <v>0</v>
      </c>
      <c r="AW29" s="27">
        <f>[1]Instrumen!AR53</f>
        <v>0</v>
      </c>
      <c r="AX29" s="27">
        <f>[1]Instrumen!AS53</f>
        <v>0</v>
      </c>
      <c r="AY29" s="27">
        <f>[1]Instrumen!AT53</f>
        <v>0</v>
      </c>
      <c r="AZ29" s="27">
        <f>[1]Instrumen!AU53</f>
        <v>0</v>
      </c>
      <c r="BA29" s="27">
        <f>[1]Instrumen!AV53</f>
        <v>0</v>
      </c>
      <c r="BB29" s="27">
        <f>[1]Instrumen!AW53</f>
        <v>0</v>
      </c>
      <c r="BC29" s="27">
        <f>[1]Instrumen!AX53</f>
        <v>0</v>
      </c>
      <c r="BD29" s="27">
        <f>[1]Instrumen!AY53</f>
        <v>0</v>
      </c>
      <c r="BE29" s="27">
        <f>[1]Instrumen!AZ53</f>
        <v>0</v>
      </c>
      <c r="BF29" s="27">
        <f>[1]Instrumen!BA53</f>
        <v>0</v>
      </c>
      <c r="BG29" s="27">
        <f>[1]Instrumen!BB53</f>
        <v>0</v>
      </c>
      <c r="BH29" s="27">
        <f>[1]Instrumen!BC53</f>
        <v>0</v>
      </c>
      <c r="BI29" s="27">
        <f>[1]Instrumen!BD53</f>
        <v>0</v>
      </c>
      <c r="BJ29" s="27">
        <f>[1]Instrumen!BE53</f>
        <v>0</v>
      </c>
      <c r="BK29" s="27">
        <f>[1]Instrumen!BF53</f>
        <v>0</v>
      </c>
      <c r="BL29" s="27">
        <f>[1]Instrumen!BG53</f>
        <v>0</v>
      </c>
      <c r="BM29" s="27">
        <f>[1]Instrumen!BH53</f>
        <v>0</v>
      </c>
      <c r="BN29" s="27">
        <f>[1]Instrumen!BI53</f>
        <v>0</v>
      </c>
      <c r="BO29" s="27">
        <f>[1]Instrumen!BJ53</f>
        <v>0</v>
      </c>
      <c r="BP29" s="27">
        <f>[1]Instrumen!BK53</f>
        <v>0</v>
      </c>
      <c r="BQ29" s="27">
        <f>[1]Instrumen!BL53</f>
        <v>0</v>
      </c>
    </row>
    <row r="30" spans="1:69" ht="18" hidden="1" customHeight="1" x14ac:dyDescent="0.25">
      <c r="A30" s="66">
        <v>18</v>
      </c>
      <c r="B30" s="184">
        <f>Ins_UR!$V$35</f>
        <v>0</v>
      </c>
      <c r="C30" s="185"/>
      <c r="D30" s="34" t="s">
        <v>161</v>
      </c>
      <c r="E30" s="35" t="str">
        <f>Ins_UR!$V$33</f>
        <v/>
      </c>
      <c r="F30" s="35" t="str">
        <f t="shared" si="3"/>
        <v/>
      </c>
      <c r="G30" s="35" t="str">
        <f>Ins_UR!$V$37</f>
        <v/>
      </c>
      <c r="H30" s="36" t="str">
        <f>IF(G30="Ditolak","Soal No. 18 wajib diganti",IF(G30="Digunakan","Soal No. 18 wajib diujikan",IF(G30="Diperbaiki",J30,"")))</f>
        <v/>
      </c>
      <c r="J30" s="64" t="str">
        <f>IF(Telaah_UR!$ET$6="","",Telaah_UR!$ET$6)</f>
        <v/>
      </c>
      <c r="K30" s="27" t="str">
        <f t="shared" si="0"/>
        <v/>
      </c>
      <c r="L30" s="37" t="str">
        <f t="shared" si="1"/>
        <v/>
      </c>
      <c r="M30" s="27" t="str">
        <f t="shared" si="2"/>
        <v/>
      </c>
      <c r="N30" s="27" t="e">
        <f>IF(B30="Ditolak","Soal Ditolak",IF(AND(#REF!="",K30="",L30="",M30="",HLOOKUP(A30,DataRek1,50,0)=100),"Soal Dapat Digunakan",IF(AND(K30&lt;&gt;"",L30&lt;&gt;"",M30&lt;&gt;""),K30&amp;", "&amp;L30&amp;", "&amp;M30&amp;" Harus Diperbaiki",IF(OR(K30&lt;&gt;"",L30&lt;&gt;"",M30&lt;&gt;""),K30&amp;", "&amp;L30&amp;", "&amp;M30&amp;" Harus Diperbaiki",""))))</f>
        <v>#REF!</v>
      </c>
      <c r="S30" s="27">
        <v>19</v>
      </c>
      <c r="T30" s="27">
        <f>[1]Instrumen!O55</f>
        <v>0</v>
      </c>
      <c r="U30" s="27">
        <f>[1]Instrumen!P55</f>
        <v>0</v>
      </c>
      <c r="V30" s="27">
        <f>[1]Instrumen!Q55</f>
        <v>0</v>
      </c>
      <c r="W30" s="27">
        <f>[1]Instrumen!R55</f>
        <v>0</v>
      </c>
      <c r="X30" s="27">
        <f>[1]Instrumen!S55</f>
        <v>0</v>
      </c>
      <c r="Y30" s="27">
        <f>[1]Instrumen!T55</f>
        <v>0</v>
      </c>
      <c r="Z30" s="27">
        <f>[1]Instrumen!U55</f>
        <v>0</v>
      </c>
      <c r="AA30" s="27">
        <f>[1]Instrumen!V55</f>
        <v>0</v>
      </c>
      <c r="AB30" s="27">
        <f>[1]Instrumen!W55</f>
        <v>0</v>
      </c>
      <c r="AC30" s="27">
        <f>[1]Instrumen!X55</f>
        <v>0</v>
      </c>
      <c r="AD30" s="27">
        <f>[1]Instrumen!Y55</f>
        <v>0</v>
      </c>
      <c r="AE30" s="27">
        <f>[1]Instrumen!Z55</f>
        <v>0</v>
      </c>
      <c r="AF30" s="27">
        <f>[1]Instrumen!AA55</f>
        <v>0</v>
      </c>
      <c r="AG30" s="27">
        <f>[1]Instrumen!AB55</f>
        <v>0</v>
      </c>
      <c r="AH30" s="27">
        <f>[1]Instrumen!AC55</f>
        <v>0</v>
      </c>
      <c r="AI30" s="27">
        <f>[1]Instrumen!AD55</f>
        <v>0</v>
      </c>
      <c r="AJ30" s="27">
        <f>[1]Instrumen!AE55</f>
        <v>0</v>
      </c>
      <c r="AK30" s="27">
        <f>[1]Instrumen!AF55</f>
        <v>0</v>
      </c>
      <c r="AL30" s="27">
        <f>[1]Instrumen!AG55</f>
        <v>0</v>
      </c>
      <c r="AM30" s="27">
        <f>[1]Instrumen!AH55</f>
        <v>0</v>
      </c>
      <c r="AN30" s="27">
        <f>[1]Instrumen!AI55</f>
        <v>0</v>
      </c>
      <c r="AO30" s="27">
        <f>[1]Instrumen!AJ55</f>
        <v>0</v>
      </c>
      <c r="AP30" s="27">
        <f>[1]Instrumen!AK55</f>
        <v>0</v>
      </c>
      <c r="AQ30" s="27">
        <f>[1]Instrumen!AL55</f>
        <v>0</v>
      </c>
      <c r="AR30" s="27">
        <f>[1]Instrumen!AM55</f>
        <v>0</v>
      </c>
      <c r="AS30" s="27">
        <f>[1]Instrumen!AN55</f>
        <v>0</v>
      </c>
      <c r="AT30" s="27">
        <f>[1]Instrumen!AO55</f>
        <v>0</v>
      </c>
      <c r="AU30" s="27">
        <f>[1]Instrumen!AP55</f>
        <v>0</v>
      </c>
      <c r="AV30" s="27">
        <f>[1]Instrumen!AQ55</f>
        <v>0</v>
      </c>
      <c r="AW30" s="27">
        <f>[1]Instrumen!AR55</f>
        <v>0</v>
      </c>
      <c r="AX30" s="27">
        <f>[1]Instrumen!AS55</f>
        <v>0</v>
      </c>
      <c r="AY30" s="27">
        <f>[1]Instrumen!AT55</f>
        <v>0</v>
      </c>
      <c r="AZ30" s="27">
        <f>[1]Instrumen!AU55</f>
        <v>0</v>
      </c>
      <c r="BA30" s="27">
        <f>[1]Instrumen!AV55</f>
        <v>0</v>
      </c>
      <c r="BB30" s="27">
        <f>[1]Instrumen!AW55</f>
        <v>0</v>
      </c>
      <c r="BC30" s="27">
        <f>[1]Instrumen!AX55</f>
        <v>0</v>
      </c>
      <c r="BD30" s="27">
        <f>[1]Instrumen!AY55</f>
        <v>0</v>
      </c>
      <c r="BE30" s="27">
        <f>[1]Instrumen!AZ55</f>
        <v>0</v>
      </c>
      <c r="BF30" s="27">
        <f>[1]Instrumen!BA55</f>
        <v>0</v>
      </c>
      <c r="BG30" s="27">
        <f>[1]Instrumen!BB55</f>
        <v>0</v>
      </c>
      <c r="BH30" s="27">
        <f>[1]Instrumen!BC55</f>
        <v>0</v>
      </c>
      <c r="BI30" s="27">
        <f>[1]Instrumen!BD55</f>
        <v>0</v>
      </c>
      <c r="BJ30" s="27">
        <f>[1]Instrumen!BE55</f>
        <v>0</v>
      </c>
      <c r="BK30" s="27">
        <f>[1]Instrumen!BF55</f>
        <v>0</v>
      </c>
      <c r="BL30" s="27">
        <f>[1]Instrumen!BG55</f>
        <v>0</v>
      </c>
      <c r="BM30" s="27">
        <f>[1]Instrumen!BH55</f>
        <v>0</v>
      </c>
      <c r="BN30" s="27">
        <f>[1]Instrumen!BI55</f>
        <v>0</v>
      </c>
      <c r="BO30" s="27">
        <f>[1]Instrumen!BJ55</f>
        <v>0</v>
      </c>
      <c r="BP30" s="27">
        <f>[1]Instrumen!BK55</f>
        <v>0</v>
      </c>
      <c r="BQ30" s="27">
        <f>[1]Instrumen!BL55</f>
        <v>0</v>
      </c>
    </row>
    <row r="31" spans="1:69" ht="18" hidden="1" customHeight="1" x14ac:dyDescent="0.25">
      <c r="A31" s="66">
        <v>19</v>
      </c>
      <c r="B31" s="184">
        <f>Ins_UR!$W$35</f>
        <v>0</v>
      </c>
      <c r="C31" s="185"/>
      <c r="D31" s="34" t="s">
        <v>161</v>
      </c>
      <c r="E31" s="35" t="str">
        <f>Ins_UR!$W$33</f>
        <v/>
      </c>
      <c r="F31" s="35" t="str">
        <f t="shared" si="3"/>
        <v/>
      </c>
      <c r="G31" s="35" t="str">
        <f>Ins_UR!$W$37</f>
        <v/>
      </c>
      <c r="H31" s="36" t="str">
        <f>IF(G31="Ditolak","Soal No. 19 wajib diganti",IF(G31="Digunakan","Soal No. 19 wajib diujikan",IF(G31="Diperbaiki",J31,"")))</f>
        <v/>
      </c>
      <c r="J31" s="64" t="str">
        <f>IF(Telaah_UR!$EU$6="","",Telaah_UR!$EU$6)</f>
        <v/>
      </c>
      <c r="K31" s="27" t="str">
        <f t="shared" si="0"/>
        <v/>
      </c>
      <c r="L31" s="37" t="str">
        <f t="shared" si="1"/>
        <v/>
      </c>
      <c r="M31" s="27" t="str">
        <f t="shared" si="2"/>
        <v/>
      </c>
      <c r="N31" s="27" t="e">
        <f>IF(B31="Ditolak","Soal Ditolak",IF(AND(#REF!="",K31="",L31="",M31="",HLOOKUP(A31,DataRek1,50,0)=100),"Soal Dapat Digunakan",IF(AND(K31&lt;&gt;"",L31&lt;&gt;"",M31&lt;&gt;""),K31&amp;", "&amp;L31&amp;", "&amp;M31&amp;" Harus Diperbaiki",IF(OR(K31&lt;&gt;"",L31&lt;&gt;"",M31&lt;&gt;""),K31&amp;", "&amp;L31&amp;", "&amp;M31&amp;" Harus Diperbaiki",""))))</f>
        <v>#REF!</v>
      </c>
    </row>
    <row r="32" spans="1:69" ht="18" hidden="1" customHeight="1" x14ac:dyDescent="0.25">
      <c r="A32" s="66">
        <v>20</v>
      </c>
      <c r="B32" s="184">
        <f>Ins_UR!$X$35</f>
        <v>0</v>
      </c>
      <c r="C32" s="185"/>
      <c r="D32" s="34" t="s">
        <v>161</v>
      </c>
      <c r="E32" s="35" t="str">
        <f>Ins_UR!$X$33</f>
        <v/>
      </c>
      <c r="F32" s="35" t="str">
        <f t="shared" si="3"/>
        <v/>
      </c>
      <c r="G32" s="35" t="str">
        <f>Ins_UR!$X$37</f>
        <v/>
      </c>
      <c r="H32" s="36" t="str">
        <f>IF(G32="Ditolak","Soal No. 20 wajib diganti",IF(G32="Digunakan","Soal No. 20 wajib diujikan",IF(G32="Diperbaiki",J32,"")))</f>
        <v/>
      </c>
      <c r="J32" s="64" t="str">
        <f>IF(Telaah_UR!$EV$6="","",Telaah_UR!$EV$6)</f>
        <v/>
      </c>
      <c r="K32" s="27" t="str">
        <f t="shared" si="0"/>
        <v/>
      </c>
      <c r="L32" s="37" t="str">
        <f t="shared" si="1"/>
        <v/>
      </c>
      <c r="M32" s="27" t="str">
        <f t="shared" si="2"/>
        <v/>
      </c>
      <c r="N32" s="27" t="e">
        <f>IF(B32="Ditolak","Soal Ditolak",IF(AND(#REF!="",K32="",L32="",M32="",HLOOKUP(A32,DataRek1,50,0)=100),"Soal Dapat Digunakan",IF(AND(K32&lt;&gt;"",L32&lt;&gt;"",M32&lt;&gt;""),K32&amp;", "&amp;L32&amp;", "&amp;M32&amp;" Harus Diperbaiki",IF(OR(K32&lt;&gt;"",L32&lt;&gt;"",M32&lt;&gt;""),K32&amp;", "&amp;L32&amp;", "&amp;M32&amp;" Harus Diperbaiki",""))))</f>
        <v>#REF!</v>
      </c>
    </row>
    <row r="35" spans="1:8" ht="15.75" x14ac:dyDescent="0.25">
      <c r="A35" s="2"/>
      <c r="B35" s="2"/>
      <c r="C35" s="2"/>
      <c r="D35" s="2"/>
      <c r="E35" s="2"/>
      <c r="F35" s="2"/>
      <c r="G35" s="2"/>
      <c r="H35" s="2" t="str">
        <f>Ins_PG!T41</f>
        <v>Wonogiri, 16 Maret 2021</v>
      </c>
    </row>
    <row r="36" spans="1:8" ht="15.75" x14ac:dyDescent="0.25">
      <c r="A36" s="2" t="s">
        <v>145</v>
      </c>
      <c r="B36" s="2"/>
      <c r="C36" s="2"/>
      <c r="D36" s="2"/>
      <c r="F36" s="2" t="s">
        <v>145</v>
      </c>
      <c r="H36" s="2" t="s">
        <v>90</v>
      </c>
    </row>
    <row r="37" spans="1:8" ht="15.75" x14ac:dyDescent="0.25">
      <c r="A37" s="2" t="s">
        <v>163</v>
      </c>
      <c r="B37" s="2"/>
      <c r="C37" s="2"/>
      <c r="D37" s="2"/>
      <c r="F37" s="2" t="s">
        <v>274</v>
      </c>
      <c r="H37" s="2"/>
    </row>
    <row r="38" spans="1:8" ht="15.75" x14ac:dyDescent="0.25">
      <c r="A38" s="2"/>
      <c r="B38" s="2"/>
      <c r="C38" s="2"/>
      <c r="D38" s="2"/>
      <c r="F38" s="2"/>
      <c r="H38" s="2"/>
    </row>
    <row r="39" spans="1:8" ht="15.75" x14ac:dyDescent="0.25">
      <c r="A39" s="2"/>
      <c r="B39" s="2"/>
      <c r="C39" s="2"/>
      <c r="D39" s="2"/>
      <c r="F39" s="2"/>
      <c r="H39" s="2"/>
    </row>
    <row r="40" spans="1:8" ht="15.75" x14ac:dyDescent="0.25">
      <c r="A40" s="2"/>
      <c r="B40" s="2"/>
      <c r="C40" s="2"/>
      <c r="D40" s="2"/>
      <c r="F40" s="2"/>
      <c r="H40" s="2"/>
    </row>
    <row r="41" spans="1:8" ht="15.75" x14ac:dyDescent="0.25">
      <c r="A41" s="108" t="str">
        <f>Ins_PG!B49</f>
        <v>Indah Darmawati, SE, M.Pd</v>
      </c>
      <c r="B41" s="2"/>
      <c r="C41" s="2"/>
      <c r="D41" s="2"/>
      <c r="F41" s="109" t="str">
        <f>Ins_PG!T49</f>
        <v>Bhekti Tulus Martani, S.Pd.</v>
      </c>
      <c r="H41" s="109" t="str">
        <f>Ins_PG!AH49</f>
        <v>Ade Setiyawan, S.Kom.</v>
      </c>
    </row>
    <row r="42" spans="1:8" ht="15.75" x14ac:dyDescent="0.25">
      <c r="A42" s="2" t="str">
        <f>Ins_PG!B50</f>
        <v>NIP 19770316 200701 2 002</v>
      </c>
      <c r="B42" s="2"/>
      <c r="C42" s="2"/>
      <c r="D42" s="2"/>
      <c r="F42" s="2" t="str">
        <f>Ins_PG!T50</f>
        <v>NIP -</v>
      </c>
      <c r="H42" s="2" t="str">
        <f>Ins_PG!AH50</f>
        <v>NIP -</v>
      </c>
    </row>
    <row r="43" spans="1:8" x14ac:dyDescent="0.25">
      <c r="H43" s="1"/>
    </row>
  </sheetData>
  <mergeCells count="28">
    <mergeCell ref="A1:H1"/>
    <mergeCell ref="A2:H2"/>
    <mergeCell ref="A3:H3"/>
    <mergeCell ref="A11:A12"/>
    <mergeCell ref="B11:C12"/>
    <mergeCell ref="E11:F11"/>
    <mergeCell ref="G11:G12"/>
    <mergeCell ref="H11:H12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1:C31"/>
    <mergeCell ref="B32:C32"/>
    <mergeCell ref="B25:C25"/>
    <mergeCell ref="B26:C26"/>
    <mergeCell ref="B27:C27"/>
    <mergeCell ref="B28:C28"/>
    <mergeCell ref="B29:C29"/>
    <mergeCell ref="B30:C30"/>
  </mergeCells>
  <conditionalFormatting sqref="B13:C13">
    <cfRule type="cellIs" dxfId="1" priority="2" stopIfTrue="1" operator="equal">
      <formula>"Ditolak"</formula>
    </cfRule>
  </conditionalFormatting>
  <conditionalFormatting sqref="B14:C32">
    <cfRule type="cellIs" dxfId="0" priority="1" stopIfTrue="1" operator="equal">
      <formula>"Ditolak"</formula>
    </cfRule>
  </conditionalFormatting>
  <pageMargins left="1" right="0.23622047244094499" top="0.43307086614173201" bottom="0.74803149606299202" header="0.31496062992126" footer="0.31496062992126"/>
  <pageSetup paperSize="9" scale="94" orientation="landscape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M38"/>
  <sheetViews>
    <sheetView showGridLines="0" zoomScale="78" zoomScaleNormal="78" workbookViewId="0">
      <selection activeCell="C25" sqref="C25"/>
    </sheetView>
  </sheetViews>
  <sheetFormatPr defaultColWidth="0" defaultRowHeight="15" x14ac:dyDescent="0.25"/>
  <cols>
    <col min="1" max="1" width="5" style="1" customWidth="1"/>
    <col min="2" max="2" width="18.28515625" style="1" customWidth="1"/>
    <col min="3" max="3" width="5.7109375" style="1" customWidth="1"/>
    <col min="4" max="5" width="10.42578125" style="1" customWidth="1"/>
    <col min="6" max="6" width="9.140625" style="1" customWidth="1"/>
    <col min="7" max="7" width="8.42578125" style="1" customWidth="1"/>
    <col min="8" max="8" width="5.5703125" style="1" customWidth="1"/>
    <col min="9" max="9" width="19.7109375" style="1" customWidth="1"/>
    <col min="10" max="10" width="5.7109375" style="1" customWidth="1"/>
    <col min="11" max="12" width="10.5703125" style="1" customWidth="1"/>
    <col min="13" max="14" width="9.140625" style="1" customWidth="1"/>
    <col min="15" max="260" width="0" style="1" hidden="1"/>
    <col min="261" max="261" width="4.28515625" style="1" customWidth="1"/>
    <col min="262" max="262" width="5.5703125" style="1" customWidth="1"/>
    <col min="263" max="263" width="12.42578125" style="1" customWidth="1"/>
    <col min="264" max="265" width="9.140625" style="1" customWidth="1"/>
    <col min="266" max="266" width="5.5703125" style="1" customWidth="1"/>
    <col min="267" max="267" width="15.140625" style="1" customWidth="1"/>
    <col min="268" max="270" width="9.140625" style="1" customWidth="1"/>
    <col min="271" max="516" width="0" style="1" hidden="1"/>
    <col min="517" max="517" width="4.28515625" style="1" customWidth="1"/>
    <col min="518" max="518" width="16.140625" style="1" customWidth="1"/>
    <col min="519" max="521" width="9.140625" style="1" customWidth="1"/>
    <col min="522" max="522" width="5.5703125" style="1" customWidth="1"/>
    <col min="523" max="523" width="15.140625" style="1" customWidth="1"/>
    <col min="524" max="526" width="9.140625" style="1" customWidth="1"/>
    <col min="527" max="772" width="0" style="1" hidden="1"/>
    <col min="773" max="773" width="4.28515625" style="1" customWidth="1"/>
    <col min="774" max="774" width="16.140625" style="1" customWidth="1"/>
    <col min="775" max="777" width="9.140625" style="1" customWidth="1"/>
    <col min="778" max="778" width="5.5703125" style="1" customWidth="1"/>
    <col min="779" max="779" width="15.140625" style="1" customWidth="1"/>
    <col min="780" max="782" width="9.140625" style="1" customWidth="1"/>
    <col min="783" max="1028" width="0" style="1" hidden="1"/>
    <col min="1029" max="1029" width="4.28515625" style="1" customWidth="1"/>
    <col min="1030" max="1030" width="16.140625" style="1" customWidth="1"/>
    <col min="1031" max="1033" width="9.140625" style="1" customWidth="1"/>
    <col min="1034" max="1034" width="5.5703125" style="1" customWidth="1"/>
    <col min="1035" max="1035" width="15.140625" style="1" customWidth="1"/>
    <col min="1036" max="1038" width="9.140625" style="1" customWidth="1"/>
    <col min="1039" max="1284" width="0" style="1" hidden="1"/>
    <col min="1285" max="1285" width="4.28515625" style="1" customWidth="1"/>
    <col min="1286" max="1286" width="16.140625" style="1" customWidth="1"/>
    <col min="1287" max="1289" width="9.140625" style="1" customWidth="1"/>
    <col min="1290" max="1290" width="5.5703125" style="1" customWidth="1"/>
    <col min="1291" max="1291" width="15.140625" style="1" customWidth="1"/>
    <col min="1292" max="1294" width="9.140625" style="1" customWidth="1"/>
    <col min="1295" max="1540" width="0" style="1" hidden="1"/>
    <col min="1541" max="1541" width="4.28515625" style="1" customWidth="1"/>
    <col min="1542" max="1542" width="16.140625" style="1" customWidth="1"/>
    <col min="1543" max="1545" width="9.140625" style="1" customWidth="1"/>
    <col min="1546" max="1546" width="5.5703125" style="1" customWidth="1"/>
    <col min="1547" max="1547" width="15.140625" style="1" customWidth="1"/>
    <col min="1548" max="1550" width="9.140625" style="1" customWidth="1"/>
    <col min="1551" max="1796" width="0" style="1" hidden="1"/>
    <col min="1797" max="1797" width="4.28515625" style="1" customWidth="1"/>
    <col min="1798" max="1798" width="16.140625" style="1" customWidth="1"/>
    <col min="1799" max="1801" width="9.140625" style="1" customWidth="1"/>
    <col min="1802" max="1802" width="5.5703125" style="1" customWidth="1"/>
    <col min="1803" max="1803" width="15.140625" style="1" customWidth="1"/>
    <col min="1804" max="1806" width="9.140625" style="1" customWidth="1"/>
    <col min="1807" max="2052" width="0" style="1" hidden="1"/>
    <col min="2053" max="2053" width="4.28515625" style="1" customWidth="1"/>
    <col min="2054" max="2054" width="16.140625" style="1" customWidth="1"/>
    <col min="2055" max="2057" width="9.140625" style="1" customWidth="1"/>
    <col min="2058" max="2058" width="5.5703125" style="1" customWidth="1"/>
    <col min="2059" max="2059" width="15.140625" style="1" customWidth="1"/>
    <col min="2060" max="2062" width="9.140625" style="1" customWidth="1"/>
    <col min="2063" max="2308" width="0" style="1" hidden="1"/>
    <col min="2309" max="2309" width="4.28515625" style="1" customWidth="1"/>
    <col min="2310" max="2310" width="16.140625" style="1" customWidth="1"/>
    <col min="2311" max="2313" width="9.140625" style="1" customWidth="1"/>
    <col min="2314" max="2314" width="5.5703125" style="1" customWidth="1"/>
    <col min="2315" max="2315" width="15.140625" style="1" customWidth="1"/>
    <col min="2316" max="2318" width="9.140625" style="1" customWidth="1"/>
    <col min="2319" max="2564" width="0" style="1" hidden="1"/>
    <col min="2565" max="2565" width="4.28515625" style="1" customWidth="1"/>
    <col min="2566" max="2566" width="16.140625" style="1" customWidth="1"/>
    <col min="2567" max="2569" width="9.140625" style="1" customWidth="1"/>
    <col min="2570" max="2570" width="5.5703125" style="1" customWidth="1"/>
    <col min="2571" max="2571" width="15.140625" style="1" customWidth="1"/>
    <col min="2572" max="2574" width="9.140625" style="1" customWidth="1"/>
    <col min="2575" max="2820" width="0" style="1" hidden="1"/>
    <col min="2821" max="2821" width="4.28515625" style="1" customWidth="1"/>
    <col min="2822" max="2822" width="16.140625" style="1" customWidth="1"/>
    <col min="2823" max="2825" width="9.140625" style="1" customWidth="1"/>
    <col min="2826" max="2826" width="5.5703125" style="1" customWidth="1"/>
    <col min="2827" max="2827" width="15.140625" style="1" customWidth="1"/>
    <col min="2828" max="2830" width="9.140625" style="1" customWidth="1"/>
    <col min="2831" max="3076" width="0" style="1" hidden="1"/>
    <col min="3077" max="3077" width="4.28515625" style="1" customWidth="1"/>
    <col min="3078" max="3078" width="16.140625" style="1" customWidth="1"/>
    <col min="3079" max="3081" width="9.140625" style="1" customWidth="1"/>
    <col min="3082" max="3082" width="5.5703125" style="1" customWidth="1"/>
    <col min="3083" max="3083" width="15.140625" style="1" customWidth="1"/>
    <col min="3084" max="3086" width="9.140625" style="1" customWidth="1"/>
    <col min="3087" max="3332" width="0" style="1" hidden="1"/>
    <col min="3333" max="3333" width="4.28515625" style="1" customWidth="1"/>
    <col min="3334" max="3334" width="16.140625" style="1" customWidth="1"/>
    <col min="3335" max="3337" width="9.140625" style="1" customWidth="1"/>
    <col min="3338" max="3338" width="5.5703125" style="1" customWidth="1"/>
    <col min="3339" max="3339" width="15.140625" style="1" customWidth="1"/>
    <col min="3340" max="3342" width="9.140625" style="1" customWidth="1"/>
    <col min="3343" max="3588" width="0" style="1" hidden="1"/>
    <col min="3589" max="3589" width="4.28515625" style="1" customWidth="1"/>
    <col min="3590" max="3590" width="16.140625" style="1" customWidth="1"/>
    <col min="3591" max="3593" width="9.140625" style="1" customWidth="1"/>
    <col min="3594" max="3594" width="5.5703125" style="1" customWidth="1"/>
    <col min="3595" max="3595" width="15.140625" style="1" customWidth="1"/>
    <col min="3596" max="3598" width="9.140625" style="1" customWidth="1"/>
    <col min="3599" max="3844" width="0" style="1" hidden="1"/>
    <col min="3845" max="3845" width="4.28515625" style="1" customWidth="1"/>
    <col min="3846" max="3846" width="16.140625" style="1" customWidth="1"/>
    <col min="3847" max="3849" width="9.140625" style="1" customWidth="1"/>
    <col min="3850" max="3850" width="5.5703125" style="1" customWidth="1"/>
    <col min="3851" max="3851" width="15.140625" style="1" customWidth="1"/>
    <col min="3852" max="3854" width="9.140625" style="1" customWidth="1"/>
    <col min="3855" max="4100" width="0" style="1" hidden="1"/>
    <col min="4101" max="4101" width="4.28515625" style="1" customWidth="1"/>
    <col min="4102" max="4102" width="16.140625" style="1" customWidth="1"/>
    <col min="4103" max="4105" width="9.140625" style="1" customWidth="1"/>
    <col min="4106" max="4106" width="5.5703125" style="1" customWidth="1"/>
    <col min="4107" max="4107" width="15.140625" style="1" customWidth="1"/>
    <col min="4108" max="4110" width="9.140625" style="1" customWidth="1"/>
    <col min="4111" max="4356" width="0" style="1" hidden="1"/>
    <col min="4357" max="4357" width="4.28515625" style="1" customWidth="1"/>
    <col min="4358" max="4358" width="16.140625" style="1" customWidth="1"/>
    <col min="4359" max="4361" width="9.140625" style="1" customWidth="1"/>
    <col min="4362" max="4362" width="5.5703125" style="1" customWidth="1"/>
    <col min="4363" max="4363" width="15.140625" style="1" customWidth="1"/>
    <col min="4364" max="4366" width="9.140625" style="1" customWidth="1"/>
    <col min="4367" max="4612" width="0" style="1" hidden="1"/>
    <col min="4613" max="4613" width="4.28515625" style="1" customWidth="1"/>
    <col min="4614" max="4614" width="16.140625" style="1" customWidth="1"/>
    <col min="4615" max="4617" width="9.140625" style="1" customWidth="1"/>
    <col min="4618" max="4618" width="5.5703125" style="1" customWidth="1"/>
    <col min="4619" max="4619" width="15.140625" style="1" customWidth="1"/>
    <col min="4620" max="4622" width="9.140625" style="1" customWidth="1"/>
    <col min="4623" max="4868" width="0" style="1" hidden="1"/>
    <col min="4869" max="4869" width="4.28515625" style="1" customWidth="1"/>
    <col min="4870" max="4870" width="16.140625" style="1" customWidth="1"/>
    <col min="4871" max="4873" width="9.140625" style="1" customWidth="1"/>
    <col min="4874" max="4874" width="5.5703125" style="1" customWidth="1"/>
    <col min="4875" max="4875" width="15.140625" style="1" customWidth="1"/>
    <col min="4876" max="4878" width="9.140625" style="1" customWidth="1"/>
    <col min="4879" max="5124" width="0" style="1" hidden="1"/>
    <col min="5125" max="5125" width="4.28515625" style="1" customWidth="1"/>
    <col min="5126" max="5126" width="16.140625" style="1" customWidth="1"/>
    <col min="5127" max="5129" width="9.140625" style="1" customWidth="1"/>
    <col min="5130" max="5130" width="5.5703125" style="1" customWidth="1"/>
    <col min="5131" max="5131" width="15.140625" style="1" customWidth="1"/>
    <col min="5132" max="5134" width="9.140625" style="1" customWidth="1"/>
    <col min="5135" max="5380" width="0" style="1" hidden="1"/>
    <col min="5381" max="5381" width="4.28515625" style="1" customWidth="1"/>
    <col min="5382" max="5382" width="16.140625" style="1" customWidth="1"/>
    <col min="5383" max="5385" width="9.140625" style="1" customWidth="1"/>
    <col min="5386" max="5386" width="5.5703125" style="1" customWidth="1"/>
    <col min="5387" max="5387" width="15.140625" style="1" customWidth="1"/>
    <col min="5388" max="5390" width="9.140625" style="1" customWidth="1"/>
    <col min="5391" max="5636" width="0" style="1" hidden="1"/>
    <col min="5637" max="5637" width="4.28515625" style="1" customWidth="1"/>
    <col min="5638" max="5638" width="16.140625" style="1" customWidth="1"/>
    <col min="5639" max="5641" width="9.140625" style="1" customWidth="1"/>
    <col min="5642" max="5642" width="5.5703125" style="1" customWidth="1"/>
    <col min="5643" max="5643" width="15.140625" style="1" customWidth="1"/>
    <col min="5644" max="5646" width="9.140625" style="1" customWidth="1"/>
    <col min="5647" max="5892" width="0" style="1" hidden="1"/>
    <col min="5893" max="5893" width="4.28515625" style="1" customWidth="1"/>
    <col min="5894" max="5894" width="16.140625" style="1" customWidth="1"/>
    <col min="5895" max="5897" width="9.140625" style="1" customWidth="1"/>
    <col min="5898" max="5898" width="5.5703125" style="1" customWidth="1"/>
    <col min="5899" max="5899" width="15.140625" style="1" customWidth="1"/>
    <col min="5900" max="5902" width="9.140625" style="1" customWidth="1"/>
    <col min="5903" max="6148" width="0" style="1" hidden="1"/>
    <col min="6149" max="6149" width="4.28515625" style="1" customWidth="1"/>
    <col min="6150" max="6150" width="16.140625" style="1" customWidth="1"/>
    <col min="6151" max="6153" width="9.140625" style="1" customWidth="1"/>
    <col min="6154" max="6154" width="5.5703125" style="1" customWidth="1"/>
    <col min="6155" max="6155" width="15.140625" style="1" customWidth="1"/>
    <col min="6156" max="6158" width="9.140625" style="1" customWidth="1"/>
    <col min="6159" max="6404" width="0" style="1" hidden="1"/>
    <col min="6405" max="6405" width="4.28515625" style="1" customWidth="1"/>
    <col min="6406" max="6406" width="16.140625" style="1" customWidth="1"/>
    <col min="6407" max="6409" width="9.140625" style="1" customWidth="1"/>
    <col min="6410" max="6410" width="5.5703125" style="1" customWidth="1"/>
    <col min="6411" max="6411" width="15.140625" style="1" customWidth="1"/>
    <col min="6412" max="6414" width="9.140625" style="1" customWidth="1"/>
    <col min="6415" max="6660" width="0" style="1" hidden="1"/>
    <col min="6661" max="6661" width="4.28515625" style="1" customWidth="1"/>
    <col min="6662" max="6662" width="16.140625" style="1" customWidth="1"/>
    <col min="6663" max="6665" width="9.140625" style="1" customWidth="1"/>
    <col min="6666" max="6666" width="5.5703125" style="1" customWidth="1"/>
    <col min="6667" max="6667" width="15.140625" style="1" customWidth="1"/>
    <col min="6668" max="6670" width="9.140625" style="1" customWidth="1"/>
    <col min="6671" max="6916" width="0" style="1" hidden="1"/>
    <col min="6917" max="6917" width="4.28515625" style="1" customWidth="1"/>
    <col min="6918" max="6918" width="16.140625" style="1" customWidth="1"/>
    <col min="6919" max="6921" width="9.140625" style="1" customWidth="1"/>
    <col min="6922" max="6922" width="5.5703125" style="1" customWidth="1"/>
    <col min="6923" max="6923" width="15.140625" style="1" customWidth="1"/>
    <col min="6924" max="6926" width="9.140625" style="1" customWidth="1"/>
    <col min="6927" max="7172" width="0" style="1" hidden="1"/>
    <col min="7173" max="7173" width="4.28515625" style="1" customWidth="1"/>
    <col min="7174" max="7174" width="16.140625" style="1" customWidth="1"/>
    <col min="7175" max="7177" width="9.140625" style="1" customWidth="1"/>
    <col min="7178" max="7178" width="5.5703125" style="1" customWidth="1"/>
    <col min="7179" max="7179" width="15.140625" style="1" customWidth="1"/>
    <col min="7180" max="7182" width="9.140625" style="1" customWidth="1"/>
    <col min="7183" max="7428" width="0" style="1" hidden="1"/>
    <col min="7429" max="7429" width="4.28515625" style="1" customWidth="1"/>
    <col min="7430" max="7430" width="16.140625" style="1" customWidth="1"/>
    <col min="7431" max="7433" width="9.140625" style="1" customWidth="1"/>
    <col min="7434" max="7434" width="5.5703125" style="1" customWidth="1"/>
    <col min="7435" max="7435" width="15.140625" style="1" customWidth="1"/>
    <col min="7436" max="7438" width="9.140625" style="1" customWidth="1"/>
    <col min="7439" max="7684" width="0" style="1" hidden="1"/>
    <col min="7685" max="7685" width="4.28515625" style="1" customWidth="1"/>
    <col min="7686" max="7686" width="16.140625" style="1" customWidth="1"/>
    <col min="7687" max="7689" width="9.140625" style="1" customWidth="1"/>
    <col min="7690" max="7690" width="5.5703125" style="1" customWidth="1"/>
    <col min="7691" max="7691" width="15.140625" style="1" customWidth="1"/>
    <col min="7692" max="7694" width="9.140625" style="1" customWidth="1"/>
    <col min="7695" max="7940" width="0" style="1" hidden="1"/>
    <col min="7941" max="7941" width="4.28515625" style="1" customWidth="1"/>
    <col min="7942" max="7942" width="16.140625" style="1" customWidth="1"/>
    <col min="7943" max="7945" width="9.140625" style="1" customWidth="1"/>
    <col min="7946" max="7946" width="5.5703125" style="1" customWidth="1"/>
    <col min="7947" max="7947" width="15.140625" style="1" customWidth="1"/>
    <col min="7948" max="7950" width="9.140625" style="1" customWidth="1"/>
    <col min="7951" max="8196" width="0" style="1" hidden="1"/>
    <col min="8197" max="8197" width="4.28515625" style="1" customWidth="1"/>
    <col min="8198" max="8198" width="16.140625" style="1" customWidth="1"/>
    <col min="8199" max="8201" width="9.140625" style="1" customWidth="1"/>
    <col min="8202" max="8202" width="5.5703125" style="1" customWidth="1"/>
    <col min="8203" max="8203" width="15.140625" style="1" customWidth="1"/>
    <col min="8204" max="8206" width="9.140625" style="1" customWidth="1"/>
    <col min="8207" max="8452" width="0" style="1" hidden="1"/>
    <col min="8453" max="8453" width="4.28515625" style="1" customWidth="1"/>
    <col min="8454" max="8454" width="16.140625" style="1" customWidth="1"/>
    <col min="8455" max="8457" width="9.140625" style="1" customWidth="1"/>
    <col min="8458" max="8458" width="5.5703125" style="1" customWidth="1"/>
    <col min="8459" max="8459" width="15.140625" style="1" customWidth="1"/>
    <col min="8460" max="8462" width="9.140625" style="1" customWidth="1"/>
    <col min="8463" max="8708" width="0" style="1" hidden="1"/>
    <col min="8709" max="8709" width="4.28515625" style="1" customWidth="1"/>
    <col min="8710" max="8710" width="16.140625" style="1" customWidth="1"/>
    <col min="8711" max="8713" width="9.140625" style="1" customWidth="1"/>
    <col min="8714" max="8714" width="5.5703125" style="1" customWidth="1"/>
    <col min="8715" max="8715" width="15.140625" style="1" customWidth="1"/>
    <col min="8716" max="8718" width="9.140625" style="1" customWidth="1"/>
    <col min="8719" max="8964" width="0" style="1" hidden="1"/>
    <col min="8965" max="8965" width="4.28515625" style="1" customWidth="1"/>
    <col min="8966" max="8966" width="16.140625" style="1" customWidth="1"/>
    <col min="8967" max="8969" width="9.140625" style="1" customWidth="1"/>
    <col min="8970" max="8970" width="5.5703125" style="1" customWidth="1"/>
    <col min="8971" max="8971" width="15.140625" style="1" customWidth="1"/>
    <col min="8972" max="8974" width="9.140625" style="1" customWidth="1"/>
    <col min="8975" max="9220" width="0" style="1" hidden="1"/>
    <col min="9221" max="9221" width="4.28515625" style="1" customWidth="1"/>
    <col min="9222" max="9222" width="16.140625" style="1" customWidth="1"/>
    <col min="9223" max="9225" width="9.140625" style="1" customWidth="1"/>
    <col min="9226" max="9226" width="5.5703125" style="1" customWidth="1"/>
    <col min="9227" max="9227" width="15.140625" style="1" customWidth="1"/>
    <col min="9228" max="9230" width="9.140625" style="1" customWidth="1"/>
    <col min="9231" max="9476" width="0" style="1" hidden="1"/>
    <col min="9477" max="9477" width="4.28515625" style="1" customWidth="1"/>
    <col min="9478" max="9478" width="16.140625" style="1" customWidth="1"/>
    <col min="9479" max="9481" width="9.140625" style="1" customWidth="1"/>
    <col min="9482" max="9482" width="5.5703125" style="1" customWidth="1"/>
    <col min="9483" max="9483" width="15.140625" style="1" customWidth="1"/>
    <col min="9484" max="9486" width="9.140625" style="1" customWidth="1"/>
    <col min="9487" max="9732" width="0" style="1" hidden="1"/>
    <col min="9733" max="9733" width="4.28515625" style="1" customWidth="1"/>
    <col min="9734" max="9734" width="16.140625" style="1" customWidth="1"/>
    <col min="9735" max="9737" width="9.140625" style="1" customWidth="1"/>
    <col min="9738" max="9738" width="5.5703125" style="1" customWidth="1"/>
    <col min="9739" max="9739" width="15.140625" style="1" customWidth="1"/>
    <col min="9740" max="9742" width="9.140625" style="1" customWidth="1"/>
    <col min="9743" max="9988" width="0" style="1" hidden="1"/>
    <col min="9989" max="9989" width="4.28515625" style="1" customWidth="1"/>
    <col min="9990" max="9990" width="16.140625" style="1" customWidth="1"/>
    <col min="9991" max="9993" width="9.140625" style="1" customWidth="1"/>
    <col min="9994" max="9994" width="5.5703125" style="1" customWidth="1"/>
    <col min="9995" max="9995" width="15.140625" style="1" customWidth="1"/>
    <col min="9996" max="9998" width="9.140625" style="1" customWidth="1"/>
    <col min="9999" max="10244" width="0" style="1" hidden="1"/>
    <col min="10245" max="10245" width="4.28515625" style="1" customWidth="1"/>
    <col min="10246" max="10246" width="16.140625" style="1" customWidth="1"/>
    <col min="10247" max="10249" width="9.140625" style="1" customWidth="1"/>
    <col min="10250" max="10250" width="5.5703125" style="1" customWidth="1"/>
    <col min="10251" max="10251" width="15.140625" style="1" customWidth="1"/>
    <col min="10252" max="10254" width="9.140625" style="1" customWidth="1"/>
    <col min="10255" max="10500" width="0" style="1" hidden="1"/>
    <col min="10501" max="10501" width="4.28515625" style="1" customWidth="1"/>
    <col min="10502" max="10502" width="16.140625" style="1" customWidth="1"/>
    <col min="10503" max="10505" width="9.140625" style="1" customWidth="1"/>
    <col min="10506" max="10506" width="5.5703125" style="1" customWidth="1"/>
    <col min="10507" max="10507" width="15.140625" style="1" customWidth="1"/>
    <col min="10508" max="10510" width="9.140625" style="1" customWidth="1"/>
    <col min="10511" max="10756" width="0" style="1" hidden="1"/>
    <col min="10757" max="10757" width="4.28515625" style="1" customWidth="1"/>
    <col min="10758" max="10758" width="16.140625" style="1" customWidth="1"/>
    <col min="10759" max="10761" width="9.140625" style="1" customWidth="1"/>
    <col min="10762" max="10762" width="5.5703125" style="1" customWidth="1"/>
    <col min="10763" max="10763" width="15.140625" style="1" customWidth="1"/>
    <col min="10764" max="10766" width="9.140625" style="1" customWidth="1"/>
    <col min="10767" max="11012" width="0" style="1" hidden="1"/>
    <col min="11013" max="11013" width="4.28515625" style="1" customWidth="1"/>
    <col min="11014" max="11014" width="16.140625" style="1" customWidth="1"/>
    <col min="11015" max="11017" width="9.140625" style="1" customWidth="1"/>
    <col min="11018" max="11018" width="5.5703125" style="1" customWidth="1"/>
    <col min="11019" max="11019" width="15.140625" style="1" customWidth="1"/>
    <col min="11020" max="11022" width="9.140625" style="1" customWidth="1"/>
    <col min="11023" max="11268" width="0" style="1" hidden="1"/>
    <col min="11269" max="11269" width="4.28515625" style="1" customWidth="1"/>
    <col min="11270" max="11270" width="16.140625" style="1" customWidth="1"/>
    <col min="11271" max="11273" width="9.140625" style="1" customWidth="1"/>
    <col min="11274" max="11274" width="5.5703125" style="1" customWidth="1"/>
    <col min="11275" max="11275" width="15.140625" style="1" customWidth="1"/>
    <col min="11276" max="11278" width="9.140625" style="1" customWidth="1"/>
    <col min="11279" max="11524" width="0" style="1" hidden="1"/>
    <col min="11525" max="11525" width="4.28515625" style="1" customWidth="1"/>
    <col min="11526" max="11526" width="16.140625" style="1" customWidth="1"/>
    <col min="11527" max="11529" width="9.140625" style="1" customWidth="1"/>
    <col min="11530" max="11530" width="5.5703125" style="1" customWidth="1"/>
    <col min="11531" max="11531" width="15.140625" style="1" customWidth="1"/>
    <col min="11532" max="11534" width="9.140625" style="1" customWidth="1"/>
    <col min="11535" max="11780" width="0" style="1" hidden="1"/>
    <col min="11781" max="11781" width="4.28515625" style="1" customWidth="1"/>
    <col min="11782" max="11782" width="16.140625" style="1" customWidth="1"/>
    <col min="11783" max="11785" width="9.140625" style="1" customWidth="1"/>
    <col min="11786" max="11786" width="5.5703125" style="1" customWidth="1"/>
    <col min="11787" max="11787" width="15.140625" style="1" customWidth="1"/>
    <col min="11788" max="11790" width="9.140625" style="1" customWidth="1"/>
    <col min="11791" max="12036" width="0" style="1" hidden="1"/>
    <col min="12037" max="12037" width="4.28515625" style="1" customWidth="1"/>
    <col min="12038" max="12038" width="16.140625" style="1" customWidth="1"/>
    <col min="12039" max="12041" width="9.140625" style="1" customWidth="1"/>
    <col min="12042" max="12042" width="5.5703125" style="1" customWidth="1"/>
    <col min="12043" max="12043" width="15.140625" style="1" customWidth="1"/>
    <col min="12044" max="12046" width="9.140625" style="1" customWidth="1"/>
    <col min="12047" max="12292" width="0" style="1" hidden="1"/>
    <col min="12293" max="12293" width="4.28515625" style="1" customWidth="1"/>
    <col min="12294" max="12294" width="16.140625" style="1" customWidth="1"/>
    <col min="12295" max="12297" width="9.140625" style="1" customWidth="1"/>
    <col min="12298" max="12298" width="5.5703125" style="1" customWidth="1"/>
    <col min="12299" max="12299" width="15.140625" style="1" customWidth="1"/>
    <col min="12300" max="12302" width="9.140625" style="1" customWidth="1"/>
    <col min="12303" max="12548" width="0" style="1" hidden="1"/>
    <col min="12549" max="12549" width="4.28515625" style="1" customWidth="1"/>
    <col min="12550" max="12550" width="16.140625" style="1" customWidth="1"/>
    <col min="12551" max="12553" width="9.140625" style="1" customWidth="1"/>
    <col min="12554" max="12554" width="5.5703125" style="1" customWidth="1"/>
    <col min="12555" max="12555" width="15.140625" style="1" customWidth="1"/>
    <col min="12556" max="12558" width="9.140625" style="1" customWidth="1"/>
    <col min="12559" max="12804" width="0" style="1" hidden="1"/>
    <col min="12805" max="12805" width="4.28515625" style="1" customWidth="1"/>
    <col min="12806" max="12806" width="16.140625" style="1" customWidth="1"/>
    <col min="12807" max="12809" width="9.140625" style="1" customWidth="1"/>
    <col min="12810" max="12810" width="5.5703125" style="1" customWidth="1"/>
    <col min="12811" max="12811" width="15.140625" style="1" customWidth="1"/>
    <col min="12812" max="12814" width="9.140625" style="1" customWidth="1"/>
    <col min="12815" max="13060" width="0" style="1" hidden="1"/>
    <col min="13061" max="13061" width="4.28515625" style="1" customWidth="1"/>
    <col min="13062" max="13062" width="16.140625" style="1" customWidth="1"/>
    <col min="13063" max="13065" width="9.140625" style="1" customWidth="1"/>
    <col min="13066" max="13066" width="5.5703125" style="1" customWidth="1"/>
    <col min="13067" max="13067" width="15.140625" style="1" customWidth="1"/>
    <col min="13068" max="13070" width="9.140625" style="1" customWidth="1"/>
    <col min="13071" max="13316" width="0" style="1" hidden="1"/>
    <col min="13317" max="13317" width="4.28515625" style="1" customWidth="1"/>
    <col min="13318" max="13318" width="16.140625" style="1" customWidth="1"/>
    <col min="13319" max="13321" width="9.140625" style="1" customWidth="1"/>
    <col min="13322" max="13322" width="5.5703125" style="1" customWidth="1"/>
    <col min="13323" max="13323" width="15.140625" style="1" customWidth="1"/>
    <col min="13324" max="13326" width="9.140625" style="1" customWidth="1"/>
    <col min="13327" max="13572" width="0" style="1" hidden="1"/>
    <col min="13573" max="13573" width="4.28515625" style="1" customWidth="1"/>
    <col min="13574" max="13574" width="16.140625" style="1" customWidth="1"/>
    <col min="13575" max="13577" width="9.140625" style="1" customWidth="1"/>
    <col min="13578" max="13578" width="5.5703125" style="1" customWidth="1"/>
    <col min="13579" max="13579" width="15.140625" style="1" customWidth="1"/>
    <col min="13580" max="13582" width="9.140625" style="1" customWidth="1"/>
    <col min="13583" max="13828" width="0" style="1" hidden="1"/>
    <col min="13829" max="13829" width="4.28515625" style="1" customWidth="1"/>
    <col min="13830" max="13830" width="16.140625" style="1" customWidth="1"/>
    <col min="13831" max="13833" width="9.140625" style="1" customWidth="1"/>
    <col min="13834" max="13834" width="5.5703125" style="1" customWidth="1"/>
    <col min="13835" max="13835" width="15.140625" style="1" customWidth="1"/>
    <col min="13836" max="13838" width="9.140625" style="1" customWidth="1"/>
    <col min="13839" max="14084" width="0" style="1" hidden="1"/>
    <col min="14085" max="14085" width="4.28515625" style="1" customWidth="1"/>
    <col min="14086" max="14086" width="16.140625" style="1" customWidth="1"/>
    <col min="14087" max="14089" width="9.140625" style="1" customWidth="1"/>
    <col min="14090" max="14090" width="5.5703125" style="1" customWidth="1"/>
    <col min="14091" max="14091" width="15.140625" style="1" customWidth="1"/>
    <col min="14092" max="14094" width="9.140625" style="1" customWidth="1"/>
    <col min="14095" max="14340" width="0" style="1" hidden="1"/>
    <col min="14341" max="14341" width="4.28515625" style="1" customWidth="1"/>
    <col min="14342" max="14342" width="16.140625" style="1" customWidth="1"/>
    <col min="14343" max="14345" width="9.140625" style="1" customWidth="1"/>
    <col min="14346" max="14346" width="5.5703125" style="1" customWidth="1"/>
    <col min="14347" max="14347" width="15.140625" style="1" customWidth="1"/>
    <col min="14348" max="14350" width="9.140625" style="1" customWidth="1"/>
    <col min="14351" max="14596" width="0" style="1" hidden="1"/>
    <col min="14597" max="14597" width="4.28515625" style="1" customWidth="1"/>
    <col min="14598" max="14598" width="16.140625" style="1" customWidth="1"/>
    <col min="14599" max="14601" width="9.140625" style="1" customWidth="1"/>
    <col min="14602" max="14602" width="5.5703125" style="1" customWidth="1"/>
    <col min="14603" max="14603" width="15.140625" style="1" customWidth="1"/>
    <col min="14604" max="14606" width="9.140625" style="1" customWidth="1"/>
    <col min="14607" max="14852" width="0" style="1" hidden="1"/>
    <col min="14853" max="14853" width="4.28515625" style="1" customWidth="1"/>
    <col min="14854" max="14854" width="16.140625" style="1" customWidth="1"/>
    <col min="14855" max="14857" width="9.140625" style="1" customWidth="1"/>
    <col min="14858" max="14858" width="5.5703125" style="1" customWidth="1"/>
    <col min="14859" max="14859" width="15.140625" style="1" customWidth="1"/>
    <col min="14860" max="14862" width="9.140625" style="1" customWidth="1"/>
    <col min="14863" max="15108" width="0" style="1" hidden="1"/>
    <col min="15109" max="15109" width="4.28515625" style="1" customWidth="1"/>
    <col min="15110" max="15110" width="16.140625" style="1" customWidth="1"/>
    <col min="15111" max="15113" width="9.140625" style="1" customWidth="1"/>
    <col min="15114" max="15114" width="5.5703125" style="1" customWidth="1"/>
    <col min="15115" max="15115" width="15.140625" style="1" customWidth="1"/>
    <col min="15116" max="15118" width="9.140625" style="1" customWidth="1"/>
    <col min="15119" max="15364" width="0" style="1" hidden="1"/>
    <col min="15365" max="15365" width="4.28515625" style="1" customWidth="1"/>
    <col min="15366" max="15366" width="16.140625" style="1" customWidth="1"/>
    <col min="15367" max="15369" width="9.140625" style="1" customWidth="1"/>
    <col min="15370" max="15370" width="5.5703125" style="1" customWidth="1"/>
    <col min="15371" max="15371" width="15.140625" style="1" customWidth="1"/>
    <col min="15372" max="15374" width="9.140625" style="1" customWidth="1"/>
    <col min="15375" max="15620" width="0" style="1" hidden="1"/>
    <col min="15621" max="15621" width="4.28515625" style="1" customWidth="1"/>
    <col min="15622" max="15622" width="16.140625" style="1" customWidth="1"/>
    <col min="15623" max="15625" width="9.140625" style="1" customWidth="1"/>
    <col min="15626" max="15626" width="5.5703125" style="1" customWidth="1"/>
    <col min="15627" max="15627" width="15.140625" style="1" customWidth="1"/>
    <col min="15628" max="15630" width="9.140625" style="1" customWidth="1"/>
    <col min="15631" max="15876" width="0" style="1" hidden="1"/>
    <col min="15877" max="15877" width="4.28515625" style="1" customWidth="1"/>
    <col min="15878" max="15878" width="16.140625" style="1" customWidth="1"/>
    <col min="15879" max="15881" width="9.140625" style="1" customWidth="1"/>
    <col min="15882" max="15882" width="5.5703125" style="1" customWidth="1"/>
    <col min="15883" max="15883" width="15.140625" style="1" customWidth="1"/>
    <col min="15884" max="15886" width="9.140625" style="1" customWidth="1"/>
    <col min="15887" max="16132" width="0" style="1" hidden="1"/>
    <col min="16133" max="16133" width="4.28515625" style="1" customWidth="1"/>
    <col min="16134" max="16134" width="16.140625" style="1" customWidth="1"/>
    <col min="16135" max="16137" width="9.140625" style="1" customWidth="1"/>
    <col min="16138" max="16138" width="5.5703125" style="1" customWidth="1"/>
    <col min="16139" max="16139" width="15.140625" style="1" customWidth="1"/>
    <col min="16140" max="16142" width="9.140625" style="1" customWidth="1"/>
    <col min="16143" max="16384" width="0" style="1" hidden="1"/>
  </cols>
  <sheetData>
    <row r="1" spans="1:13" ht="15.75" x14ac:dyDescent="0.25">
      <c r="A1" s="199" t="s">
        <v>164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15.75" x14ac:dyDescent="0.25">
      <c r="A2" s="199" t="str">
        <f>Ins_PG!A2</f>
        <v>UJIAN SEKOLAH (US) SEKOLAH MENENGAH KEJURUAN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</row>
    <row r="3" spans="1:13" ht="15.75" x14ac:dyDescent="0.25">
      <c r="A3" s="199" t="str">
        <f>CONCATENATE("TAHUN PELAJARAN"," ",Biodata!C15)</f>
        <v>TAHUN PELAJARAN 2020/2021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</row>
    <row r="5" spans="1:13" ht="15.75" x14ac:dyDescent="0.25">
      <c r="A5" s="2" t="s">
        <v>184</v>
      </c>
      <c r="B5" s="2"/>
      <c r="C5" s="2" t="str">
        <f>Hasil_PG!F5</f>
        <v>: SMK NEGERI 1 JATIROTO</v>
      </c>
      <c r="D5" s="2"/>
      <c r="E5" s="2"/>
    </row>
    <row r="6" spans="1:13" ht="15.75" x14ac:dyDescent="0.25">
      <c r="A6" s="2" t="s">
        <v>69</v>
      </c>
      <c r="B6" s="2"/>
      <c r="C6" s="2" t="str">
        <f>Hasil_PG!F6</f>
        <v>: Bahasa Inggris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75" x14ac:dyDescent="0.25">
      <c r="A7" s="2" t="s">
        <v>157</v>
      </c>
      <c r="B7" s="2"/>
      <c r="C7" s="2" t="str">
        <f>CONCATENATE(":"," ",Biodata!C12+Biodata!C13," ","butir")</f>
        <v>: 45 butir</v>
      </c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5.75" x14ac:dyDescent="0.25">
      <c r="A8" s="2" t="s">
        <v>89</v>
      </c>
      <c r="B8" s="2"/>
      <c r="C8" s="2" t="str">
        <f>Hasil_PG!F8</f>
        <v>: Bhekti Tulus Martani, S.Pd.</v>
      </c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75" x14ac:dyDescent="0.25">
      <c r="A9" s="2" t="s">
        <v>158</v>
      </c>
      <c r="B9" s="2"/>
      <c r="C9" s="2" t="str">
        <f>Hasil_PG!F9</f>
        <v>: Ade Setiyawan, S.Kom.</v>
      </c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5.75" x14ac:dyDescent="0.25">
      <c r="A11" s="39" t="s">
        <v>0</v>
      </c>
      <c r="B11" s="39" t="s">
        <v>174</v>
      </c>
      <c r="C11" s="39"/>
      <c r="D11" s="39"/>
      <c r="E11" s="39"/>
      <c r="F11" s="39"/>
      <c r="G11" s="39"/>
      <c r="H11" s="39" t="s">
        <v>6</v>
      </c>
      <c r="I11" s="39" t="s">
        <v>110</v>
      </c>
      <c r="J11" s="39"/>
      <c r="K11" s="39"/>
      <c r="L11" s="39"/>
      <c r="M11" s="39"/>
    </row>
    <row r="12" spans="1:13" ht="6.6" customHeight="1" x14ac:dyDescent="0.25">
      <c r="A12" s="39"/>
      <c r="B12" s="2"/>
      <c r="C12" s="2"/>
      <c r="D12" s="2"/>
      <c r="E12" s="2"/>
      <c r="F12" s="2"/>
      <c r="G12" s="2"/>
      <c r="H12" s="39"/>
      <c r="I12" s="2"/>
      <c r="J12" s="2"/>
      <c r="K12" s="2"/>
      <c r="L12" s="2"/>
      <c r="M12" s="2"/>
    </row>
    <row r="13" spans="1:13" ht="15.75" x14ac:dyDescent="0.25">
      <c r="A13" s="200" t="s">
        <v>165</v>
      </c>
      <c r="B13" s="200" t="s">
        <v>160</v>
      </c>
      <c r="C13" s="202" t="s">
        <v>251</v>
      </c>
      <c r="D13" s="202"/>
      <c r="E13" s="194" t="s">
        <v>166</v>
      </c>
      <c r="F13" s="200" t="s">
        <v>167</v>
      </c>
      <c r="G13" s="40"/>
      <c r="H13" s="200" t="s">
        <v>165</v>
      </c>
      <c r="I13" s="200" t="s">
        <v>168</v>
      </c>
      <c r="J13" s="202" t="s">
        <v>251</v>
      </c>
      <c r="K13" s="202"/>
      <c r="L13" s="194" t="s">
        <v>166</v>
      </c>
      <c r="M13" s="200" t="s">
        <v>167</v>
      </c>
    </row>
    <row r="14" spans="1:13" ht="15.75" x14ac:dyDescent="0.25">
      <c r="A14" s="201"/>
      <c r="B14" s="201"/>
      <c r="C14" s="30" t="s">
        <v>249</v>
      </c>
      <c r="D14" s="30" t="s">
        <v>250</v>
      </c>
      <c r="E14" s="196"/>
      <c r="F14" s="201"/>
      <c r="G14" s="40"/>
      <c r="H14" s="201"/>
      <c r="I14" s="201"/>
      <c r="J14" s="30" t="s">
        <v>249</v>
      </c>
      <c r="K14" s="30" t="s">
        <v>250</v>
      </c>
      <c r="L14" s="196"/>
      <c r="M14" s="201"/>
    </row>
    <row r="15" spans="1:13" ht="15.75" x14ac:dyDescent="0.25">
      <c r="A15" s="19">
        <v>1</v>
      </c>
      <c r="B15" s="41" t="s">
        <v>152</v>
      </c>
      <c r="C15" s="42">
        <f>COUNTIF(Hasil_PG!$G$13:$G$57,"Ditolak")</f>
        <v>0</v>
      </c>
      <c r="D15" s="42">
        <f>COUNTIF(Hasil_UR!$G$13:$G$32,"Ditolak")</f>
        <v>0</v>
      </c>
      <c r="E15" s="42">
        <f>SUM(C15:D15)</f>
        <v>0</v>
      </c>
      <c r="F15" s="43">
        <f>IF(E15=0,0,E15/$E$18*100)</f>
        <v>0</v>
      </c>
      <c r="G15" s="2"/>
      <c r="H15" s="19">
        <v>1</v>
      </c>
      <c r="I15" s="44" t="s">
        <v>111</v>
      </c>
      <c r="J15" s="42">
        <f>COUNTIF(Hasil_PG!$E$13:$E$57,"C1")</f>
        <v>2</v>
      </c>
      <c r="K15" s="42">
        <f>COUNTIF(Hasil_UR!$E$13:$E$32,"C1")</f>
        <v>3</v>
      </c>
      <c r="L15" s="42">
        <f t="shared" ref="L15:L20" si="0">SUM(J15:K15)</f>
        <v>5</v>
      </c>
      <c r="M15" s="43">
        <f>IF(L15=0,0,L15/$L$21*100)</f>
        <v>11.111111111111111</v>
      </c>
    </row>
    <row r="16" spans="1:13" ht="15.75" x14ac:dyDescent="0.25">
      <c r="A16" s="19">
        <v>2</v>
      </c>
      <c r="B16" s="41" t="s">
        <v>153</v>
      </c>
      <c r="C16" s="42">
        <f>COUNTIF(Hasil_PG!$G$13:$G$57,"Diperbaiki")</f>
        <v>0</v>
      </c>
      <c r="D16" s="42">
        <f>COUNTIF(Hasil_UR!$G$13:$G$32,"Diperbaiki")</f>
        <v>0</v>
      </c>
      <c r="E16" s="42">
        <f t="shared" ref="E16:E18" si="1">SUM(C16:D16)</f>
        <v>0</v>
      </c>
      <c r="F16" s="43">
        <f t="shared" ref="F16:F17" si="2">IF(E16=0,0,E16/$E$18*100)</f>
        <v>0</v>
      </c>
      <c r="G16" s="2"/>
      <c r="H16" s="19">
        <v>2</v>
      </c>
      <c r="I16" s="44" t="s">
        <v>105</v>
      </c>
      <c r="J16" s="42">
        <f>COUNTIF(Hasil_PG!$E$13:$E$57,"C2")</f>
        <v>6</v>
      </c>
      <c r="K16" s="42">
        <f>COUNTIF(Hasil_UR!$E$13:$E$32,"C2")</f>
        <v>1</v>
      </c>
      <c r="L16" s="42">
        <f t="shared" si="0"/>
        <v>7</v>
      </c>
      <c r="M16" s="43">
        <f t="shared" ref="M16:M20" si="3">IF(L16=0,0,L16/$L$21*100)</f>
        <v>15.555555555555555</v>
      </c>
    </row>
    <row r="17" spans="1:13" ht="15.75" x14ac:dyDescent="0.25">
      <c r="A17" s="19">
        <v>3</v>
      </c>
      <c r="B17" s="41" t="s">
        <v>169</v>
      </c>
      <c r="C17" s="42">
        <f>COUNTIF(Hasil_PG!$G$13:$G$57,"Digunakan")</f>
        <v>40</v>
      </c>
      <c r="D17" s="42">
        <f>COUNTIF(Hasil_UR!$G$13:$G$32,"Digunakan")</f>
        <v>5</v>
      </c>
      <c r="E17" s="42">
        <f t="shared" si="1"/>
        <v>45</v>
      </c>
      <c r="F17" s="43">
        <f t="shared" si="2"/>
        <v>100</v>
      </c>
      <c r="G17" s="2"/>
      <c r="H17" s="19">
        <v>3</v>
      </c>
      <c r="I17" s="44" t="s">
        <v>170</v>
      </c>
      <c r="J17" s="42">
        <f>COUNTIF(Hasil_PG!$E$13:$E$57,"C3")</f>
        <v>24</v>
      </c>
      <c r="K17" s="42">
        <f>COUNTIF(Hasil_UR!$E$13:$E$32,"C3")</f>
        <v>0</v>
      </c>
      <c r="L17" s="42">
        <f t="shared" si="0"/>
        <v>24</v>
      </c>
      <c r="M17" s="43">
        <f t="shared" si="3"/>
        <v>53.333333333333336</v>
      </c>
    </row>
    <row r="18" spans="1:13" ht="15.75" x14ac:dyDescent="0.25">
      <c r="A18" s="2"/>
      <c r="B18" s="2"/>
      <c r="C18" s="42">
        <f>SUM(C15:C17)</f>
        <v>40</v>
      </c>
      <c r="D18" s="42">
        <f>SUM(D15:D17)</f>
        <v>5</v>
      </c>
      <c r="E18" s="42">
        <f t="shared" si="1"/>
        <v>45</v>
      </c>
      <c r="F18" s="43">
        <f>SUM(F15:F17)</f>
        <v>100</v>
      </c>
      <c r="G18" s="2"/>
      <c r="H18" s="19">
        <v>4</v>
      </c>
      <c r="I18" s="44" t="s">
        <v>107</v>
      </c>
      <c r="J18" s="42">
        <f>COUNTIF(Hasil_PG!$E$13:$E$57,"C4")</f>
        <v>8</v>
      </c>
      <c r="K18" s="42">
        <f>COUNTIF(Hasil_UR!$E$13:$E$32,"C4")</f>
        <v>0</v>
      </c>
      <c r="L18" s="42">
        <f t="shared" si="0"/>
        <v>8</v>
      </c>
      <c r="M18" s="43">
        <f t="shared" si="3"/>
        <v>17.777777777777779</v>
      </c>
    </row>
    <row r="19" spans="1:13" ht="15.75" x14ac:dyDescent="0.25">
      <c r="A19" s="2"/>
      <c r="B19" s="2"/>
      <c r="C19" s="2"/>
      <c r="D19" s="2"/>
      <c r="E19" s="2"/>
      <c r="F19" s="2"/>
      <c r="G19" s="2"/>
      <c r="H19" s="19">
        <v>5</v>
      </c>
      <c r="I19" s="44" t="s">
        <v>108</v>
      </c>
      <c r="J19" s="42">
        <f>COUNTIF(Hasil_PG!$E$13:$E$57,"C5")</f>
        <v>0</v>
      </c>
      <c r="K19" s="42">
        <f>COUNTIF(Hasil_UR!$E$13:$E$32,"C5")</f>
        <v>0</v>
      </c>
      <c r="L19" s="42">
        <f t="shared" si="0"/>
        <v>0</v>
      </c>
      <c r="M19" s="43">
        <f t="shared" si="3"/>
        <v>0</v>
      </c>
    </row>
    <row r="20" spans="1:13" ht="15.75" x14ac:dyDescent="0.25">
      <c r="A20" s="2"/>
      <c r="B20" s="2"/>
      <c r="C20" s="2"/>
      <c r="D20" s="2"/>
      <c r="E20" s="2"/>
      <c r="F20" s="2"/>
      <c r="G20" s="2"/>
      <c r="H20" s="19">
        <v>6</v>
      </c>
      <c r="I20" s="44" t="s">
        <v>109</v>
      </c>
      <c r="J20" s="42">
        <f>COUNTIF(Hasil_PG!$E$13:$E$57,"C6")</f>
        <v>0</v>
      </c>
      <c r="K20" s="42">
        <f>COUNTIF(Hasil_UR!$E$13:$E$32,"C6")</f>
        <v>1</v>
      </c>
      <c r="L20" s="42">
        <f t="shared" si="0"/>
        <v>1</v>
      </c>
      <c r="M20" s="43">
        <f t="shared" si="3"/>
        <v>2.2222222222222223</v>
      </c>
    </row>
    <row r="21" spans="1:13" ht="15.75" x14ac:dyDescent="0.25">
      <c r="A21" s="39" t="s">
        <v>24</v>
      </c>
      <c r="B21" s="39" t="s">
        <v>175</v>
      </c>
      <c r="C21" s="2"/>
      <c r="D21" s="2"/>
      <c r="E21" s="2"/>
      <c r="F21" s="2"/>
      <c r="G21" s="2"/>
      <c r="H21" s="2"/>
      <c r="I21" s="2"/>
      <c r="J21" s="42">
        <f>SUM(J15:J20)</f>
        <v>40</v>
      </c>
      <c r="K21" s="42">
        <f>SUM(K15:K20)</f>
        <v>5</v>
      </c>
      <c r="L21" s="42">
        <f>SUM(L15:L20)</f>
        <v>45</v>
      </c>
      <c r="M21" s="43">
        <f>SUM(M15:M20)</f>
        <v>100</v>
      </c>
    </row>
    <row r="22" spans="1:13" ht="15.75" x14ac:dyDescent="0.25">
      <c r="A22" s="3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15.75" x14ac:dyDescent="0.25">
      <c r="A23" s="84" t="s">
        <v>165</v>
      </c>
      <c r="B23" s="84" t="s">
        <v>190</v>
      </c>
      <c r="C23" s="197" t="s">
        <v>251</v>
      </c>
      <c r="D23" s="198"/>
      <c r="E23" s="72" t="s">
        <v>166</v>
      </c>
      <c r="F23" s="84" t="s">
        <v>167</v>
      </c>
      <c r="G23" s="2"/>
      <c r="H23" s="2"/>
      <c r="I23" s="2"/>
      <c r="J23" s="2"/>
      <c r="K23" s="2"/>
      <c r="L23" s="2"/>
      <c r="M23" s="2"/>
    </row>
    <row r="24" spans="1:13" ht="15.75" x14ac:dyDescent="0.25">
      <c r="A24" s="85"/>
      <c r="B24" s="85"/>
      <c r="C24" s="30" t="s">
        <v>249</v>
      </c>
      <c r="D24" s="30" t="s">
        <v>250</v>
      </c>
      <c r="E24" s="73"/>
      <c r="F24" s="85"/>
      <c r="G24" s="2"/>
      <c r="H24" s="2"/>
      <c r="I24" s="2"/>
      <c r="J24" s="2"/>
      <c r="K24" s="2"/>
      <c r="L24" s="2"/>
      <c r="M24" s="2"/>
    </row>
    <row r="25" spans="1:13" ht="15.75" x14ac:dyDescent="0.25">
      <c r="A25" s="67">
        <v>1</v>
      </c>
      <c r="B25" s="41" t="s">
        <v>176</v>
      </c>
      <c r="C25" s="42">
        <f>COUNTIF(Hasil_PG!$F$13:$F$57,"Level 1")</f>
        <v>8</v>
      </c>
      <c r="D25" s="42">
        <f>COUNTIF(Hasil_UR!$F$13:$F$32,"Level 1")</f>
        <v>4</v>
      </c>
      <c r="E25" s="42">
        <f>SUM(C25:D25)</f>
        <v>12</v>
      </c>
      <c r="F25" s="43">
        <f>IF(E25=0,0,E25/$E$28*100)</f>
        <v>26.666666666666668</v>
      </c>
      <c r="G25" s="2"/>
      <c r="H25" s="2"/>
      <c r="I25" s="2"/>
      <c r="J25" s="2"/>
      <c r="K25" s="2"/>
      <c r="L25" s="2"/>
      <c r="M25" s="2"/>
    </row>
    <row r="26" spans="1:13" ht="15.75" x14ac:dyDescent="0.25">
      <c r="A26" s="67">
        <v>2</v>
      </c>
      <c r="B26" s="41" t="s">
        <v>177</v>
      </c>
      <c r="C26" s="42">
        <f>COUNTIF(Hasil_PG!$F$13:$F$57,"Level 2")</f>
        <v>24</v>
      </c>
      <c r="D26" s="42">
        <f>COUNTIF(Hasil_UR!$F$13:$F$32,"Level 2")</f>
        <v>0</v>
      </c>
      <c r="E26" s="42">
        <f t="shared" ref="E26:E27" si="4">SUM(C26:D26)</f>
        <v>24</v>
      </c>
      <c r="F26" s="43">
        <f t="shared" ref="F26:F27" si="5">IF(E26=0,0,E26/$E$28*100)</f>
        <v>53.333333333333336</v>
      </c>
      <c r="G26" s="2"/>
      <c r="H26" s="2"/>
      <c r="I26" s="2"/>
      <c r="J26" s="2"/>
      <c r="K26" s="2"/>
      <c r="L26" s="2"/>
      <c r="M26" s="2"/>
    </row>
    <row r="27" spans="1:13" ht="15.75" x14ac:dyDescent="0.25">
      <c r="A27" s="19">
        <v>3</v>
      </c>
      <c r="B27" s="41" t="s">
        <v>178</v>
      </c>
      <c r="C27" s="42">
        <f>COUNTIF(Hasil_PG!$F$13:$F$57,"Level 3")</f>
        <v>8</v>
      </c>
      <c r="D27" s="42">
        <f>COUNTIF(Hasil_UR!$F$13:$F$32,"Level 3")</f>
        <v>1</v>
      </c>
      <c r="E27" s="42">
        <f t="shared" si="4"/>
        <v>9</v>
      </c>
      <c r="F27" s="43">
        <f t="shared" si="5"/>
        <v>20</v>
      </c>
      <c r="G27" s="2"/>
      <c r="H27" s="2"/>
      <c r="I27" s="2"/>
      <c r="J27" s="2"/>
      <c r="K27" s="2"/>
      <c r="L27" s="2"/>
      <c r="M27" s="2"/>
    </row>
    <row r="28" spans="1:13" ht="15.75" x14ac:dyDescent="0.25">
      <c r="A28" s="2"/>
      <c r="B28" s="2"/>
      <c r="C28" s="42">
        <f>SUM(C25:C27)</f>
        <v>40</v>
      </c>
      <c r="D28" s="42">
        <f>SUM(D25:D27)</f>
        <v>5</v>
      </c>
      <c r="E28" s="42">
        <f>SUM(E25:E27)</f>
        <v>45</v>
      </c>
      <c r="F28" s="43">
        <f>SUM(F25:F27)</f>
        <v>100</v>
      </c>
      <c r="G28" s="2"/>
      <c r="H28" s="2"/>
      <c r="I28" s="2"/>
      <c r="J28" s="2"/>
      <c r="K28" s="2"/>
      <c r="L28" s="2"/>
      <c r="M28" s="2"/>
    </row>
    <row r="29" spans="1:13" ht="15.75" x14ac:dyDescent="0.25">
      <c r="G29" s="2"/>
      <c r="H29" s="2"/>
      <c r="I29" s="2"/>
      <c r="J29" s="2"/>
      <c r="K29" s="2"/>
      <c r="L29" s="2"/>
      <c r="M29" s="2"/>
    </row>
    <row r="30" spans="1:13" ht="15.75" x14ac:dyDescent="0.25">
      <c r="A30" s="2"/>
      <c r="B30" s="2"/>
      <c r="C30" s="2"/>
      <c r="D30" s="2"/>
      <c r="E30" s="2"/>
      <c r="F30" s="2"/>
      <c r="G30" s="2"/>
      <c r="H30" s="2"/>
      <c r="J30" s="2" t="str">
        <f>Ins_PG!T41</f>
        <v>Wonogiri, 16 Maret 2021</v>
      </c>
      <c r="K30" s="2"/>
      <c r="L30" s="2"/>
      <c r="M30" s="2"/>
    </row>
    <row r="31" spans="1:13" ht="15.75" x14ac:dyDescent="0.25">
      <c r="A31" s="2" t="s">
        <v>145</v>
      </c>
      <c r="B31" s="2"/>
      <c r="C31" s="2"/>
      <c r="D31" s="2"/>
      <c r="F31" s="2" t="s">
        <v>145</v>
      </c>
      <c r="G31" s="2"/>
      <c r="H31" s="2"/>
      <c r="K31" s="2"/>
      <c r="L31" s="2"/>
      <c r="M31" s="2"/>
    </row>
    <row r="32" spans="1:13" ht="15.75" x14ac:dyDescent="0.25">
      <c r="A32" s="2" t="s">
        <v>163</v>
      </c>
      <c r="B32" s="2"/>
      <c r="C32" s="2"/>
      <c r="D32" s="2"/>
      <c r="F32" s="2" t="s">
        <v>183</v>
      </c>
      <c r="G32" s="2"/>
      <c r="H32" s="2"/>
      <c r="J32" s="2" t="s">
        <v>158</v>
      </c>
      <c r="K32" s="2"/>
      <c r="L32" s="2"/>
      <c r="M32" s="2"/>
    </row>
    <row r="33" spans="1:13" ht="15.75" x14ac:dyDescent="0.25">
      <c r="A33" s="2"/>
      <c r="B33" s="2"/>
      <c r="C33" s="2"/>
      <c r="D33" s="2"/>
      <c r="F33" s="2"/>
      <c r="G33" s="2"/>
      <c r="H33" s="2"/>
      <c r="J33" s="2"/>
      <c r="K33" s="2"/>
      <c r="L33" s="2"/>
      <c r="M33" s="2"/>
    </row>
    <row r="34" spans="1:13" ht="15.75" x14ac:dyDescent="0.25">
      <c r="A34" s="2"/>
      <c r="B34" s="2"/>
      <c r="C34" s="2"/>
      <c r="D34" s="2"/>
      <c r="F34" s="2"/>
      <c r="G34" s="2"/>
      <c r="H34" s="2"/>
      <c r="J34" s="2"/>
      <c r="K34" s="2"/>
      <c r="L34" s="2"/>
      <c r="M34" s="2"/>
    </row>
    <row r="35" spans="1:13" ht="15.75" x14ac:dyDescent="0.25">
      <c r="A35" s="2"/>
      <c r="B35" s="2"/>
      <c r="C35" s="2"/>
      <c r="D35" s="2"/>
      <c r="F35" s="2"/>
      <c r="G35" s="2"/>
      <c r="H35" s="2"/>
      <c r="J35" s="2"/>
      <c r="K35" s="2"/>
      <c r="L35" s="2"/>
      <c r="M35" s="2"/>
    </row>
    <row r="36" spans="1:13" ht="15.75" x14ac:dyDescent="0.25">
      <c r="A36" s="2"/>
      <c r="B36" s="2"/>
      <c r="C36" s="2"/>
      <c r="D36" s="2"/>
      <c r="F36" s="2"/>
      <c r="G36" s="2"/>
      <c r="H36" s="2"/>
      <c r="J36" s="2"/>
      <c r="K36" s="2"/>
      <c r="L36" s="2"/>
      <c r="M36" s="2"/>
    </row>
    <row r="37" spans="1:13" ht="15.75" x14ac:dyDescent="0.25">
      <c r="A37" s="108" t="str">
        <f>Ins_PG!B49</f>
        <v>Indah Darmawati, SE, M.Pd</v>
      </c>
      <c r="B37" s="2"/>
      <c r="C37" s="2"/>
      <c r="D37" s="2"/>
      <c r="F37" s="108" t="str">
        <f>Ins_PG!T49</f>
        <v>Bhekti Tulus Martani, S.Pd.</v>
      </c>
      <c r="G37" s="2"/>
      <c r="H37" s="2"/>
      <c r="J37" s="108" t="str">
        <f>Ins_PG!AH49</f>
        <v>Ade Setiyawan, S.Kom.</v>
      </c>
      <c r="K37" s="2"/>
      <c r="L37" s="2"/>
      <c r="M37" s="2"/>
    </row>
    <row r="38" spans="1:13" ht="15.75" x14ac:dyDescent="0.25">
      <c r="A38" s="47" t="str">
        <f>Ins_PG!B50</f>
        <v>NIP 19770316 200701 2 002</v>
      </c>
      <c r="B38" s="2"/>
      <c r="C38" s="2"/>
      <c r="D38" s="2"/>
      <c r="F38" s="2" t="str">
        <f>Ins_PG!T50</f>
        <v>NIP -</v>
      </c>
      <c r="G38" s="2"/>
      <c r="H38" s="2"/>
      <c r="J38" s="2" t="str">
        <f>Ins_PG!AH50</f>
        <v>NIP -</v>
      </c>
      <c r="K38" s="2"/>
      <c r="L38" s="2"/>
      <c r="M38" s="2"/>
    </row>
  </sheetData>
  <mergeCells count="14">
    <mergeCell ref="C23:D23"/>
    <mergeCell ref="A1:M1"/>
    <mergeCell ref="A2:M2"/>
    <mergeCell ref="A3:M3"/>
    <mergeCell ref="E13:E14"/>
    <mergeCell ref="F13:F14"/>
    <mergeCell ref="C13:D13"/>
    <mergeCell ref="B13:B14"/>
    <mergeCell ref="A13:A14"/>
    <mergeCell ref="J13:K13"/>
    <mergeCell ref="L13:L14"/>
    <mergeCell ref="M13:M14"/>
    <mergeCell ref="I13:I14"/>
    <mergeCell ref="H13:H14"/>
  </mergeCells>
  <printOptions horizontalCentered="1"/>
  <pageMargins left="0.7" right="0.7" top="0.5" bottom="0.5" header="0.3" footer="0.3"/>
  <pageSetup paperSize="9" scale="90" orientation="landscape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L63"/>
  <sheetViews>
    <sheetView showGridLines="0" tabSelected="1" topLeftCell="A13" workbookViewId="0">
      <selection activeCell="N20" sqref="N20"/>
    </sheetView>
  </sheetViews>
  <sheetFormatPr defaultColWidth="9.140625" defaultRowHeight="15" x14ac:dyDescent="0.25"/>
  <cols>
    <col min="1" max="1" width="4.5703125" style="50" customWidth="1"/>
    <col min="2" max="2" width="14.5703125" style="50" customWidth="1"/>
    <col min="3" max="3" width="11.140625" style="50" customWidth="1"/>
    <col min="4" max="4" width="2.85546875" style="50" customWidth="1"/>
    <col min="5" max="5" width="9.140625" style="50"/>
    <col min="6" max="6" width="11.5703125" style="50" customWidth="1"/>
    <col min="7" max="11" width="9.140625" style="50"/>
    <col min="12" max="12" width="6" style="50" customWidth="1"/>
    <col min="13" max="16384" width="9.140625" style="50"/>
  </cols>
  <sheetData>
    <row r="1" spans="1:11" ht="16.899999999999999" customHeight="1" x14ac:dyDescent="0.25">
      <c r="A1" s="210" t="s">
        <v>198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</row>
    <row r="2" spans="1:11" ht="16.899999999999999" customHeight="1" x14ac:dyDescent="0.25">
      <c r="A2" s="210"/>
      <c r="B2" s="210"/>
      <c r="C2" s="210"/>
      <c r="D2" s="210"/>
      <c r="E2" s="210"/>
      <c r="F2" s="210"/>
      <c r="G2" s="210"/>
      <c r="H2" s="210"/>
      <c r="I2" s="210"/>
      <c r="J2" s="210"/>
      <c r="K2" s="210"/>
    </row>
    <row r="3" spans="1:11" ht="16.899999999999999" customHeight="1" x14ac:dyDescent="0.25">
      <c r="A3" s="210"/>
      <c r="B3" s="210"/>
      <c r="C3" s="210"/>
      <c r="D3" s="210"/>
      <c r="E3" s="210"/>
      <c r="F3" s="210"/>
      <c r="G3" s="210"/>
      <c r="H3" s="210"/>
      <c r="I3" s="210"/>
      <c r="J3" s="210"/>
      <c r="K3" s="210"/>
    </row>
    <row r="4" spans="1:11" ht="16.899999999999999" customHeight="1" x14ac:dyDescent="0.25">
      <c r="A4" s="210"/>
      <c r="B4" s="210"/>
      <c r="C4" s="210"/>
      <c r="D4" s="210"/>
      <c r="E4" s="210"/>
      <c r="F4" s="210"/>
      <c r="G4" s="210"/>
      <c r="H4" s="210"/>
      <c r="I4" s="210"/>
      <c r="J4" s="210"/>
      <c r="K4" s="210"/>
    </row>
    <row r="5" spans="1:11" ht="16.899999999999999" customHeight="1" x14ac:dyDescent="0.25">
      <c r="A5" s="210"/>
      <c r="B5" s="210"/>
      <c r="C5" s="210"/>
      <c r="D5" s="210"/>
      <c r="E5" s="210"/>
      <c r="F5" s="210"/>
      <c r="G5" s="210"/>
      <c r="H5" s="210"/>
      <c r="I5" s="210"/>
      <c r="J5" s="210"/>
      <c r="K5" s="210"/>
    </row>
    <row r="6" spans="1:11" ht="16.899999999999999" customHeight="1" x14ac:dyDescent="0.25">
      <c r="A6" s="210"/>
      <c r="B6" s="210"/>
      <c r="C6" s="210"/>
      <c r="D6" s="210"/>
      <c r="E6" s="210"/>
      <c r="F6" s="210"/>
      <c r="G6" s="210"/>
      <c r="H6" s="210"/>
      <c r="I6" s="210"/>
      <c r="J6" s="210"/>
      <c r="K6" s="210"/>
    </row>
    <row r="7" spans="1:11" ht="16.899999999999999" customHeight="1" x14ac:dyDescent="0.25">
      <c r="A7" s="210"/>
      <c r="B7" s="210"/>
      <c r="C7" s="210"/>
      <c r="D7" s="210"/>
      <c r="E7" s="210"/>
      <c r="F7" s="210"/>
      <c r="G7" s="210"/>
      <c r="H7" s="210"/>
      <c r="I7" s="210"/>
      <c r="J7" s="210"/>
      <c r="K7" s="210"/>
    </row>
    <row r="9" spans="1:11" ht="17.45" customHeight="1" x14ac:dyDescent="0.25">
      <c r="A9" s="207" t="s">
        <v>199</v>
      </c>
      <c r="B9" s="207"/>
      <c r="C9" s="207"/>
      <c r="D9" s="207"/>
      <c r="E9" s="207"/>
      <c r="F9" s="207"/>
      <c r="G9" s="207"/>
      <c r="H9" s="207"/>
      <c r="I9" s="207"/>
      <c r="J9" s="207"/>
      <c r="K9" s="207"/>
    </row>
    <row r="10" spans="1:11" ht="16.149999999999999" customHeight="1" x14ac:dyDescent="0.25">
      <c r="A10" s="207" t="s">
        <v>282</v>
      </c>
      <c r="B10" s="207"/>
      <c r="C10" s="207"/>
      <c r="D10" s="207"/>
      <c r="E10" s="207"/>
      <c r="F10" s="207"/>
      <c r="G10" s="207"/>
      <c r="H10" s="207"/>
      <c r="I10" s="207"/>
      <c r="J10" s="207"/>
      <c r="K10" s="207"/>
    </row>
    <row r="11" spans="1:11" x14ac:dyDescent="0.25">
      <c r="A11" s="52"/>
      <c r="B11" s="51"/>
      <c r="C11" s="51"/>
      <c r="D11" s="51"/>
      <c r="E11" s="51"/>
      <c r="F11" s="51"/>
      <c r="G11" s="51"/>
      <c r="H11" s="51"/>
    </row>
    <row r="12" spans="1:11" ht="20.45" customHeight="1" x14ac:dyDescent="0.25">
      <c r="A12" s="208" t="str">
        <f>CONCATENATE("Pada hari ini,"," ",Biodata!C16,"",", tanggal"," ",Biodata!C17," ","di "," ",Biodata!C4)</f>
        <v>Pada hari ini, Selasa, tanggal 16 Maret 2021 di  SMK NEGERI 1 JATIROTO</v>
      </c>
      <c r="B12" s="208"/>
      <c r="C12" s="208"/>
      <c r="D12" s="208"/>
      <c r="E12" s="208"/>
      <c r="F12" s="208"/>
      <c r="G12" s="208"/>
      <c r="H12" s="208"/>
      <c r="I12" s="208"/>
      <c r="J12" s="208"/>
      <c r="K12" s="208"/>
    </row>
    <row r="13" spans="1:11" ht="15.6" customHeight="1" x14ac:dyDescent="0.25">
      <c r="A13" s="53" t="s">
        <v>200</v>
      </c>
      <c r="B13" s="209" t="str">
        <f>CONCATENATE("Telah dilaksanakan telaah soal Ujian Sekolah (US) Tahun Pelajaran"," ",Biodata!C15)</f>
        <v>Telah dilaksanakan telaah soal Ujian Sekolah (US) Tahun Pelajaran 2020/2021</v>
      </c>
      <c r="C13" s="209"/>
      <c r="D13" s="209"/>
      <c r="E13" s="209"/>
      <c r="F13" s="209"/>
      <c r="G13" s="209"/>
      <c r="H13" s="209"/>
      <c r="I13" s="209"/>
      <c r="J13" s="209"/>
      <c r="K13" s="209"/>
    </row>
    <row r="14" spans="1:11" ht="17.100000000000001" customHeight="1" x14ac:dyDescent="0.25">
      <c r="B14" s="74" t="s">
        <v>69</v>
      </c>
      <c r="C14" s="76"/>
      <c r="D14" s="90" t="s">
        <v>143</v>
      </c>
      <c r="E14" s="57" t="str">
        <f>Biodata!C6</f>
        <v>Bahasa Inggris</v>
      </c>
      <c r="F14" s="76"/>
      <c r="H14" s="51"/>
    </row>
    <row r="15" spans="1:11" ht="17.100000000000001" customHeight="1" x14ac:dyDescent="0.25">
      <c r="B15" s="91" t="s">
        <v>203</v>
      </c>
      <c r="C15" s="91"/>
      <c r="D15" s="90" t="s">
        <v>143</v>
      </c>
      <c r="E15" s="76" t="str">
        <f>Biodata!C14</f>
        <v>2013 Rev</v>
      </c>
      <c r="F15" s="76"/>
      <c r="H15" s="51"/>
      <c r="I15" s="51"/>
      <c r="J15" s="51"/>
      <c r="K15" s="51"/>
    </row>
    <row r="16" spans="1:11" ht="17.100000000000001" customHeight="1" x14ac:dyDescent="0.25">
      <c r="B16" s="74" t="s">
        <v>157</v>
      </c>
      <c r="C16" s="91"/>
      <c r="D16" s="90" t="s">
        <v>143</v>
      </c>
      <c r="E16" s="57">
        <f>Biodata!C12</f>
        <v>40</v>
      </c>
      <c r="F16" s="51" t="s">
        <v>272</v>
      </c>
      <c r="G16" s="96">
        <f>Biodata!C13</f>
        <v>5</v>
      </c>
      <c r="H16" s="50" t="s">
        <v>273</v>
      </c>
      <c r="I16" s="51"/>
      <c r="J16" s="51"/>
      <c r="K16" s="51"/>
    </row>
    <row r="17" spans="1:11" ht="17.100000000000001" customHeight="1" x14ac:dyDescent="0.25">
      <c r="B17" s="58" t="s">
        <v>160</v>
      </c>
      <c r="D17" s="55" t="s">
        <v>143</v>
      </c>
      <c r="E17" s="56" t="str">
        <f>IF(AND(Rekap!F15=0,Rekap!F16=0,Rekap!F17=0),"",CONCATENATE("Soal yang DIGANTI sejumlah"," ",Rekap!E15," ","( ",ROUND(Rekap!F15,2),"% ) butir"))</f>
        <v>Soal yang DIGANTI sejumlah 0 ( 0% ) butir</v>
      </c>
      <c r="F17" s="51"/>
      <c r="G17" s="51"/>
      <c r="I17" s="51"/>
      <c r="J17" s="51"/>
      <c r="K17" s="51"/>
    </row>
    <row r="18" spans="1:11" ht="17.100000000000001" customHeight="1" x14ac:dyDescent="0.25">
      <c r="B18" s="54"/>
      <c r="D18" s="55"/>
      <c r="E18" s="75" t="str">
        <f>IF(AND(Rekap!F16=0,Rekap!F17=0,Rekap!F18=0),"",CONCATENATE("Soal yang DIPERBAIKI sejumlah"," ",Rekap!E16," ","( ",ROUND(Rekap!F16,2),"% ) butir"))</f>
        <v>Soal yang DIPERBAIKI sejumlah 0 ( 0% ) butir</v>
      </c>
      <c r="F18" s="51"/>
      <c r="G18" s="51"/>
      <c r="I18" s="51"/>
      <c r="J18" s="51"/>
      <c r="K18" s="51"/>
    </row>
    <row r="19" spans="1:11" ht="17.100000000000001" customHeight="1" x14ac:dyDescent="0.25">
      <c r="A19" s="54"/>
      <c r="B19" s="51"/>
      <c r="C19" s="51"/>
      <c r="D19" s="59"/>
      <c r="E19" s="75" t="str">
        <f>IF(AND(Rekap!F17=0,Rekap!F18=0,Rekap!F19=0),"",CONCATENATE("Soal yang DIGUNAKAN sejumlah"," ",Rekap!E17," ","( ",ROUND(Rekap!F17,2),"% ) butir"))</f>
        <v>Soal yang DIGUNAKAN sejumlah 45 ( 100% ) butir</v>
      </c>
      <c r="F19" s="51"/>
      <c r="G19" s="51"/>
      <c r="H19" s="51"/>
    </row>
    <row r="20" spans="1:11" ht="17.100000000000001" customHeight="1" x14ac:dyDescent="0.25">
      <c r="A20" s="54"/>
      <c r="B20" s="51"/>
      <c r="C20" s="51"/>
      <c r="D20" s="59"/>
      <c r="E20" s="51"/>
      <c r="F20" s="51"/>
      <c r="G20" s="51"/>
      <c r="H20" s="51"/>
    </row>
    <row r="21" spans="1:11" ht="17.100000000000001" customHeight="1" x14ac:dyDescent="0.25">
      <c r="A21" s="60" t="s">
        <v>201</v>
      </c>
      <c r="B21" s="54" t="s">
        <v>202</v>
      </c>
      <c r="C21" s="51"/>
      <c r="D21" s="51"/>
      <c r="E21" s="51"/>
      <c r="F21" s="51"/>
      <c r="G21" s="51"/>
      <c r="H21" s="51"/>
    </row>
    <row r="22" spans="1:11" ht="38.450000000000003" customHeight="1" x14ac:dyDescent="0.25">
      <c r="B22" s="203" t="str">
        <f>IF(AND(E17="",E18="",E19=""),"",CONCATENATE("Kegiatan telaah soal berjalan lancar dengan hasil meliputi soal"," ",Rekap!B25," ","sejumlah"," ",Rekap!E25," ","(",ROUND(Rekap!F25,2)," %)"," butir soal,"," ",Rekap!B26," ","sejumlah"," ",Rekap!E26," ","(",ROUND(Rekap!F26,2)," %)"," butir soal dan"," ",Rekap!B27," ","sejumlah"," ",Rekap!E27," ","(",ROUND(Rekap!F27,2)," %)"," butir soal"))</f>
        <v>Kegiatan telaah soal berjalan lancar dengan hasil meliputi soal Level 1 sejumlah 12 (26.67 %) butir soal, Level 2 sejumlah 24 (53.33 %) butir soal dan Level 3 sejumlah 9 (20 %) butir soal</v>
      </c>
      <c r="C22" s="203"/>
      <c r="D22" s="203"/>
      <c r="E22" s="203"/>
      <c r="F22" s="203"/>
      <c r="G22" s="203"/>
      <c r="H22" s="203"/>
      <c r="I22" s="203"/>
      <c r="J22" s="203"/>
      <c r="K22" s="203"/>
    </row>
    <row r="23" spans="1:11" ht="15.75" x14ac:dyDescent="0.25">
      <c r="B23" s="54" t="s">
        <v>210</v>
      </c>
      <c r="C23" s="51"/>
      <c r="D23" s="51"/>
      <c r="E23" s="51"/>
      <c r="F23" s="51"/>
      <c r="G23" s="51"/>
      <c r="H23" s="51"/>
    </row>
    <row r="24" spans="1:11" ht="15.75" x14ac:dyDescent="0.25">
      <c r="A24" s="54"/>
      <c r="B24" s="61"/>
      <c r="C24" s="51"/>
      <c r="D24" s="51"/>
      <c r="E24" s="51"/>
      <c r="F24" s="51"/>
      <c r="G24" s="51"/>
      <c r="H24" s="51"/>
    </row>
    <row r="25" spans="1:11" ht="15.75" x14ac:dyDescent="0.25">
      <c r="A25" s="54"/>
      <c r="B25" s="61" t="s">
        <v>207</v>
      </c>
      <c r="C25" s="51"/>
      <c r="D25" s="51"/>
      <c r="E25" s="51"/>
      <c r="F25" s="51"/>
      <c r="G25" s="51"/>
      <c r="H25" s="51"/>
    </row>
    <row r="26" spans="1:11" ht="15.75" x14ac:dyDescent="0.25">
      <c r="A26" s="54"/>
      <c r="B26" s="61"/>
      <c r="C26" s="51"/>
      <c r="D26" s="51"/>
      <c r="E26" s="51"/>
      <c r="F26" s="51"/>
      <c r="G26" s="51"/>
      <c r="H26" s="51"/>
    </row>
    <row r="27" spans="1:11" ht="15.75" x14ac:dyDescent="0.25">
      <c r="A27" s="54"/>
      <c r="B27" s="61" t="s">
        <v>208</v>
      </c>
      <c r="C27" s="61"/>
      <c r="D27" s="61"/>
      <c r="E27" s="61"/>
      <c r="F27" s="61"/>
      <c r="G27" s="204" t="s">
        <v>145</v>
      </c>
      <c r="H27" s="204"/>
      <c r="I27" s="204"/>
      <c r="J27" s="204"/>
    </row>
    <row r="28" spans="1:11" ht="15.75" x14ac:dyDescent="0.25">
      <c r="A28" s="54"/>
      <c r="B28" s="205" t="s">
        <v>209</v>
      </c>
      <c r="C28" s="205"/>
      <c r="D28" s="205"/>
      <c r="E28" s="61"/>
      <c r="F28" s="61"/>
      <c r="G28" s="205" t="str">
        <f>Ins_UR!E41</f>
        <v>Penanggung Jawab/ Pendamping</v>
      </c>
      <c r="H28" s="205"/>
      <c r="I28" s="205"/>
      <c r="J28" s="205"/>
      <c r="K28" s="54"/>
    </row>
    <row r="29" spans="1:11" ht="15.75" x14ac:dyDescent="0.25">
      <c r="A29" s="54"/>
      <c r="B29" s="61"/>
      <c r="C29" s="61"/>
      <c r="D29" s="61"/>
      <c r="E29" s="61"/>
      <c r="F29" s="61"/>
      <c r="G29" s="54"/>
      <c r="H29" s="61"/>
      <c r="I29" s="61"/>
      <c r="J29" s="61"/>
      <c r="K29" s="61"/>
    </row>
    <row r="30" spans="1:11" ht="15.75" x14ac:dyDescent="0.25">
      <c r="A30" s="54"/>
      <c r="B30" s="61"/>
      <c r="C30" s="61"/>
      <c r="D30" s="61"/>
      <c r="E30" s="61"/>
      <c r="F30" s="61"/>
      <c r="G30" s="54"/>
      <c r="H30" s="61"/>
      <c r="I30" s="61"/>
      <c r="J30" s="61"/>
      <c r="K30" s="61"/>
    </row>
    <row r="31" spans="1:11" ht="15.75" x14ac:dyDescent="0.25">
      <c r="A31" s="54"/>
      <c r="B31" s="61"/>
      <c r="C31" s="61"/>
      <c r="D31" s="61"/>
      <c r="E31" s="61"/>
      <c r="F31" s="61"/>
      <c r="G31" s="54"/>
      <c r="H31" s="61"/>
      <c r="I31" s="61"/>
      <c r="J31" s="61"/>
      <c r="K31" s="61"/>
    </row>
    <row r="32" spans="1:11" ht="15.75" x14ac:dyDescent="0.25">
      <c r="A32" s="54"/>
      <c r="B32" s="206" t="str">
        <f>Hasil_UR!H41</f>
        <v>Ade Setiyawan, S.Kom.</v>
      </c>
      <c r="C32" s="206"/>
      <c r="D32" s="206"/>
      <c r="E32" s="61"/>
      <c r="F32" s="61"/>
      <c r="G32" s="206" t="str">
        <f>Ins_PG!F49</f>
        <v>Drs. Suyono, M.Si</v>
      </c>
      <c r="H32" s="206"/>
      <c r="I32" s="206"/>
      <c r="J32" s="206"/>
      <c r="K32" s="56"/>
    </row>
    <row r="33" spans="1:12" ht="15.75" x14ac:dyDescent="0.25">
      <c r="A33" s="54"/>
      <c r="B33" s="205" t="str">
        <f>Rekap!J38</f>
        <v>NIP -</v>
      </c>
      <c r="C33" s="205"/>
      <c r="D33" s="205"/>
      <c r="E33" s="61"/>
      <c r="F33" s="61"/>
      <c r="G33" s="205" t="str">
        <f>Ins_PG!F50</f>
        <v>NIP 19630329 199512 1 003</v>
      </c>
      <c r="H33" s="205"/>
      <c r="I33" s="205"/>
      <c r="J33" s="205"/>
      <c r="K33" s="54"/>
    </row>
    <row r="34" spans="1:12" ht="15.75" x14ac:dyDescent="0.25">
      <c r="A34" s="54"/>
      <c r="B34" s="61"/>
      <c r="C34" s="61"/>
      <c r="D34" s="61"/>
      <c r="E34" s="61"/>
      <c r="F34" s="61"/>
      <c r="G34" s="61"/>
      <c r="H34" s="58"/>
      <c r="I34" s="61"/>
      <c r="J34" s="61"/>
      <c r="K34" s="61"/>
      <c r="L34" s="58"/>
    </row>
    <row r="35" spans="1:12" ht="15.75" customHeight="1" x14ac:dyDescent="0.25">
      <c r="B35" s="205" t="s">
        <v>145</v>
      </c>
      <c r="C35" s="205"/>
      <c r="D35" s="205"/>
    </row>
    <row r="36" spans="1:12" ht="31.5" customHeight="1" x14ac:dyDescent="0.25">
      <c r="B36" s="65" t="s">
        <v>163</v>
      </c>
      <c r="C36" s="61"/>
      <c r="D36" s="61"/>
    </row>
    <row r="37" spans="1:12" ht="15.75" customHeight="1" x14ac:dyDescent="0.25">
      <c r="B37" s="61"/>
      <c r="C37" s="61"/>
      <c r="D37" s="61"/>
    </row>
    <row r="38" spans="1:12" ht="16.5" customHeight="1" x14ac:dyDescent="0.25">
      <c r="B38" s="61"/>
      <c r="C38" s="61"/>
      <c r="D38" s="61"/>
    </row>
    <row r="39" spans="1:12" ht="15" customHeight="1" x14ac:dyDescent="0.25">
      <c r="B39" s="206" t="str">
        <f>Ins_PG!B49</f>
        <v>Indah Darmawati, SE, M.Pd</v>
      </c>
      <c r="C39" s="206"/>
      <c r="D39" s="206"/>
    </row>
    <row r="40" spans="1:12" ht="15.75" customHeight="1" x14ac:dyDescent="0.25">
      <c r="B40" s="205" t="str">
        <f>Ins_PG!B50</f>
        <v>NIP 19770316 200701 2 002</v>
      </c>
      <c r="C40" s="205"/>
      <c r="D40" s="205"/>
    </row>
    <row r="41" spans="1:12" ht="63" customHeight="1" x14ac:dyDescent="0.25"/>
    <row r="42" spans="1:12" ht="15.75" customHeight="1" x14ac:dyDescent="0.25"/>
    <row r="43" spans="1:12" ht="94.5" customHeight="1" x14ac:dyDescent="0.25"/>
    <row r="44" spans="1:12" ht="15.75" customHeight="1" x14ac:dyDescent="0.25"/>
    <row r="45" spans="1:12" ht="32.25" customHeight="1" x14ac:dyDescent="0.25"/>
    <row r="46" spans="1:12" ht="15" customHeight="1" x14ac:dyDescent="0.25"/>
    <row r="47" spans="1:12" ht="15.75" customHeight="1" x14ac:dyDescent="0.25"/>
    <row r="48" spans="1:12" ht="15" customHeight="1" x14ac:dyDescent="0.25"/>
    <row r="49" spans="1:8" ht="15.75" customHeight="1" x14ac:dyDescent="0.25"/>
    <row r="50" spans="1:8" ht="15" customHeight="1" x14ac:dyDescent="0.25"/>
    <row r="51" spans="1:8" ht="15.75" customHeight="1" x14ac:dyDescent="0.25"/>
    <row r="52" spans="1:8" ht="15" customHeight="1" x14ac:dyDescent="0.25"/>
    <row r="53" spans="1:8" ht="15.75" customHeight="1" x14ac:dyDescent="0.25"/>
    <row r="54" spans="1:8" ht="15" customHeight="1" x14ac:dyDescent="0.25"/>
    <row r="55" spans="1:8" ht="15.75" customHeight="1" x14ac:dyDescent="0.25"/>
    <row r="56" spans="1:8" ht="15" customHeight="1" x14ac:dyDescent="0.25"/>
    <row r="57" spans="1:8" ht="15.75" customHeight="1" x14ac:dyDescent="0.25"/>
    <row r="62" spans="1:8" x14ac:dyDescent="0.25">
      <c r="A62" s="52"/>
      <c r="B62" s="51"/>
      <c r="C62" s="51"/>
      <c r="D62" s="51"/>
      <c r="E62" s="51"/>
      <c r="F62" s="51"/>
      <c r="G62" s="51"/>
      <c r="H62" s="51"/>
    </row>
    <row r="63" spans="1:8" x14ac:dyDescent="0.25">
      <c r="A63" s="52"/>
      <c r="B63" s="51"/>
      <c r="C63" s="51"/>
      <c r="D63" s="51"/>
      <c r="E63" s="51"/>
      <c r="F63" s="51"/>
      <c r="G63" s="51"/>
      <c r="H63" s="51"/>
    </row>
  </sheetData>
  <mergeCells count="16">
    <mergeCell ref="A10:K10"/>
    <mergeCell ref="A9:K9"/>
    <mergeCell ref="A1:K7"/>
    <mergeCell ref="A12:K12"/>
    <mergeCell ref="B13:K13"/>
    <mergeCell ref="B22:K22"/>
    <mergeCell ref="G27:J27"/>
    <mergeCell ref="B28:D28"/>
    <mergeCell ref="G28:J28"/>
    <mergeCell ref="B40:D40"/>
    <mergeCell ref="B32:D32"/>
    <mergeCell ref="G32:J32"/>
    <mergeCell ref="B33:D33"/>
    <mergeCell ref="G33:J33"/>
    <mergeCell ref="B35:D35"/>
    <mergeCell ref="B39:D39"/>
  </mergeCells>
  <pageMargins left="0.49" right="0.13" top="0.43" bottom="0.5" header="0.3" footer="0.3"/>
  <pageSetup paperSize="9" scale="9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Menu</vt:lpstr>
      <vt:lpstr>Petunjuk</vt:lpstr>
      <vt:lpstr>Biodata</vt:lpstr>
      <vt:lpstr>Telaah_PG</vt:lpstr>
      <vt:lpstr>Telaah_UR</vt:lpstr>
      <vt:lpstr>Ins_PG</vt:lpstr>
      <vt:lpstr>Ins_UR</vt:lpstr>
      <vt:lpstr>Hasil_PG</vt:lpstr>
      <vt:lpstr>Hasil_UR</vt:lpstr>
      <vt:lpstr>Rekap</vt:lpstr>
      <vt:lpstr>BA</vt:lpstr>
      <vt:lpstr>DataKet3</vt:lpstr>
      <vt:lpstr>BA!Print_Area</vt:lpstr>
      <vt:lpstr>Hasil_PG!Print_Area</vt:lpstr>
      <vt:lpstr>Hasil_UR!Print_Area</vt:lpstr>
      <vt:lpstr>Ins_PG!Print_Area</vt:lpstr>
      <vt:lpstr>Ins_UR!Print_Area</vt:lpstr>
      <vt:lpstr>Rekap!Print_Area</vt:lpstr>
      <vt:lpstr>Hasil_PG!Print_Titles</vt:lpstr>
      <vt:lpstr>Ins_PG!Print_Titles</vt:lpstr>
      <vt:lpstr>Ins_UR!Print_Titles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Windsows</dc:creator>
  <cp:lastModifiedBy>USER</cp:lastModifiedBy>
  <cp:lastPrinted>2021-03-15T08:53:00Z</cp:lastPrinted>
  <dcterms:created xsi:type="dcterms:W3CDTF">2019-02-04T06:23:40Z</dcterms:created>
  <dcterms:modified xsi:type="dcterms:W3CDTF">2021-03-15T08:53:03Z</dcterms:modified>
</cp:coreProperties>
</file>